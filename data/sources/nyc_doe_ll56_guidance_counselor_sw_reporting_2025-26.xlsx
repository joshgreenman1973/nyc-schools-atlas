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ycdoe-my.sharepoint.com/personal/gromeo2_schools_nyc_gov/Documents/Local Law Reports/GC Report/2025-2026/"/>
    </mc:Choice>
  </mc:AlternateContent>
  <xr:revisionPtr revIDLastSave="0" documentId="8_{AB0B5280-2500-48E5-9E23-171F3CBAFF2A}" xr6:coauthVersionLast="47" xr6:coauthVersionMax="47" xr10:uidLastSave="{00000000-0000-0000-0000-000000000000}"/>
  <bookViews>
    <workbookView xWindow="32205" yWindow="3210" windowWidth="18150" windowHeight="11805" xr2:uid="{D710AEA2-5065-4A9A-806C-9B10C6BB8141}"/>
  </bookViews>
  <sheets>
    <sheet name="2025-26 GC &amp; SW Data" sheetId="1" r:id="rId1"/>
    <sheet name="2024-25 Post-Secondary Training" sheetId="2" r:id="rId2"/>
    <sheet name="2024-25 Demographics" sheetId="4" r:id="rId3"/>
  </sheets>
  <externalReferences>
    <externalReference r:id="rId4"/>
  </externalReferences>
  <definedNames>
    <definedName name="_xlnm._FilterDatabase" localSheetId="0" hidden="1">'2025-26 GC &amp; SW Data'!$A$1:$AB$1612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12" i="1" l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2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tc={FB5EFCB4-2869-4100-9BFC-EE92D1EDF394}</author>
  </authors>
  <commentList>
    <comment ref="A101" authorId="0" shapeId="0" xr:uid="{FB5EFCB4-2869-4100-9BFC-EE92D1EDF3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03M505</t>
      </text>
    </comment>
  </commentList>
</comments>
</file>

<file path=xl/sharedStrings.xml><?xml version="1.0" encoding="utf-8"?>
<sst xmlns="http://schemas.openxmlformats.org/spreadsheetml/2006/main" count="25407" uniqueCount="3546">
  <si>
    <t>DBN</t>
  </si>
  <si>
    <t>School Name</t>
  </si>
  <si>
    <t>Location Type</t>
  </si>
  <si>
    <r>
      <t xml:space="preserve">Total Guidance Counselors (GC) &amp; Social Workers (SW)
</t>
    </r>
    <r>
      <rPr>
        <i/>
        <sz val="11"/>
        <rFont val="Aptos Narrow"/>
        <family val="2"/>
        <scheme val="minor"/>
      </rPr>
      <t>(includes GCs, SWs, ATRs, School Response Clinicians, High Needs Counselors, High Need SWs, Single Shepherds, Bridging the Gap SWs)</t>
    </r>
  </si>
  <si>
    <t>Total GC</t>
  </si>
  <si>
    <t>Total SW</t>
  </si>
  <si>
    <t>Full-time GC</t>
  </si>
  <si>
    <t>Full-Time SW</t>
  </si>
  <si>
    <t>Part-time GC</t>
  </si>
  <si>
    <t>Part-Time SW</t>
  </si>
  <si>
    <t>Bilingual GC</t>
  </si>
  <si>
    <t>Bilingual SW</t>
  </si>
  <si>
    <t>GC Serving More than One Location</t>
  </si>
  <si>
    <t>SW Serving More than One Location</t>
  </si>
  <si>
    <t>High Needs SW</t>
  </si>
  <si>
    <t>High Needs GC</t>
  </si>
  <si>
    <t>Bridging the Gap</t>
  </si>
  <si>
    <t>School Response Clinician</t>
  </si>
  <si>
    <t>Single Shepherd</t>
  </si>
  <si>
    <t>Future Ready NYC</t>
  </si>
  <si>
    <t>Career Readiness Modern Youth Apprenticeship</t>
  </si>
  <si>
    <t>Pathways Advising</t>
  </si>
  <si>
    <t>School Psychologist Providing Mandated Counseling</t>
  </si>
  <si>
    <t>CBO Partner for Mental Health Support</t>
  </si>
  <si>
    <t>2024-25 SY Enrollment</t>
  </si>
  <si>
    <t>Ratio GC &amp; SW</t>
  </si>
  <si>
    <t>Ratio GC Only</t>
  </si>
  <si>
    <t>Ratio SW Only</t>
  </si>
  <si>
    <t>01M015</t>
  </si>
  <si>
    <t>P.S. 015 Roberto Clemente</t>
  </si>
  <si>
    <t>Elementary</t>
  </si>
  <si>
    <t>no</t>
  </si>
  <si>
    <t>P2L PATHWAYS TO LEADERSHIP INC.</t>
  </si>
  <si>
    <t>01M020</t>
  </si>
  <si>
    <t>P.S. 020 Anna Silver</t>
  </si>
  <si>
    <t/>
  </si>
  <si>
    <t>01M034</t>
  </si>
  <si>
    <t>P.S. 034 Franklin D. Roosevelt</t>
  </si>
  <si>
    <t>K-8</t>
  </si>
  <si>
    <t>University Settlement Society of New York, Inc.</t>
  </si>
  <si>
    <t>01M063</t>
  </si>
  <si>
    <t>The STAR Academy - P.S.63</t>
  </si>
  <si>
    <t>01M064</t>
  </si>
  <si>
    <t>P.S. 064 Robert Simon</t>
  </si>
  <si>
    <t>Educational Alliance</t>
  </si>
  <si>
    <t>01M110</t>
  </si>
  <si>
    <t>P.S. 110 Florence Nightingale</t>
  </si>
  <si>
    <t>01M134</t>
  </si>
  <si>
    <t>P.S. 134 Henrietta Szold</t>
  </si>
  <si>
    <t>01M140</t>
  </si>
  <si>
    <t>P.S. 140 Nathan Straus</t>
  </si>
  <si>
    <t>Center for Educational Innovation (CEI)</t>
  </si>
  <si>
    <t>01M142</t>
  </si>
  <si>
    <t>P.S. 142 Amalia Castro</t>
  </si>
  <si>
    <t>Henry Street Settlement</t>
  </si>
  <si>
    <t>01M184</t>
  </si>
  <si>
    <t>P.S. 184m Shuang Wen</t>
  </si>
  <si>
    <t>yes</t>
  </si>
  <si>
    <t>01M188</t>
  </si>
  <si>
    <t>P.S. 188 The Island School</t>
  </si>
  <si>
    <t>01M292</t>
  </si>
  <si>
    <t>Orchard Collegiate Academy</t>
  </si>
  <si>
    <t>High school</t>
  </si>
  <si>
    <t>01M315</t>
  </si>
  <si>
    <t>The East Village Community School</t>
  </si>
  <si>
    <t>01M332</t>
  </si>
  <si>
    <t>University Neighborhood Middle School</t>
  </si>
  <si>
    <t>Junior High-Intermediate-Middle</t>
  </si>
  <si>
    <t>01M361</t>
  </si>
  <si>
    <t>The Children's Workshop School</t>
  </si>
  <si>
    <t>01M363</t>
  </si>
  <si>
    <t>Neighborhood School</t>
  </si>
  <si>
    <t>01M364</t>
  </si>
  <si>
    <t>Earth School</t>
  </si>
  <si>
    <t>01M378</t>
  </si>
  <si>
    <t>School for Global Leaders</t>
  </si>
  <si>
    <t>01M448</t>
  </si>
  <si>
    <t>University Neighborhood High School</t>
  </si>
  <si>
    <t>01M450</t>
  </si>
  <si>
    <t>East Side Community School</t>
  </si>
  <si>
    <t>Secondary School</t>
  </si>
  <si>
    <t>01M458</t>
  </si>
  <si>
    <t>Forsyth Satellite Academy</t>
  </si>
  <si>
    <t>CAMBA INC</t>
  </si>
  <si>
    <t>01M515</t>
  </si>
  <si>
    <t>Lower East Side Preparatory High School</t>
  </si>
  <si>
    <t>Grand Street Settlement, INC.</t>
  </si>
  <si>
    <t>01M539</t>
  </si>
  <si>
    <t>New Explorations into Science, Technology and Math</t>
  </si>
  <si>
    <t>K-12 all grades</t>
  </si>
  <si>
    <t>01M650</t>
  </si>
  <si>
    <t>Restart Academy</t>
  </si>
  <si>
    <t>01M696</t>
  </si>
  <si>
    <t>Bard High School Early College</t>
  </si>
  <si>
    <t>01M839</t>
  </si>
  <si>
    <t>Tompkins Square Middle School</t>
  </si>
  <si>
    <t>02M001</t>
  </si>
  <si>
    <t>P.S. 001 Alfred E. Smith</t>
  </si>
  <si>
    <t>02M002</t>
  </si>
  <si>
    <t>P.S. 002 Meyer London</t>
  </si>
  <si>
    <t>02M003</t>
  </si>
  <si>
    <t>P.S. 003 Charrette School</t>
  </si>
  <si>
    <t>02M006</t>
  </si>
  <si>
    <t>P.S. 006 Lillie D. Blake</t>
  </si>
  <si>
    <t>02M011</t>
  </si>
  <si>
    <t>P.S. 011: The Sarah J. Garnet Elementary School</t>
  </si>
  <si>
    <t>02M033</t>
  </si>
  <si>
    <t>P.S. 033 Chelsea Prep</t>
  </si>
  <si>
    <t>02M040</t>
  </si>
  <si>
    <t>P.S. 040 Augustus Saint-Gaudens</t>
  </si>
  <si>
    <t>02M041</t>
  </si>
  <si>
    <t>P.S. 041 Greenwich Village</t>
  </si>
  <si>
    <t>02M042</t>
  </si>
  <si>
    <t>P.S. 042 Benjamin Altman</t>
  </si>
  <si>
    <t>02M047</t>
  </si>
  <si>
    <t>47 The American Sign Language and English Secondar</t>
  </si>
  <si>
    <t>02M051</t>
  </si>
  <si>
    <t>P.S. 051 Elias Howe</t>
  </si>
  <si>
    <t>02M059</t>
  </si>
  <si>
    <t>P.S. 059 Beekman Hill International</t>
  </si>
  <si>
    <t>02M077</t>
  </si>
  <si>
    <t>P.S. 77 Lower Lab School</t>
  </si>
  <si>
    <t>02M089</t>
  </si>
  <si>
    <t>P.S. 89</t>
  </si>
  <si>
    <t>02M104</t>
  </si>
  <si>
    <t>J.H.S. 104 Simon Baruch</t>
  </si>
  <si>
    <t>02M111</t>
  </si>
  <si>
    <t>P.S. 111 Adolph S. Ochs</t>
  </si>
  <si>
    <t>02M114</t>
  </si>
  <si>
    <t>East Side Middle School</t>
  </si>
  <si>
    <t>02M116</t>
  </si>
  <si>
    <t>P.S. 116 Mary Lindley Murray</t>
  </si>
  <si>
    <t>02M124</t>
  </si>
  <si>
    <t>P.S. 124 Yung Wing</t>
  </si>
  <si>
    <t>02M126</t>
  </si>
  <si>
    <t>P.S. 126 Jacob August Riis</t>
  </si>
  <si>
    <t>02M130</t>
  </si>
  <si>
    <t>P.S. 130 Hernando De Soto</t>
  </si>
  <si>
    <t>02M131</t>
  </si>
  <si>
    <t>M.S. 131</t>
  </si>
  <si>
    <t>02M135</t>
  </si>
  <si>
    <t>The Urban Assembly Early College High School of Em</t>
  </si>
  <si>
    <t>02M139</t>
  </si>
  <si>
    <t>Stephen T. Mather Building Arts &amp; Craftsmanship Hi</t>
  </si>
  <si>
    <t>02M150</t>
  </si>
  <si>
    <t>P.S. 150</t>
  </si>
  <si>
    <t>02M151</t>
  </si>
  <si>
    <t>Yorkville Community School</t>
  </si>
  <si>
    <t>02M158</t>
  </si>
  <si>
    <t>P.S. 158 Bayard Taylor</t>
  </si>
  <si>
    <t>02M167</t>
  </si>
  <si>
    <t>J.H.S. 167 Robert F. Wagner</t>
  </si>
  <si>
    <t>02M177</t>
  </si>
  <si>
    <t>Yorkville East Middle School</t>
  </si>
  <si>
    <t>02M183</t>
  </si>
  <si>
    <t>P.S. 183 Robert L. Stevenson</t>
  </si>
  <si>
    <t>02M198</t>
  </si>
  <si>
    <t>P.S. 198 Isidor E. Ida Straus</t>
  </si>
  <si>
    <t>02M212</t>
  </si>
  <si>
    <t>P.S. 212 Midtown West</t>
  </si>
  <si>
    <t>02M217</t>
  </si>
  <si>
    <t>P.S./I.S. 217 Roosevelt Island</t>
  </si>
  <si>
    <t>02M225</t>
  </si>
  <si>
    <t>Ella Baker School</t>
  </si>
  <si>
    <t>02M234</t>
  </si>
  <si>
    <t>P.S. 234 Independence School</t>
  </si>
  <si>
    <t>02M255</t>
  </si>
  <si>
    <t>M.S. 255 Salk School of Science</t>
  </si>
  <si>
    <t>02M260</t>
  </si>
  <si>
    <t>The Clinton School</t>
  </si>
  <si>
    <t>02M267</t>
  </si>
  <si>
    <t>East Side Elementary School, PS 267</t>
  </si>
  <si>
    <t>02M276</t>
  </si>
  <si>
    <t>Battery Park City School</t>
  </si>
  <si>
    <t>02M280</t>
  </si>
  <si>
    <t>Manhattan Early College School for Marketing and M</t>
  </si>
  <si>
    <t>02M281</t>
  </si>
  <si>
    <t>The River School</t>
  </si>
  <si>
    <t>02M282</t>
  </si>
  <si>
    <t>Urban Assembly Maker Academy</t>
  </si>
  <si>
    <t>02M288</t>
  </si>
  <si>
    <t>Food and Finance High School</t>
  </si>
  <si>
    <t>02M289</t>
  </si>
  <si>
    <t>I.S. 289</t>
  </si>
  <si>
    <t>02M290</t>
  </si>
  <si>
    <t>P.S. 290 Manhattan New School</t>
  </si>
  <si>
    <t>02M294</t>
  </si>
  <si>
    <t>Essex Street Academy</t>
  </si>
  <si>
    <t>02M296</t>
  </si>
  <si>
    <t>High School of Hospitality Management</t>
  </si>
  <si>
    <t>02M297</t>
  </si>
  <si>
    <t>M.S. 297</t>
  </si>
  <si>
    <t>02M298</t>
  </si>
  <si>
    <t>Pace High School</t>
  </si>
  <si>
    <t>02M300</t>
  </si>
  <si>
    <t>Urban Assembly School of Design and Construction,</t>
  </si>
  <si>
    <t>02M303</t>
  </si>
  <si>
    <t>Facing History School, The</t>
  </si>
  <si>
    <t>02M305</t>
  </si>
  <si>
    <t>Urban Assembly Academy of Government and Law, The</t>
  </si>
  <si>
    <t>02M308</t>
  </si>
  <si>
    <t>Lower Manhattan Arts Academy</t>
  </si>
  <si>
    <t>02M312</t>
  </si>
  <si>
    <t>New York City Lab Middle School for Collaborative</t>
  </si>
  <si>
    <t>02M313</t>
  </si>
  <si>
    <t>James Baldwin School, The: A School for Expedition</t>
  </si>
  <si>
    <t>02M316</t>
  </si>
  <si>
    <t>Urban Assembly School of Business for Young Women,</t>
  </si>
  <si>
    <t>02M340</t>
  </si>
  <si>
    <t>Sixth Avenue Elementary School</t>
  </si>
  <si>
    <t>02M343</t>
  </si>
  <si>
    <t>The Peck Slip School</t>
  </si>
  <si>
    <t>02M347</t>
  </si>
  <si>
    <t>The 47 American Sign Language &amp; English Lower Scho</t>
  </si>
  <si>
    <t>02M374</t>
  </si>
  <si>
    <t>Gramercy Arts High School</t>
  </si>
  <si>
    <t>02M376</t>
  </si>
  <si>
    <t>NYC iSchool</t>
  </si>
  <si>
    <t>02M392</t>
  </si>
  <si>
    <t>School for Cooperative Technical Education</t>
  </si>
  <si>
    <t>02M393</t>
  </si>
  <si>
    <t>02M394</t>
  </si>
  <si>
    <t>Emma Lazarus High School</t>
  </si>
  <si>
    <t>02M395</t>
  </si>
  <si>
    <t>A School Without Walls</t>
  </si>
  <si>
    <t>02M397</t>
  </si>
  <si>
    <t>Spruce Street School</t>
  </si>
  <si>
    <t>02M399</t>
  </si>
  <si>
    <t>The High School For Language And Diplomacy</t>
  </si>
  <si>
    <t>02M400</t>
  </si>
  <si>
    <t>High School for Environmental Studies</t>
  </si>
  <si>
    <t>02M407</t>
  </si>
  <si>
    <t>Institute for Collaborative Education</t>
  </si>
  <si>
    <t>02M408</t>
  </si>
  <si>
    <t>Professional Performing Arts High School</t>
  </si>
  <si>
    <t>02M411</t>
  </si>
  <si>
    <t>Baruch College Campus High School</t>
  </si>
  <si>
    <t>02M412</t>
  </si>
  <si>
    <t>N.Y.C. Lab School for Collaborative Studies</t>
  </si>
  <si>
    <t>02M413</t>
  </si>
  <si>
    <t>School of the Future High School</t>
  </si>
  <si>
    <t>02M414</t>
  </si>
  <si>
    <t>N.Y.C. Museum School</t>
  </si>
  <si>
    <t>02M416</t>
  </si>
  <si>
    <t>Eleanor Roosevelt High School</t>
  </si>
  <si>
    <t>02M418</t>
  </si>
  <si>
    <t>Millennium High School</t>
  </si>
  <si>
    <t>02M419</t>
  </si>
  <si>
    <t>Landmark High School</t>
  </si>
  <si>
    <t>02M420</t>
  </si>
  <si>
    <t>High School for Health Professions and Human Servi</t>
  </si>
  <si>
    <t>02M422</t>
  </si>
  <si>
    <t>Quest to Learn</t>
  </si>
  <si>
    <t>02M425</t>
  </si>
  <si>
    <t>Leadership and Public Service High School</t>
  </si>
  <si>
    <t>02M427</t>
  </si>
  <si>
    <t>Manhattan Academy For Arts &amp; Language</t>
  </si>
  <si>
    <t>02M432</t>
  </si>
  <si>
    <t>Murray Hill Academy</t>
  </si>
  <si>
    <t>02M437</t>
  </si>
  <si>
    <t>Hudson High School of Learning Technologies</t>
  </si>
  <si>
    <t>02M438</t>
  </si>
  <si>
    <t>International High School at Union Square</t>
  </si>
  <si>
    <t>02M439</t>
  </si>
  <si>
    <t>Manhattan Village Academy</t>
  </si>
  <si>
    <t>02M442</t>
  </si>
  <si>
    <t>Ballet Tech, NYC Public School for Dance</t>
  </si>
  <si>
    <t>02M449</t>
  </si>
  <si>
    <t>Vanguard High School</t>
  </si>
  <si>
    <t>02M459</t>
  </si>
  <si>
    <t>Manhattan International High School</t>
  </si>
  <si>
    <t>02M475</t>
  </si>
  <si>
    <t>Stuyvesant High School</t>
  </si>
  <si>
    <t>02M489</t>
  </si>
  <si>
    <t>High School of Economics and Finance</t>
  </si>
  <si>
    <t>02M500</t>
  </si>
  <si>
    <t>Unity Center for Urban Technologies</t>
  </si>
  <si>
    <t>02M507</t>
  </si>
  <si>
    <t>Urban Assembly Gateway School for Technology</t>
  </si>
  <si>
    <t>02M519</t>
  </si>
  <si>
    <t>Talent Unlimited High School</t>
  </si>
  <si>
    <t>02M520</t>
  </si>
  <si>
    <t>Murry Bergtraum High School for Business Careers</t>
  </si>
  <si>
    <t>02M527</t>
  </si>
  <si>
    <t>P.S. 527 - East Side School for Social Action</t>
  </si>
  <si>
    <t>02M529</t>
  </si>
  <si>
    <t>Jacqueline Kennedy Onassis High School</t>
  </si>
  <si>
    <t>02M531</t>
  </si>
  <si>
    <t>Repertory Company High School for Theatre Arts</t>
  </si>
  <si>
    <t>02M533</t>
  </si>
  <si>
    <t>Union Square Academy for Health Sciences</t>
  </si>
  <si>
    <t>02M534</t>
  </si>
  <si>
    <t>Harvest Collegiate High School</t>
  </si>
  <si>
    <t>02M542</t>
  </si>
  <si>
    <t>Manhattan Bridges High School</t>
  </si>
  <si>
    <t>02M543</t>
  </si>
  <si>
    <t>New Design High School</t>
  </si>
  <si>
    <t>02M544</t>
  </si>
  <si>
    <t>Independence High School</t>
  </si>
  <si>
    <t>02M545</t>
  </si>
  <si>
    <t>High School for Dual Language and Asian Studies</t>
  </si>
  <si>
    <t>02M546</t>
  </si>
  <si>
    <t>Academy for Software Engineering</t>
  </si>
  <si>
    <t>02M550</t>
  </si>
  <si>
    <t>Liberty High School Academy for Newcomers</t>
  </si>
  <si>
    <t>02M551</t>
  </si>
  <si>
    <t>Urban Assembly New York Harbor School</t>
  </si>
  <si>
    <t>02M560</t>
  </si>
  <si>
    <t>High School M560 - City As School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</si>
  <si>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</si>
  <si>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</si>
  <si>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</si>
  <si>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</si>
  <si>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</si>
  <si>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</si>
  <si>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02M580</t>
  </si>
  <si>
    <t>Richard R. Green High School of Teaching</t>
  </si>
  <si>
    <t>02M586</t>
  </si>
  <si>
    <t>Harvey Milk High School</t>
  </si>
  <si>
    <t>02M600</t>
  </si>
  <si>
    <t>The High School of Fashion Industries</t>
  </si>
  <si>
    <t>02M605</t>
  </si>
  <si>
    <t>Humanities Preparatory Academy</t>
  </si>
  <si>
    <t>02M615</t>
  </si>
  <si>
    <t>Chelsea Career and Technical Education High School</t>
  </si>
  <si>
    <t>02M630</t>
  </si>
  <si>
    <t>Art and Design High School</t>
  </si>
  <si>
    <t>02M655</t>
  </si>
  <si>
    <t>The High School for Climate Justice</t>
  </si>
  <si>
    <t>02M896</t>
  </si>
  <si>
    <t>Lower Manhattan Community Middle School</t>
  </si>
  <si>
    <t>03M009</t>
  </si>
  <si>
    <t>P.S. 009 Sarah Anderson</t>
  </si>
  <si>
    <t>03M054</t>
  </si>
  <si>
    <t>J.H.S. 054 Booker T. Washington</t>
  </si>
  <si>
    <t>03M075</t>
  </si>
  <si>
    <t>P.S. 075 Emily Dickinson</t>
  </si>
  <si>
    <t>03M084</t>
  </si>
  <si>
    <t>P.S. 084 Lillian Weber</t>
  </si>
  <si>
    <t>03M087</t>
  </si>
  <si>
    <t>P.S. 087 William Sherman</t>
  </si>
  <si>
    <t>03M145</t>
  </si>
  <si>
    <t>P.S. 145, The Bloomingdale School</t>
  </si>
  <si>
    <t>03M149</t>
  </si>
  <si>
    <t>P.S. 149 Sojourner Truth</t>
  </si>
  <si>
    <t>Creative Connections, LLC</t>
  </si>
  <si>
    <t>03M163</t>
  </si>
  <si>
    <t>P.S. 163 Alfred E. Smith</t>
  </si>
  <si>
    <t>03M165</t>
  </si>
  <si>
    <t>P.S. 165 Robert E. Simon</t>
  </si>
  <si>
    <t>Young Audiences Inc. (YANY)</t>
  </si>
  <si>
    <t>03M166</t>
  </si>
  <si>
    <t>P.S. 166 The Richard Rodgers School of The Arts an</t>
  </si>
  <si>
    <t>03M180</t>
  </si>
  <si>
    <t>P.S. 180 Hugo Newman</t>
  </si>
  <si>
    <t>03M185</t>
  </si>
  <si>
    <t>The Locke School of Arts and Engineering</t>
  </si>
  <si>
    <t>03M191</t>
  </si>
  <si>
    <t>The Riverside School for Makers and Artists</t>
  </si>
  <si>
    <t>03M199</t>
  </si>
  <si>
    <t>P.S. 199 Jesse Isidor Straus</t>
  </si>
  <si>
    <t>03M241</t>
  </si>
  <si>
    <t>STEM Institute of Manhattan</t>
  </si>
  <si>
    <t>03M242</t>
  </si>
  <si>
    <t>P.S. 242 - The Young Diplomats Magnet Academy</t>
  </si>
  <si>
    <t>03M243</t>
  </si>
  <si>
    <t>M.S. 243 Center School</t>
  </si>
  <si>
    <t>03M245</t>
  </si>
  <si>
    <t>M.S. M245 The Computer School</t>
  </si>
  <si>
    <t>03M247</t>
  </si>
  <si>
    <t>M.S. M247 Dual Language Middle School</t>
  </si>
  <si>
    <t>03M256</t>
  </si>
  <si>
    <t>Lafayette Academy</t>
  </si>
  <si>
    <t>03M258</t>
  </si>
  <si>
    <t>Community Action School - MS 258</t>
  </si>
  <si>
    <t>Replications, Inc.</t>
  </si>
  <si>
    <t>03M291</t>
  </si>
  <si>
    <t>West End Secondary School</t>
  </si>
  <si>
    <t>03M307</t>
  </si>
  <si>
    <t>Urban Assembly School for Media Studies, The</t>
  </si>
  <si>
    <t>03M333</t>
  </si>
  <si>
    <t>P.S. 333 Manhattan School for Children</t>
  </si>
  <si>
    <t>03M334</t>
  </si>
  <si>
    <t>The Anderson School</t>
  </si>
  <si>
    <t>03M402</t>
  </si>
  <si>
    <t>The Urban Assembly School for Green Careers</t>
  </si>
  <si>
    <t>03M403</t>
  </si>
  <si>
    <t>The Global Learning Collaborative</t>
  </si>
  <si>
    <t>03M404</t>
  </si>
  <si>
    <t>Innovation Diploma Plus</t>
  </si>
  <si>
    <t>03M415</t>
  </si>
  <si>
    <t>Wadleigh Secondary School for the Performing &amp; Vis</t>
  </si>
  <si>
    <t>Westhab, Inc.</t>
  </si>
  <si>
    <t>03M417</t>
  </si>
  <si>
    <t>Frank McCourt High School</t>
  </si>
  <si>
    <t>03M421</t>
  </si>
  <si>
    <t>West Prep Academy</t>
  </si>
  <si>
    <t>03M452</t>
  </si>
  <si>
    <t>P.S. 452</t>
  </si>
  <si>
    <t>03M479</t>
  </si>
  <si>
    <t>Beacon High School</t>
  </si>
  <si>
    <t>03M485</t>
  </si>
  <si>
    <t>Fiorello H. LaGuardia High School of Music &amp; Art a</t>
  </si>
  <si>
    <t>03M492</t>
  </si>
  <si>
    <t>High School for Law, Advocacy and Community Justic</t>
  </si>
  <si>
    <t>03M494</t>
  </si>
  <si>
    <t>High School of Arts and Technology</t>
  </si>
  <si>
    <t>03M541</t>
  </si>
  <si>
    <t>Manhattan / Hunter Science High School</t>
  </si>
  <si>
    <t>03M610</t>
  </si>
  <si>
    <t>Young Women's Leadership School</t>
  </si>
  <si>
    <t>03M859</t>
  </si>
  <si>
    <t>Special Music School</t>
  </si>
  <si>
    <t>03M860</t>
  </si>
  <si>
    <t>Frederick Douglass Academy II Secondary School</t>
  </si>
  <si>
    <t>03M862</t>
  </si>
  <si>
    <t>Mott Hall II</t>
  </si>
  <si>
    <t>04M007</t>
  </si>
  <si>
    <t>P.S. 007 Samuel Stern</t>
  </si>
  <si>
    <t>COUNSELING IN SCHOOLS INC</t>
  </si>
  <si>
    <t>04M012</t>
  </si>
  <si>
    <t>Tag Young Scholars</t>
  </si>
  <si>
    <t>04M037</t>
  </si>
  <si>
    <t>River East Elementary</t>
  </si>
  <si>
    <t>04M038</t>
  </si>
  <si>
    <t>P.S. 38 Roberto Clemente</t>
  </si>
  <si>
    <t>PARTNERSHIP WITH CHILDREN, INC.</t>
  </si>
  <si>
    <t>04M057</t>
  </si>
  <si>
    <t>James Weldon Johnson</t>
  </si>
  <si>
    <t>Roads to Success</t>
  </si>
  <si>
    <t>04M072</t>
  </si>
  <si>
    <t>The Lexington Academy</t>
  </si>
  <si>
    <t>04M083</t>
  </si>
  <si>
    <t>P.S. 083 Luis Munoz Rivera</t>
  </si>
  <si>
    <t>CITY YEAR INC</t>
  </si>
  <si>
    <t>04M096</t>
  </si>
  <si>
    <t>P.S. 096 Joseph Lanzetta</t>
  </si>
  <si>
    <t>GLOBAL KIDS INC</t>
  </si>
  <si>
    <t>04M102</t>
  </si>
  <si>
    <t>P.S. 102 Jacques Cartier</t>
  </si>
  <si>
    <t>04M108</t>
  </si>
  <si>
    <t>P.S. 108 Assemblyman Angelo Del Toro Educational C</t>
  </si>
  <si>
    <t>04M112</t>
  </si>
  <si>
    <t>P.S. 112 Jose Celso Barbosa</t>
  </si>
  <si>
    <t>Early Childhood</t>
  </si>
  <si>
    <t>04M146</t>
  </si>
  <si>
    <t>P.S. 146 Ann M. Short</t>
  </si>
  <si>
    <t>04M155</t>
  </si>
  <si>
    <t>P.S. 155 William Paca</t>
  </si>
  <si>
    <t>THE HOME FOR LITTLE WANDERERS INC</t>
  </si>
  <si>
    <t>04M171</t>
  </si>
  <si>
    <t>P.S. 171 Patrick Henry</t>
  </si>
  <si>
    <t>04M182</t>
  </si>
  <si>
    <t>The Bilingual Bicultural School</t>
  </si>
  <si>
    <t>04M206</t>
  </si>
  <si>
    <t>P.S. 206 Jose Celso Barbosa</t>
  </si>
  <si>
    <t>04M224</t>
  </si>
  <si>
    <t>M.S. 224 Manhattan East School for Arts &amp; Academic</t>
  </si>
  <si>
    <t>04M310</t>
  </si>
  <si>
    <t>The Judith S. Kaye School</t>
  </si>
  <si>
    <t>GC and SW counts reflected on 79M331</t>
  </si>
  <si>
    <t>N/A - See note in column D</t>
  </si>
  <si>
    <t>04M372</t>
  </si>
  <si>
    <t>Esperanza Preparatory Magnet School</t>
  </si>
  <si>
    <t>04M375</t>
  </si>
  <si>
    <t>Mosaic Preparatory Academy</t>
  </si>
  <si>
    <t>04M377</t>
  </si>
  <si>
    <t>Renaissance School of the Arts</t>
  </si>
  <si>
    <t>04M435</t>
  </si>
  <si>
    <t>Manhattan Center for Science and Mathematics</t>
  </si>
  <si>
    <t>04M495</t>
  </si>
  <si>
    <t>Park East High School</t>
  </si>
  <si>
    <t>04M497</t>
  </si>
  <si>
    <t>Central Park East I</t>
  </si>
  <si>
    <t>04M505</t>
  </si>
  <si>
    <t>Edward A. Reynolds West Side High School</t>
  </si>
  <si>
    <t>04M555</t>
  </si>
  <si>
    <t>Central Park East High School</t>
  </si>
  <si>
    <t>04M680</t>
  </si>
  <si>
    <t>Heritage School, The</t>
  </si>
  <si>
    <t>04M825</t>
  </si>
  <si>
    <t>Isaac Newton Middle School for Math &amp; Science</t>
  </si>
  <si>
    <t>04M964</t>
  </si>
  <si>
    <t>Central Park East II</t>
  </si>
  <si>
    <t>Children's Aid</t>
  </si>
  <si>
    <t>05M030</t>
  </si>
  <si>
    <t>P.S. 030 Hernandez/Hughes</t>
  </si>
  <si>
    <t>United Community Schools (UFT)</t>
  </si>
  <si>
    <t>05M036</t>
  </si>
  <si>
    <t>P.S. 036 Margaret Douglas</t>
  </si>
  <si>
    <t>05M046</t>
  </si>
  <si>
    <t>P.S. 046 Arthur Tappan</t>
  </si>
  <si>
    <t>05M092</t>
  </si>
  <si>
    <t>P.S. 092 Mary McLeod Bethune</t>
  </si>
  <si>
    <t>05M123</t>
  </si>
  <si>
    <t>P.S. 123 Mahalia Jackson</t>
  </si>
  <si>
    <t>Graham Windham</t>
  </si>
  <si>
    <t>05M125</t>
  </si>
  <si>
    <t>P.S. 125 Ralph Bunche</t>
  </si>
  <si>
    <t>05M129</t>
  </si>
  <si>
    <t>P.S. 129 John H. Finley</t>
  </si>
  <si>
    <t>FORDHAM UNIVERSITY</t>
  </si>
  <si>
    <t>05M133</t>
  </si>
  <si>
    <t>P.S. 133 Fred R Moore</t>
  </si>
  <si>
    <t>05M148</t>
  </si>
  <si>
    <t>Eagle Academy for Young Men of Harlem</t>
  </si>
  <si>
    <t>05M154</t>
  </si>
  <si>
    <t>P.S. 154 Harriet Tubman</t>
  </si>
  <si>
    <t>05M157</t>
  </si>
  <si>
    <t>The Urban Assembly School for Global Commerce</t>
  </si>
  <si>
    <t>05M161</t>
  </si>
  <si>
    <t>P.S. 161 Pedro Albizu Campos</t>
  </si>
  <si>
    <t>NEW YORK EDGE INC</t>
  </si>
  <si>
    <t>05M175</t>
  </si>
  <si>
    <t>P.S. 175 Henry H Garnet</t>
  </si>
  <si>
    <t>05M194</t>
  </si>
  <si>
    <t>P.S. 194 Countee Cullen</t>
  </si>
  <si>
    <t>05M197</t>
  </si>
  <si>
    <t>P.S. 197 John B. Russwurm</t>
  </si>
  <si>
    <t>05M200</t>
  </si>
  <si>
    <t>P.S. 200- The James McCune Smith School</t>
  </si>
  <si>
    <t>05M285</t>
  </si>
  <si>
    <t>Harlem Renaissance High School</t>
  </si>
  <si>
    <t>05M286</t>
  </si>
  <si>
    <t>Urban Assembly Academy for Future Leaders</t>
  </si>
  <si>
    <t>05M304</t>
  </si>
  <si>
    <t>Mott Hall High School</t>
  </si>
  <si>
    <t>05M318</t>
  </si>
  <si>
    <t>Thurgood Marshall Academy Lower School</t>
  </si>
  <si>
    <t>05M362</t>
  </si>
  <si>
    <t>Columbia Secondary School</t>
  </si>
  <si>
    <t>05M369</t>
  </si>
  <si>
    <t>Urban Assembly School for the Performing Arts</t>
  </si>
  <si>
    <t>05M371</t>
  </si>
  <si>
    <t>School of Earth Exploration and Discovery Harlem (</t>
  </si>
  <si>
    <t>05M499</t>
  </si>
  <si>
    <t>Frederick Douglass Academy</t>
  </si>
  <si>
    <t>05M514</t>
  </si>
  <si>
    <t>New Design Middle School</t>
  </si>
  <si>
    <t>05M517</t>
  </si>
  <si>
    <t>Teachers College Community School</t>
  </si>
  <si>
    <t>05M670</t>
  </si>
  <si>
    <t>Thurgood Marshall Academy for Learning and Social</t>
  </si>
  <si>
    <t>05M692</t>
  </si>
  <si>
    <t>High School for Mathematics, Science and Engineeri</t>
  </si>
  <si>
    <t>06M004</t>
  </si>
  <si>
    <t>P.S. 004 Duke Ellington</t>
  </si>
  <si>
    <t>06M005</t>
  </si>
  <si>
    <t>P.S. 005 Ellen Lurie</t>
  </si>
  <si>
    <t>06M008</t>
  </si>
  <si>
    <t>P.S. 008 Luis Belliard</t>
  </si>
  <si>
    <t>06M018</t>
  </si>
  <si>
    <t>P.S. 018 Park Terrace</t>
  </si>
  <si>
    <t>06M028</t>
  </si>
  <si>
    <t>P.S. 028 Wright Brothers</t>
  </si>
  <si>
    <t>06M048</t>
  </si>
  <si>
    <t>P.S. 048 P.O. Michael J. Buczek</t>
  </si>
  <si>
    <t>06M052</t>
  </si>
  <si>
    <t>Harold O. Levy School</t>
  </si>
  <si>
    <t>06M098</t>
  </si>
  <si>
    <t>P.S. 098 Shorac Kappock</t>
  </si>
  <si>
    <t>06M103</t>
  </si>
  <si>
    <t>Dos Puentes Elementary School</t>
  </si>
  <si>
    <t>06M115</t>
  </si>
  <si>
    <t>P.S. 115 Alexander Humboldt</t>
  </si>
  <si>
    <t>06M128</t>
  </si>
  <si>
    <t>P.S. 128 Audubon</t>
  </si>
  <si>
    <t>06M132</t>
  </si>
  <si>
    <t>P.S. 132 Juan Pablo Duarte</t>
  </si>
  <si>
    <t>Urban Arts Partnership</t>
  </si>
  <si>
    <t>06M143</t>
  </si>
  <si>
    <t>J.H.S. 143 Eleanor Roosevelt</t>
  </si>
  <si>
    <t>06M152</t>
  </si>
  <si>
    <t>P.S. 152 Dyckman Valley</t>
  </si>
  <si>
    <t>06M153</t>
  </si>
  <si>
    <t>P.S. 153 Adam Clayton Powell</t>
  </si>
  <si>
    <t>Boys &amp; Girls Club of Harlem</t>
  </si>
  <si>
    <t>06M173</t>
  </si>
  <si>
    <t>P.S./I.S. 173 Fort Washington School in the Height</t>
  </si>
  <si>
    <t>06M178</t>
  </si>
  <si>
    <t>Professor Juan Bosch Public School</t>
  </si>
  <si>
    <t>06M187</t>
  </si>
  <si>
    <t>P.S./I.S. 187 Hudson Cliffs</t>
  </si>
  <si>
    <t>06M189</t>
  </si>
  <si>
    <t>P.S. 189</t>
  </si>
  <si>
    <t>06M192</t>
  </si>
  <si>
    <t>P.S. 192 Jacob H. Schiff</t>
  </si>
  <si>
    <t>06M209</t>
  </si>
  <si>
    <t>Hamilton Grange Middle School</t>
  </si>
  <si>
    <t>06M210</t>
  </si>
  <si>
    <t>P.S./I.S. 210 - Twenty-first Century Academy for C</t>
  </si>
  <si>
    <t>06M211</t>
  </si>
  <si>
    <t>Inwood Early College for Health and Information Te</t>
  </si>
  <si>
    <t>06M223</t>
  </si>
  <si>
    <t>The Mott Hall School</t>
  </si>
  <si>
    <t>06M278</t>
  </si>
  <si>
    <t>Paula Hedbavny School</t>
  </si>
  <si>
    <t>06M293</t>
  </si>
  <si>
    <t>City College Magnet School of the Arts</t>
  </si>
  <si>
    <t>06M311</t>
  </si>
  <si>
    <t>Amistad Dual Language School</t>
  </si>
  <si>
    <t>06M314</t>
  </si>
  <si>
    <t>Muscota</t>
  </si>
  <si>
    <t>06M319</t>
  </si>
  <si>
    <t>M.S. 319 - Maria Teresa</t>
  </si>
  <si>
    <t>06M322</t>
  </si>
  <si>
    <t>Middle School 322</t>
  </si>
  <si>
    <t>06M324</t>
  </si>
  <si>
    <t>M.S. 324 - Patria Mirabal</t>
  </si>
  <si>
    <t>06M328</t>
  </si>
  <si>
    <t>Community Math &amp; Science Prep</t>
  </si>
  <si>
    <t>06M346</t>
  </si>
  <si>
    <t>Community Health Academy of the Heights</t>
  </si>
  <si>
    <t>06M348</t>
  </si>
  <si>
    <t>Washington Heights Expeditionary Learning School</t>
  </si>
  <si>
    <t>06M366</t>
  </si>
  <si>
    <t>Washington Heights Academy</t>
  </si>
  <si>
    <t>06M368</t>
  </si>
  <si>
    <t>The William Lynch School</t>
  </si>
  <si>
    <t>CHILD DEVELOPMENT CENTER OF THE MOSHOLU-MONTEFIORE COMM CTR</t>
  </si>
  <si>
    <t>06M423</t>
  </si>
  <si>
    <t>High School for Excellence and Innovation</t>
  </si>
  <si>
    <t>06M462</t>
  </si>
  <si>
    <t>The College Academy</t>
  </si>
  <si>
    <t>06M463</t>
  </si>
  <si>
    <t>High School for Media and Communications</t>
  </si>
  <si>
    <t>06M467</t>
  </si>
  <si>
    <t>High School for Law and Public Service</t>
  </si>
  <si>
    <t>06M468</t>
  </si>
  <si>
    <t>High School for Health Careers and Sciences</t>
  </si>
  <si>
    <t>06M513</t>
  </si>
  <si>
    <t>Castle Bridge School</t>
  </si>
  <si>
    <t>06M528</t>
  </si>
  <si>
    <t>I.S. 528 Bea Fuller Rodgers School</t>
  </si>
  <si>
    <t>06M540</t>
  </si>
  <si>
    <t>A. Philip Randolph Campus High School</t>
  </si>
  <si>
    <t>06M552</t>
  </si>
  <si>
    <t>Gregorio Luperon High School for Science and Mathe</t>
  </si>
  <si>
    <t>07X001</t>
  </si>
  <si>
    <t>P.S. 001 Courtlandt School</t>
  </si>
  <si>
    <t>07X005</t>
  </si>
  <si>
    <t>P.S. 5 Port Morris</t>
  </si>
  <si>
    <t>07X018</t>
  </si>
  <si>
    <t>P.S. 018 John Peter Zenger</t>
  </si>
  <si>
    <t>07X025</t>
  </si>
  <si>
    <t>P.S. 025 Bilingual School</t>
  </si>
  <si>
    <t>07X029</t>
  </si>
  <si>
    <t>P.S./M.S. 029 Melrose School</t>
  </si>
  <si>
    <t>07X030</t>
  </si>
  <si>
    <t>P.S. 030 Wilton</t>
  </si>
  <si>
    <t>07X031</t>
  </si>
  <si>
    <t>P.S./M.S. 031 The William Lloyd Garrison</t>
  </si>
  <si>
    <t>07X043</t>
  </si>
  <si>
    <t>P.S. 043 Jonas Bronck</t>
  </si>
  <si>
    <t>07X049</t>
  </si>
  <si>
    <t>P.S. 049 Willis Avenue</t>
  </si>
  <si>
    <t>07X065</t>
  </si>
  <si>
    <t>P.S. 065 Mother Hale Academy</t>
  </si>
  <si>
    <t>07X154</t>
  </si>
  <si>
    <t>P.S. 154 Jonathan D. Hyatt</t>
  </si>
  <si>
    <t>07X157</t>
  </si>
  <si>
    <t>P.S. 157 Grove Hill</t>
  </si>
  <si>
    <t>07X161</t>
  </si>
  <si>
    <t>P.S. 161 Juan Ponce De Leon School</t>
  </si>
  <si>
    <t>07X179</t>
  </si>
  <si>
    <t>Academy of Exploratory Arts</t>
  </si>
  <si>
    <t>East Side House, Inc.</t>
  </si>
  <si>
    <t>07X221</t>
  </si>
  <si>
    <t>South Bronx Preparatory: A College Board School</t>
  </si>
  <si>
    <t>07X223</t>
  </si>
  <si>
    <t>The Laboratory School of Finance and Technology: X</t>
  </si>
  <si>
    <t>07X224</t>
  </si>
  <si>
    <t>P.S./I.S. 224</t>
  </si>
  <si>
    <t>07X259</t>
  </si>
  <si>
    <t>H.E.R.O. High (Health, Education, and Research Occ</t>
  </si>
  <si>
    <t>07X277</t>
  </si>
  <si>
    <t>P.S. 277</t>
  </si>
  <si>
    <t>07X296</t>
  </si>
  <si>
    <t>South Bronx Academy for Applied Media</t>
  </si>
  <si>
    <t>07X298</t>
  </si>
  <si>
    <t>Academy of Public Relations</t>
  </si>
  <si>
    <t>07X334</t>
  </si>
  <si>
    <t>International Community High School</t>
  </si>
  <si>
    <t>07X343</t>
  </si>
  <si>
    <t>Academy of Applied Mathematics and Technology</t>
  </si>
  <si>
    <t>07X359</t>
  </si>
  <si>
    <t>Leaders of Excellence, Advocacy and Discovery</t>
  </si>
  <si>
    <t>07X369</t>
  </si>
  <si>
    <t>Young Leaders Elementary School</t>
  </si>
  <si>
    <t>07X379</t>
  </si>
  <si>
    <t>Jill Chaifetz Transfer High School</t>
  </si>
  <si>
    <t>BronxWorks</t>
  </si>
  <si>
    <t>07X381</t>
  </si>
  <si>
    <t>Bronx Haven High School</t>
  </si>
  <si>
    <t>07X427</t>
  </si>
  <si>
    <t>Community School for Social Justice</t>
  </si>
  <si>
    <t>07X473</t>
  </si>
  <si>
    <t>Mott Haven Village Preparatory High School</t>
  </si>
  <si>
    <t>07X495</t>
  </si>
  <si>
    <t>University Heights Secondary School</t>
  </si>
  <si>
    <t>07X500</t>
  </si>
  <si>
    <t>Hostos-Lincoln Academy of Science</t>
  </si>
  <si>
    <t>07X522</t>
  </si>
  <si>
    <t>Bronx Design and Construction Academy</t>
  </si>
  <si>
    <t>07X527</t>
  </si>
  <si>
    <t>Bronx Leadership Academy II High School</t>
  </si>
  <si>
    <t>07X548</t>
  </si>
  <si>
    <t>Careers in Sports High School</t>
  </si>
  <si>
    <t>07X551</t>
  </si>
  <si>
    <t>The Urban Assembly Bronx Academy of Letters</t>
  </si>
  <si>
    <t>07X557</t>
  </si>
  <si>
    <t>Mott Haven Community High School</t>
  </si>
  <si>
    <t>07X584</t>
  </si>
  <si>
    <t>I.S. 584</t>
  </si>
  <si>
    <t>07X600</t>
  </si>
  <si>
    <t>Alfred E. Smith Career and Technical Education Hig</t>
  </si>
  <si>
    <t>07X625</t>
  </si>
  <si>
    <t>Bronx Legacy High School</t>
  </si>
  <si>
    <t>07X642</t>
  </si>
  <si>
    <t>South Bronx Literacy Academy</t>
  </si>
  <si>
    <t>07X670</t>
  </si>
  <si>
    <t>Health Opportunities High School</t>
  </si>
  <si>
    <t>08X014</t>
  </si>
  <si>
    <t>P.S. X014 Senator John Calandra</t>
  </si>
  <si>
    <t>08X036</t>
  </si>
  <si>
    <t>P.S. 036 Unionport</t>
  </si>
  <si>
    <t>08X048</t>
  </si>
  <si>
    <t>P.S. 048 Joseph R. Drake</t>
  </si>
  <si>
    <t>08X062</t>
  </si>
  <si>
    <t>P.S. 062 Inocensio Casanova</t>
  </si>
  <si>
    <t>ASPIRA OF NEW YORK INC</t>
  </si>
  <si>
    <t>08X069</t>
  </si>
  <si>
    <t>P.S. 069 Journey Prep School</t>
  </si>
  <si>
    <t>08X071</t>
  </si>
  <si>
    <t>P.S. 071 Rose E. Scala</t>
  </si>
  <si>
    <t>08X072</t>
  </si>
  <si>
    <t>P.S. 072 Dr. William Dorney</t>
  </si>
  <si>
    <t>08X075</t>
  </si>
  <si>
    <t>P.S. 75 School of Research and Discovery</t>
  </si>
  <si>
    <t>08X093</t>
  </si>
  <si>
    <t>P.S. 093 Albert G. Oliver</t>
  </si>
  <si>
    <t>08X100</t>
  </si>
  <si>
    <t>P.S. 100 Isaac Clason</t>
  </si>
  <si>
    <t>08X101</t>
  </si>
  <si>
    <t>M.S. X101 Edward R. Byrne</t>
  </si>
  <si>
    <t>08X107</t>
  </si>
  <si>
    <t>P.S. 107</t>
  </si>
  <si>
    <t>08X119</t>
  </si>
  <si>
    <t>The Dr. Emmett W. Bassett School</t>
  </si>
  <si>
    <t>08X123</t>
  </si>
  <si>
    <t>J.H.S. 123 James M. Kieran</t>
  </si>
  <si>
    <t>Rising Ground, Inc.</t>
  </si>
  <si>
    <t>08X130</t>
  </si>
  <si>
    <t>P.S. 130 Abram Stevens Hewitt</t>
  </si>
  <si>
    <t>08X131</t>
  </si>
  <si>
    <t>J.H.S. 131 Albert Einstein</t>
  </si>
  <si>
    <t>08X138</t>
  </si>
  <si>
    <t>P.S. 138 Samuel Randall</t>
  </si>
  <si>
    <t>08X140</t>
  </si>
  <si>
    <t>P.S. X140 The Eagle School</t>
  </si>
  <si>
    <t>08X146</t>
  </si>
  <si>
    <t>P.S. 146 Edward Collins</t>
  </si>
  <si>
    <t>08X152</t>
  </si>
  <si>
    <t>P.S. 152 Evergreen</t>
  </si>
  <si>
    <t>08X182</t>
  </si>
  <si>
    <t>P.S. 182</t>
  </si>
  <si>
    <t>08X269</t>
  </si>
  <si>
    <t>Bronx Studio School for Writers and Artists</t>
  </si>
  <si>
    <t>08X282</t>
  </si>
  <si>
    <t>Women's Academy of Excellence</t>
  </si>
  <si>
    <t>08X293</t>
  </si>
  <si>
    <t>Renaissance High School for Musical Theater and th</t>
  </si>
  <si>
    <t>08X301</t>
  </si>
  <si>
    <t>M.S. 301 Paul L. Dunbar</t>
  </si>
  <si>
    <t>08X302</t>
  </si>
  <si>
    <t>M.S. 302 Luisa Dessus Cruz</t>
  </si>
  <si>
    <t>08X304</t>
  </si>
  <si>
    <t>P.S. 304 Early Childhood School</t>
  </si>
  <si>
    <t>08X312</t>
  </si>
  <si>
    <t>Millennium Art Academy</t>
  </si>
  <si>
    <t>08X320</t>
  </si>
  <si>
    <t>Pelham Lab High School</t>
  </si>
  <si>
    <t>08X333</t>
  </si>
  <si>
    <t>The Longwood Academy of Discovery</t>
  </si>
  <si>
    <t>08X337</t>
  </si>
  <si>
    <t>The School for Inquiry and Social Justice</t>
  </si>
  <si>
    <t>08X348</t>
  </si>
  <si>
    <t>Schuylerville Preparatory High School</t>
  </si>
  <si>
    <t>08X349</t>
  </si>
  <si>
    <t>Bronx River High School</t>
  </si>
  <si>
    <t>08X367</t>
  </si>
  <si>
    <t>Archimedes Academy for Math, Science and Technolog</t>
  </si>
  <si>
    <t>Omnilearn Corp.</t>
  </si>
  <si>
    <t>08X371</t>
  </si>
  <si>
    <t>Urban Institute of Mathematics</t>
  </si>
  <si>
    <t>08X375</t>
  </si>
  <si>
    <t>The Bronx Mathematics Preparatory School</t>
  </si>
  <si>
    <t>08X376</t>
  </si>
  <si>
    <t>Antonia Pantoja Preparatory Academy: A College Boa</t>
  </si>
  <si>
    <t>YMCA of Greater New York</t>
  </si>
  <si>
    <t>08X377</t>
  </si>
  <si>
    <t>Bronx Community High School</t>
  </si>
  <si>
    <t>08X392</t>
  </si>
  <si>
    <t>Bronx Delta School</t>
  </si>
  <si>
    <t>08X405</t>
  </si>
  <si>
    <t>Herbert H. Lehman High School</t>
  </si>
  <si>
    <t>New York Center for Interpersonal Development, Inc.</t>
  </si>
  <si>
    <t>08X424</t>
  </si>
  <si>
    <t>Bronx Academy for Multi-Media</t>
  </si>
  <si>
    <t xml:space="preserve">Graham Windham </t>
  </si>
  <si>
    <t>08X432</t>
  </si>
  <si>
    <t>Bronx Bridges High School</t>
  </si>
  <si>
    <t>08X448</t>
  </si>
  <si>
    <t>Soundview Academy for Culture and Scholarship</t>
  </si>
  <si>
    <t>08X452</t>
  </si>
  <si>
    <t>Gotham Collaborative High School</t>
  </si>
  <si>
    <t>08X467</t>
  </si>
  <si>
    <t>Mott Hall Community School</t>
  </si>
  <si>
    <t>08X530</t>
  </si>
  <si>
    <t>Longwood Preparatory Academy</t>
  </si>
  <si>
    <t>08X537</t>
  </si>
  <si>
    <t>Bronx Arena High School</t>
  </si>
  <si>
    <t>08X558</t>
  </si>
  <si>
    <t>Westchester Square Academy</t>
  </si>
  <si>
    <t>08X561</t>
  </si>
  <si>
    <t>Bronx Compass High School</t>
  </si>
  <si>
    <t>08X562</t>
  </si>
  <si>
    <t>Pugsley Preparatory Academy</t>
  </si>
  <si>
    <t>08X583</t>
  </si>
  <si>
    <t>P.S. 583</t>
  </si>
  <si>
    <t>08X636</t>
  </si>
  <si>
    <t>Virtual Innovators Academy</t>
  </si>
  <si>
    <t>09X004</t>
  </si>
  <si>
    <t>P.S./M.S. 004 Crotona Park West</t>
  </si>
  <si>
    <t>09X011</t>
  </si>
  <si>
    <t>P.S. 011 Highbridge</t>
  </si>
  <si>
    <t>09X022</t>
  </si>
  <si>
    <t>J.H.S. 022 Jordan L. Mott</t>
  </si>
  <si>
    <t>09X028</t>
  </si>
  <si>
    <t>P.S. 028 Mount Hope</t>
  </si>
  <si>
    <t>09X035</t>
  </si>
  <si>
    <t>P.S. 035 Franz Siegel</t>
  </si>
  <si>
    <t>09X042</t>
  </si>
  <si>
    <t>P.S. 042 Claremont</t>
  </si>
  <si>
    <t xml:space="preserve">Center for Supportive Schools, Inc. </t>
  </si>
  <si>
    <t>09X053</t>
  </si>
  <si>
    <t>P.S. 053 Basheer Quisim</t>
  </si>
  <si>
    <t>09X055</t>
  </si>
  <si>
    <t>P.S. 055 Benjamin Franklin</t>
  </si>
  <si>
    <t>SCAN</t>
  </si>
  <si>
    <t>09X058</t>
  </si>
  <si>
    <t>P.S. 058</t>
  </si>
  <si>
    <t>09X063</t>
  </si>
  <si>
    <t>P.S. 063 Author's Academy</t>
  </si>
  <si>
    <t>09X070</t>
  </si>
  <si>
    <t>P.S. 070 Max Schoenfeld</t>
  </si>
  <si>
    <t>09X073</t>
  </si>
  <si>
    <t>P.S. 073 Bronx</t>
  </si>
  <si>
    <t>09X088</t>
  </si>
  <si>
    <t>P.S. X088 - S. Silverstein Little Sparrow School</t>
  </si>
  <si>
    <t>09X109</t>
  </si>
  <si>
    <t>P.S. 109 Sedgwick</t>
  </si>
  <si>
    <t>09X110</t>
  </si>
  <si>
    <t>P.S. 110 Theodore Schoenfeld</t>
  </si>
  <si>
    <t>09X114</t>
  </si>
  <si>
    <t>P.S. X114 - Luis Llorens Torres Schools</t>
  </si>
  <si>
    <t>09X117</t>
  </si>
  <si>
    <t>I.S. 117 Joseph H. Wade</t>
  </si>
  <si>
    <t>09X126</t>
  </si>
  <si>
    <t>P.S. 126 Dr Marjorie H Dunbar</t>
  </si>
  <si>
    <t>09X128</t>
  </si>
  <si>
    <t>Mott Hall III</t>
  </si>
  <si>
    <t>09X132</t>
  </si>
  <si>
    <t>P.S. 132 Garret A. Morgan</t>
  </si>
  <si>
    <t>09X163</t>
  </si>
  <si>
    <t>P.S. 163 Arthur A. Schomburg</t>
  </si>
  <si>
    <t>09X170</t>
  </si>
  <si>
    <t>P.S. 170</t>
  </si>
  <si>
    <t>09X199</t>
  </si>
  <si>
    <t>P.S. 199X - The Shakespeare School</t>
  </si>
  <si>
    <t>09X204</t>
  </si>
  <si>
    <t>P.S. 204 Morris Heights</t>
  </si>
  <si>
    <t>09X215</t>
  </si>
  <si>
    <t>Kappa</t>
  </si>
  <si>
    <t>09X218</t>
  </si>
  <si>
    <t>P.S./I.S. 218 Rafael Hernandez Dual Language Magne</t>
  </si>
  <si>
    <t>09X219</t>
  </si>
  <si>
    <t>I.S. 219 New Venture School</t>
  </si>
  <si>
    <t>09X227</t>
  </si>
  <si>
    <t>Bronx Collegiate Academy</t>
  </si>
  <si>
    <t>09X229</t>
  </si>
  <si>
    <t>I.S. 229 Roland Patterson</t>
  </si>
  <si>
    <t>09X231</t>
  </si>
  <si>
    <t>Eagle Academy for Young Men</t>
  </si>
  <si>
    <t>09X232</t>
  </si>
  <si>
    <t>I.S. 232</t>
  </si>
  <si>
    <t>09X236</t>
  </si>
  <si>
    <t>P.S. 236 Langston Hughes</t>
  </si>
  <si>
    <t>09X241</t>
  </si>
  <si>
    <t>Urban Assembly School for Applied Math and Science</t>
  </si>
  <si>
    <t>09X250</t>
  </si>
  <si>
    <t>Eximius College Preparatory Academy: A College Boa</t>
  </si>
  <si>
    <t>09X252</t>
  </si>
  <si>
    <t>Mott Hall Bronx High School</t>
  </si>
  <si>
    <t>09X260</t>
  </si>
  <si>
    <t>Bronx Center for Science and Mathematics</t>
  </si>
  <si>
    <t>09X263</t>
  </si>
  <si>
    <t>Validus Preparatory Academy</t>
  </si>
  <si>
    <t>09X274</t>
  </si>
  <si>
    <t>The New American Academy at Roberto Clemente State</t>
  </si>
  <si>
    <t>09X294</t>
  </si>
  <si>
    <t>The Walton Avenue School</t>
  </si>
  <si>
    <t>Abbott House</t>
  </si>
  <si>
    <t>09X297</t>
  </si>
  <si>
    <t>Morris Academy for Collaborative Studies</t>
  </si>
  <si>
    <t>09X303</t>
  </si>
  <si>
    <t>I.S. X303 Leadership &amp; Community Service</t>
  </si>
  <si>
    <t>09X311</t>
  </si>
  <si>
    <t>Lucero Elementary School</t>
  </si>
  <si>
    <t>09X313</t>
  </si>
  <si>
    <t>I.S. 313 School of Leadership Development</t>
  </si>
  <si>
    <t>09X323</t>
  </si>
  <si>
    <t>Bronx Writing Academy</t>
  </si>
  <si>
    <t>09X324</t>
  </si>
  <si>
    <t>Bronx Early College Academy for Teaching &amp; Learnin</t>
  </si>
  <si>
    <t>09X327</t>
  </si>
  <si>
    <t>Comprehensive Model School Project M.S. 327</t>
  </si>
  <si>
    <t>09X329</t>
  </si>
  <si>
    <t>DreamYard Preparatory School</t>
  </si>
  <si>
    <t>09X339</t>
  </si>
  <si>
    <t>I.S. 339</t>
  </si>
  <si>
    <t>09X350</t>
  </si>
  <si>
    <t>New Directions Secondary School</t>
  </si>
  <si>
    <t>09X361</t>
  </si>
  <si>
    <t>The Highbridge Green School</t>
  </si>
  <si>
    <t>09X365</t>
  </si>
  <si>
    <t>Academy for Language and Technology</t>
  </si>
  <si>
    <t>09X403</t>
  </si>
  <si>
    <t>Bronx International High School</t>
  </si>
  <si>
    <t>09X412</t>
  </si>
  <si>
    <t>Bronx High School of Business</t>
  </si>
  <si>
    <t>09X413</t>
  </si>
  <si>
    <t>Bronx High School for Medical Science</t>
  </si>
  <si>
    <t>09X443</t>
  </si>
  <si>
    <t>The Family School</t>
  </si>
  <si>
    <t>09X449</t>
  </si>
  <si>
    <t>Grant Avenue Elementary School</t>
  </si>
  <si>
    <t>09X454</t>
  </si>
  <si>
    <t>Science and Technology Academy: A Mott Hall School</t>
  </si>
  <si>
    <t>09X457</t>
  </si>
  <si>
    <t>Sheridan Academy for Young Leaders</t>
  </si>
  <si>
    <t>09X505</t>
  </si>
  <si>
    <t>Bronx School for Law, Government and Justice</t>
  </si>
  <si>
    <t>09X517</t>
  </si>
  <si>
    <t>Frederick Douglass Academy III Secondary School</t>
  </si>
  <si>
    <t>09X525</t>
  </si>
  <si>
    <t>Bronx Leadership Academy High School</t>
  </si>
  <si>
    <t>09X543</t>
  </si>
  <si>
    <t>High School for Violin and Dance</t>
  </si>
  <si>
    <t>09X555</t>
  </si>
  <si>
    <t>Mount Eden Children's Academy</t>
  </si>
  <si>
    <t>09X564</t>
  </si>
  <si>
    <t>Claremont International HS</t>
  </si>
  <si>
    <t>THE CRENULATED COMPANY LTD</t>
  </si>
  <si>
    <t>09X568</t>
  </si>
  <si>
    <t>Young Women's Leadership School of the Bronx</t>
  </si>
  <si>
    <t>09X593</t>
  </si>
  <si>
    <t>South Bronx International Middle School</t>
  </si>
  <si>
    <t>09X594</t>
  </si>
  <si>
    <t>New Pathways Academy</t>
  </si>
  <si>
    <t>09X644</t>
  </si>
  <si>
    <t>Bronx Debate Academy</t>
  </si>
  <si>
    <t>10X003</t>
  </si>
  <si>
    <t>P.S. 3 Raul Julia Micro Society</t>
  </si>
  <si>
    <t>10X007</t>
  </si>
  <si>
    <t>Milton Fein School</t>
  </si>
  <si>
    <t>10X008</t>
  </si>
  <si>
    <t>P.S. 008 Isaac Varian</t>
  </si>
  <si>
    <t>10X009</t>
  </si>
  <si>
    <t>P.S. 9 Ryer Avenue Elementary School</t>
  </si>
  <si>
    <t>10X015</t>
  </si>
  <si>
    <t>P.S. X015 Institute for Environmental Learning</t>
  </si>
  <si>
    <t>10X020</t>
  </si>
  <si>
    <t>PS/MS 20 P.O.George J. Werdann, III</t>
  </si>
  <si>
    <t>10X023</t>
  </si>
  <si>
    <t>P.S. 023 The New Children's School</t>
  </si>
  <si>
    <t>10X024</t>
  </si>
  <si>
    <t>P.S. 024 Spuyten Duyvil</t>
  </si>
  <si>
    <t>10X032</t>
  </si>
  <si>
    <t>P.S. 032 Belmont</t>
  </si>
  <si>
    <t>10X033</t>
  </si>
  <si>
    <t>P.S. 033 Timothy Dwight</t>
  </si>
  <si>
    <t>10X037</t>
  </si>
  <si>
    <t>P.S. X037 - Multiple Intelligence School</t>
  </si>
  <si>
    <t>10X045</t>
  </si>
  <si>
    <t>Thomas C. Giordano Middle School 45</t>
  </si>
  <si>
    <t>10X046</t>
  </si>
  <si>
    <t>P.S. 046 Edgar Allan Poe</t>
  </si>
  <si>
    <t>10X051</t>
  </si>
  <si>
    <t>The Bronx STEM and Arts Academy</t>
  </si>
  <si>
    <t>DreamYard</t>
  </si>
  <si>
    <t>10X054</t>
  </si>
  <si>
    <t>P.S./I.S. 54</t>
  </si>
  <si>
    <t>10X056</t>
  </si>
  <si>
    <t>P.S. 056 Norwood Heights</t>
  </si>
  <si>
    <t>10X059</t>
  </si>
  <si>
    <t>P.S. 059 The Community School of Technology</t>
  </si>
  <si>
    <t>10X077</t>
  </si>
  <si>
    <t>Bedford Park Elementary School</t>
  </si>
  <si>
    <t>10X080</t>
  </si>
  <si>
    <t>J.H.S. 080 The Mosholu Parkway</t>
  </si>
  <si>
    <t>10X081</t>
  </si>
  <si>
    <t>P.S. 081 Robert J. Christen</t>
  </si>
  <si>
    <t>10X085</t>
  </si>
  <si>
    <t>P.S. 085 Great Expectations</t>
  </si>
  <si>
    <t>10X086</t>
  </si>
  <si>
    <t>P.S. 086 Kingsbridge Heights</t>
  </si>
  <si>
    <t>10X091</t>
  </si>
  <si>
    <t>P.S. 091 Bronx</t>
  </si>
  <si>
    <t>10X094</t>
  </si>
  <si>
    <t>P.S. 094 Kings College School</t>
  </si>
  <si>
    <t>10X095</t>
  </si>
  <si>
    <t>P.S. 095 Sheila Mencher</t>
  </si>
  <si>
    <t>10X118</t>
  </si>
  <si>
    <t>J.H.S. 118 William W. Niles</t>
  </si>
  <si>
    <t>10X141</t>
  </si>
  <si>
    <t>Riverdale / Kingsbridge Academy (Middle School / H</t>
  </si>
  <si>
    <t>10X159</t>
  </si>
  <si>
    <t>P.S. 159 Luis Munoz Marin Biling</t>
  </si>
  <si>
    <t>10X205</t>
  </si>
  <si>
    <t>P.S. 205 Fiorello LaGuardia</t>
  </si>
  <si>
    <t>10X206</t>
  </si>
  <si>
    <t>I.S. 206 Ann Mersereau</t>
  </si>
  <si>
    <t>10X207</t>
  </si>
  <si>
    <t>P.S. 207</t>
  </si>
  <si>
    <t>10X209</t>
  </si>
  <si>
    <t>P.S. 209</t>
  </si>
  <si>
    <t>10X213</t>
  </si>
  <si>
    <t>Bronx Engineering and Technology Academy</t>
  </si>
  <si>
    <t>10X225</t>
  </si>
  <si>
    <t>Theatre Arts Production Company School</t>
  </si>
  <si>
    <t>10X226</t>
  </si>
  <si>
    <t>P.S. 226</t>
  </si>
  <si>
    <t>10X228</t>
  </si>
  <si>
    <t>Jonas Bronck Academy</t>
  </si>
  <si>
    <t>10X237</t>
  </si>
  <si>
    <t>The Marie Curie High School for Medicine, Nursing,</t>
  </si>
  <si>
    <t>10X243</t>
  </si>
  <si>
    <t>West Bronx Academy for the Future</t>
  </si>
  <si>
    <t>10X244</t>
  </si>
  <si>
    <t>The New School for Leadership and Journalism</t>
  </si>
  <si>
    <t>10X246</t>
  </si>
  <si>
    <t>P.S. 246 Poe Center</t>
  </si>
  <si>
    <t>10X254</t>
  </si>
  <si>
    <t>I.S. 254</t>
  </si>
  <si>
    <t>10X264</t>
  </si>
  <si>
    <t>Bronx Academy for Software Engineering (BASE)</t>
  </si>
  <si>
    <t>10X268</t>
  </si>
  <si>
    <t>Kingsbridge International High School</t>
  </si>
  <si>
    <t>10X279</t>
  </si>
  <si>
    <t>P.S. 279 Captain Manuel Rivera, Jr.</t>
  </si>
  <si>
    <t>10X280</t>
  </si>
  <si>
    <t>P.S./M.S. 280 Mosholu Parkway</t>
  </si>
  <si>
    <t>10X284</t>
  </si>
  <si>
    <t>Bronx School of Law and Finance</t>
  </si>
  <si>
    <t>10X291</t>
  </si>
  <si>
    <t>P.S. 291</t>
  </si>
  <si>
    <t>10X306</t>
  </si>
  <si>
    <t>P.S. 306</t>
  </si>
  <si>
    <t>10X308</t>
  </si>
  <si>
    <t>Bronx Dance Academy School</t>
  </si>
  <si>
    <t>10X310</t>
  </si>
  <si>
    <t>P.S. 310 Marble Hill</t>
  </si>
  <si>
    <t>10X315</t>
  </si>
  <si>
    <t>P.S. 315 Lab School</t>
  </si>
  <si>
    <t>10X319</t>
  </si>
  <si>
    <t>Providing Urban Learners Success In Education High</t>
  </si>
  <si>
    <t>10X331</t>
  </si>
  <si>
    <t>The Bronx School of Young Leaders</t>
  </si>
  <si>
    <t>Fordham University</t>
  </si>
  <si>
    <t>10X340</t>
  </si>
  <si>
    <t>P.S. 340</t>
  </si>
  <si>
    <t>10X342</t>
  </si>
  <si>
    <t>International School for Liberal Arts</t>
  </si>
  <si>
    <t>10X344</t>
  </si>
  <si>
    <t>Ampark Neighborhood</t>
  </si>
  <si>
    <t>10X351</t>
  </si>
  <si>
    <t>Bronx Collaborative High School</t>
  </si>
  <si>
    <t>10X353</t>
  </si>
  <si>
    <t>World View High School</t>
  </si>
  <si>
    <t>10X360</t>
  </si>
  <si>
    <t>P.S. 360</t>
  </si>
  <si>
    <t>10X363</t>
  </si>
  <si>
    <t>Academy For Personal Leadership And Excellence</t>
  </si>
  <si>
    <t>10X368</t>
  </si>
  <si>
    <t>In-Tech Academy (M.S. / High School 368)</t>
  </si>
  <si>
    <t>10X374</t>
  </si>
  <si>
    <t>Knowledge and Power Preparatory Academy Internatio</t>
  </si>
  <si>
    <t>10X386</t>
  </si>
  <si>
    <t>School for Environmental Citizenship</t>
  </si>
  <si>
    <t>10X390</t>
  </si>
  <si>
    <t>M.S. 390</t>
  </si>
  <si>
    <t>10X391</t>
  </si>
  <si>
    <t>The Angelo Patri Middle School</t>
  </si>
  <si>
    <t>10X396</t>
  </si>
  <si>
    <t>P.S. 396</t>
  </si>
  <si>
    <t>10X397</t>
  </si>
  <si>
    <t>English Language Learners and International Suppor</t>
  </si>
  <si>
    <t>10X433</t>
  </si>
  <si>
    <t>High School for Teaching and the Professions</t>
  </si>
  <si>
    <t>10X434</t>
  </si>
  <si>
    <t>Belmont Preparatory High School</t>
  </si>
  <si>
    <t>10X437</t>
  </si>
  <si>
    <t>Fordham High School for the Arts</t>
  </si>
  <si>
    <t>10X438</t>
  </si>
  <si>
    <t>Fordham Leadership Academy</t>
  </si>
  <si>
    <t>10X439</t>
  </si>
  <si>
    <t>Bronx High School for Law and Community Service</t>
  </si>
  <si>
    <t>10X440</t>
  </si>
  <si>
    <t>DeWitt Clinton High School</t>
  </si>
  <si>
    <t>Good Shepherd Services</t>
  </si>
  <si>
    <t>10X442</t>
  </si>
  <si>
    <t>Celia Cruz Bronx High School of Music, The</t>
  </si>
  <si>
    <t>10X445</t>
  </si>
  <si>
    <t>The Bronx High School of Science</t>
  </si>
  <si>
    <t>10X447</t>
  </si>
  <si>
    <t>Creston Academy</t>
  </si>
  <si>
    <t>10X477</t>
  </si>
  <si>
    <t>Marble Hill High School for International Studies</t>
  </si>
  <si>
    <t>10X524</t>
  </si>
  <si>
    <t>Crotona International High School</t>
  </si>
  <si>
    <t>10X546</t>
  </si>
  <si>
    <t>Bronx Theatre High School</t>
  </si>
  <si>
    <t>10X549</t>
  </si>
  <si>
    <t>Discovery High School</t>
  </si>
  <si>
    <t>10X565</t>
  </si>
  <si>
    <t>High School for Energy and Technology</t>
  </si>
  <si>
    <t>10X696</t>
  </si>
  <si>
    <t>High School of American Studies at Lehman College</t>
  </si>
  <si>
    <t>11X016</t>
  </si>
  <si>
    <t>P.S. 016 Wakefield</t>
  </si>
  <si>
    <t>11X019</t>
  </si>
  <si>
    <t>P.S. 019 Judith K. Weiss</t>
  </si>
  <si>
    <t>11X021</t>
  </si>
  <si>
    <t>P.S. 021 Philip H. Sheridan</t>
  </si>
  <si>
    <t>11X041</t>
  </si>
  <si>
    <t>P.S. 041 Gun Hill Road</t>
  </si>
  <si>
    <t>11X068</t>
  </si>
  <si>
    <t>P.S. 068 Bronx</t>
  </si>
  <si>
    <t>11X076</t>
  </si>
  <si>
    <t>P.S. 076 The Bennington School</t>
  </si>
  <si>
    <t>11X078</t>
  </si>
  <si>
    <t>P.S. 078 Anne Hutchinson</t>
  </si>
  <si>
    <t>11X083</t>
  </si>
  <si>
    <t>P.S. 083 Donald Hertz</t>
  </si>
  <si>
    <t>11X087</t>
  </si>
  <si>
    <t>P.S. 087 Bronx</t>
  </si>
  <si>
    <t>11X089</t>
  </si>
  <si>
    <t>P.S. 089 Bronx</t>
  </si>
  <si>
    <t>11X096</t>
  </si>
  <si>
    <t>P.S. 096 Richard Rodgers</t>
  </si>
  <si>
    <t>11X097</t>
  </si>
  <si>
    <t>P.S. 097 Bronx</t>
  </si>
  <si>
    <t>11X103</t>
  </si>
  <si>
    <t>P.S. 103 Hector Fontanez</t>
  </si>
  <si>
    <t>11X105</t>
  </si>
  <si>
    <t>P.S. 105 Sen Abraham Bernstein</t>
  </si>
  <si>
    <t>11X106</t>
  </si>
  <si>
    <t>P.S. 106 Parkchester</t>
  </si>
  <si>
    <t>11X108</t>
  </si>
  <si>
    <t>P.S. 108 Philip J. Abinanti</t>
  </si>
  <si>
    <t>11X111</t>
  </si>
  <si>
    <t>P.S. 111 Seton Falls</t>
  </si>
  <si>
    <t>11X112</t>
  </si>
  <si>
    <t>P.S. 112 Bronxwood</t>
  </si>
  <si>
    <t>11X121</t>
  </si>
  <si>
    <t>P.S. 121 Throop</t>
  </si>
  <si>
    <t>11X127</t>
  </si>
  <si>
    <t>J.H.S. 127 The Castle Hill</t>
  </si>
  <si>
    <t>11X144</t>
  </si>
  <si>
    <t>J.H.S. 144 Michelangelo</t>
  </si>
  <si>
    <t>11X153</t>
  </si>
  <si>
    <t>P.S. 153 Helen Keller</t>
  </si>
  <si>
    <t>11X160</t>
  </si>
  <si>
    <t>P.S. 160 Walt Disney</t>
  </si>
  <si>
    <t>11X169</t>
  </si>
  <si>
    <t>Baychester Academy</t>
  </si>
  <si>
    <t>11X175</t>
  </si>
  <si>
    <t>P.S. 175 City Island</t>
  </si>
  <si>
    <t>11X178</t>
  </si>
  <si>
    <t>P.S. 178 - Dr. Selman Waksman</t>
  </si>
  <si>
    <t>11X180</t>
  </si>
  <si>
    <t>M.S. 180 Dr. Daniel Hale Williams</t>
  </si>
  <si>
    <t>11X181</t>
  </si>
  <si>
    <t>I.S. 181 Pablo Casals</t>
  </si>
  <si>
    <t>11X189</t>
  </si>
  <si>
    <t>Cornerstone Academy for Social Action</t>
  </si>
  <si>
    <t>11X194</t>
  </si>
  <si>
    <t>P.S./M.S. 194</t>
  </si>
  <si>
    <t>11X249</t>
  </si>
  <si>
    <t>Bronx Health Sciences High School</t>
  </si>
  <si>
    <t>11X265</t>
  </si>
  <si>
    <t>Bronx Lab School</t>
  </si>
  <si>
    <t>11X270</t>
  </si>
  <si>
    <t>Academy for Scholarship and Entrepreneurship: A Co</t>
  </si>
  <si>
    <t>11X275</t>
  </si>
  <si>
    <t>High School of Computers and Technology</t>
  </si>
  <si>
    <t>11X288</t>
  </si>
  <si>
    <t>Collegiate Institute for Math and Science</t>
  </si>
  <si>
    <t>11X290</t>
  </si>
  <si>
    <t>Bronx Academy of Health Careers</t>
  </si>
  <si>
    <t>11X299</t>
  </si>
  <si>
    <t>Astor Collegiate Academy</t>
  </si>
  <si>
    <t>11X326</t>
  </si>
  <si>
    <t>Bronx Green Middle School</t>
  </si>
  <si>
    <t>11X355</t>
  </si>
  <si>
    <t>Bronx Alliance Middle School</t>
  </si>
  <si>
    <t>11X357</t>
  </si>
  <si>
    <t>Young Voices Academy of the Bronx</t>
  </si>
  <si>
    <t>11X370</t>
  </si>
  <si>
    <t>Leaders of Tomorrow</t>
  </si>
  <si>
    <t>11X418</t>
  </si>
  <si>
    <t>Bronx High School for the Visual Arts</t>
  </si>
  <si>
    <t>11X455</t>
  </si>
  <si>
    <t>Harry S Truman High School</t>
  </si>
  <si>
    <t>11X462</t>
  </si>
  <si>
    <t>Cornerstone Academy for Social Action Middle Schoo</t>
  </si>
  <si>
    <t>11X468</t>
  </si>
  <si>
    <t>Pelham Academy of Academics and Community Engageme</t>
  </si>
  <si>
    <t>11X481</t>
  </si>
  <si>
    <t>The STEAM Bridge School</t>
  </si>
  <si>
    <t>11X483</t>
  </si>
  <si>
    <t>The Matilda Avenue School</t>
  </si>
  <si>
    <t>11X498</t>
  </si>
  <si>
    <t>P.S./M.S. 11X498 - Van Nest Academy</t>
  </si>
  <si>
    <t>11X508</t>
  </si>
  <si>
    <t>Bronxdale High School</t>
  </si>
  <si>
    <t>11X509</t>
  </si>
  <si>
    <t>High School of Language and Innovation</t>
  </si>
  <si>
    <t>11X513</t>
  </si>
  <si>
    <t>New World High School</t>
  </si>
  <si>
    <t>11X514</t>
  </si>
  <si>
    <t>The Bronxwood Preparatory Academy</t>
  </si>
  <si>
    <t>11X529</t>
  </si>
  <si>
    <t>One World Middle School at Edenwald</t>
  </si>
  <si>
    <t>11X532</t>
  </si>
  <si>
    <t>Baychester Middle School</t>
  </si>
  <si>
    <t>11X542</t>
  </si>
  <si>
    <t>Pelham Preparatory Academy</t>
  </si>
  <si>
    <t>11X544</t>
  </si>
  <si>
    <t>High School for Contemporary Arts</t>
  </si>
  <si>
    <t>11X545</t>
  </si>
  <si>
    <t>Bronx Aerospace High School</t>
  </si>
  <si>
    <t>11X556</t>
  </si>
  <si>
    <t>Bronx Park Middle School</t>
  </si>
  <si>
    <t>11X566</t>
  </si>
  <si>
    <t>Pelham Gardens Middle School</t>
  </si>
  <si>
    <t>11X567</t>
  </si>
  <si>
    <t>Linden Tree Elementary School</t>
  </si>
  <si>
    <t>12X006</t>
  </si>
  <si>
    <t>P.S. 006 West Farms</t>
  </si>
  <si>
    <t>12X044</t>
  </si>
  <si>
    <t>P.S. 044 David C. Farragut</t>
  </si>
  <si>
    <t>Phipps Neighborhoods Inc</t>
  </si>
  <si>
    <t>12X047</t>
  </si>
  <si>
    <t>P.S. 047 John Randolph</t>
  </si>
  <si>
    <t>12X057</t>
  </si>
  <si>
    <t>P.S. 057 Crescent</t>
  </si>
  <si>
    <t>12X061</t>
  </si>
  <si>
    <t>P.S. 061 Francisco Oller</t>
  </si>
  <si>
    <t>12X066</t>
  </si>
  <si>
    <t>P.S. 066 School of Higher Expectations</t>
  </si>
  <si>
    <t>12X067</t>
  </si>
  <si>
    <t>P.S. 067 Mohegan School</t>
  </si>
  <si>
    <t>12X129</t>
  </si>
  <si>
    <t>M.S. 129 Academy for Independent Learning and Lead</t>
  </si>
  <si>
    <t>12X134</t>
  </si>
  <si>
    <t>P.S. 134 George F. Bristow</t>
  </si>
  <si>
    <t>12X150</t>
  </si>
  <si>
    <t>P.S. 150 Charles James Fox</t>
  </si>
  <si>
    <t>12X190</t>
  </si>
  <si>
    <t>E.S.M.T- I.S. 190</t>
  </si>
  <si>
    <t>12X195</t>
  </si>
  <si>
    <t>P.S. 195</t>
  </si>
  <si>
    <t>12X196</t>
  </si>
  <si>
    <t>P.S. 196</t>
  </si>
  <si>
    <t>12X211</t>
  </si>
  <si>
    <t>P.S. 211</t>
  </si>
  <si>
    <t>12X214</t>
  </si>
  <si>
    <t>P.S. 214</t>
  </si>
  <si>
    <t>12X217</t>
  </si>
  <si>
    <t>School of Performing Arts</t>
  </si>
  <si>
    <t>12X242</t>
  </si>
  <si>
    <t>Mott Hall V</t>
  </si>
  <si>
    <t>12X248</t>
  </si>
  <si>
    <t>Metropolitan High School, The</t>
  </si>
  <si>
    <t>12X251</t>
  </si>
  <si>
    <t>Explorations Academy H.S.</t>
  </si>
  <si>
    <t>12X267</t>
  </si>
  <si>
    <t>Bronx Latin</t>
  </si>
  <si>
    <t>12X271</t>
  </si>
  <si>
    <t>East Bronx Academy for the Future</t>
  </si>
  <si>
    <t>12X273</t>
  </si>
  <si>
    <t>Frederick Douglass Academy V. Middle School</t>
  </si>
  <si>
    <t>12X286</t>
  </si>
  <si>
    <t>Fannie Lou Hamer Middle School</t>
  </si>
  <si>
    <t>12X300</t>
  </si>
  <si>
    <t>The School of Science and Applied Learning</t>
  </si>
  <si>
    <t>12X314</t>
  </si>
  <si>
    <t>Fairmont Neighborhood School</t>
  </si>
  <si>
    <t>12X316</t>
  </si>
  <si>
    <t>Kappa III</t>
  </si>
  <si>
    <t>12X318</t>
  </si>
  <si>
    <t>I.S. X318 Math, Science &amp; Technology Through Arts</t>
  </si>
  <si>
    <t>12X341</t>
  </si>
  <si>
    <t>Accion Academy</t>
  </si>
  <si>
    <t>12X383</t>
  </si>
  <si>
    <t>Emolior Academy</t>
  </si>
  <si>
    <t>12X388</t>
  </si>
  <si>
    <t>Pan American International High School at Monroe</t>
  </si>
  <si>
    <t>12X446</t>
  </si>
  <si>
    <t>Arturo A. Schomburg Satellite Academy Bronx</t>
  </si>
  <si>
    <t>12X458</t>
  </si>
  <si>
    <t>Samara Community School</t>
  </si>
  <si>
    <t>12X463</t>
  </si>
  <si>
    <t>Urban Scholars Community School</t>
  </si>
  <si>
    <t>12X478</t>
  </si>
  <si>
    <t>The Cinema School</t>
  </si>
  <si>
    <t>12X479</t>
  </si>
  <si>
    <t>Bronx Career and College Preparatory High School</t>
  </si>
  <si>
    <t>12X480</t>
  </si>
  <si>
    <t>Bronx Regional High School</t>
  </si>
  <si>
    <t>12X511</t>
  </si>
  <si>
    <t>Bronx Envision Academy</t>
  </si>
  <si>
    <t>TRIAD CONSULTING STRATEGIES INC</t>
  </si>
  <si>
    <t>12X521</t>
  </si>
  <si>
    <t>The Metropolitan Soundview High School</t>
  </si>
  <si>
    <t>12X531</t>
  </si>
  <si>
    <t>Archer Elementary School</t>
  </si>
  <si>
    <t>12X536</t>
  </si>
  <si>
    <t>P.S. 536</t>
  </si>
  <si>
    <t>12X550</t>
  </si>
  <si>
    <t>High School of World Cultures</t>
  </si>
  <si>
    <t>12X595</t>
  </si>
  <si>
    <t>P.S. 595</t>
  </si>
  <si>
    <t>12X641</t>
  </si>
  <si>
    <t>Bard High School Early College Bronx</t>
  </si>
  <si>
    <t>12X682</t>
  </si>
  <si>
    <t>Fannie Lou Hamer Freedom High School</t>
  </si>
  <si>
    <t>12X684</t>
  </si>
  <si>
    <t>Wings Academy</t>
  </si>
  <si>
    <t>PHIPPS NEIGHBORHOODS INC</t>
  </si>
  <si>
    <t>12X691</t>
  </si>
  <si>
    <t>Bronx Little School</t>
  </si>
  <si>
    <t>13K003</t>
  </si>
  <si>
    <t>P.S. 003 The Bedford Village</t>
  </si>
  <si>
    <t>13K008</t>
  </si>
  <si>
    <t>The Emily Warren Roebling School</t>
  </si>
  <si>
    <t>13K009</t>
  </si>
  <si>
    <t>Public School 9 The Sarah Smith Garnet School</t>
  </si>
  <si>
    <t>13K011</t>
  </si>
  <si>
    <t>P.S. 011 Purvis J. Behan</t>
  </si>
  <si>
    <t>13K020</t>
  </si>
  <si>
    <t>P.S. 020 Clinton Hill</t>
  </si>
  <si>
    <t>13K044</t>
  </si>
  <si>
    <t>P.S. 044 Marcus Garvey</t>
  </si>
  <si>
    <t>13K046</t>
  </si>
  <si>
    <t>P.S. 046 Edward C. Blum</t>
  </si>
  <si>
    <t>13K054</t>
  </si>
  <si>
    <t>P.S. 54 The Detective Rafael Ramos School</t>
  </si>
  <si>
    <t>13K056</t>
  </si>
  <si>
    <t>P.S. 056 Lewis H. Latimer</t>
  </si>
  <si>
    <t>13K067</t>
  </si>
  <si>
    <t>P.S. 067 Charles A. Dorsey</t>
  </si>
  <si>
    <t>13K093</t>
  </si>
  <si>
    <t>P.S. 093 William H. Prescott</t>
  </si>
  <si>
    <t>13K113</t>
  </si>
  <si>
    <t>M.S. 113 Ronald Edmonds Learning Center</t>
  </si>
  <si>
    <t>13K133</t>
  </si>
  <si>
    <t>P.S. 133 William A. Butler</t>
  </si>
  <si>
    <t>13K256</t>
  </si>
  <si>
    <t>P.S. 256 Benjamin Banneker</t>
  </si>
  <si>
    <t>13K265</t>
  </si>
  <si>
    <t>Dr. Susan S. McKinney Secondary School of the Arts</t>
  </si>
  <si>
    <t>13K266</t>
  </si>
  <si>
    <t>M.S. K266 - Park Place Community Middle School</t>
  </si>
  <si>
    <t>13K270</t>
  </si>
  <si>
    <t>P.S. 270 Johann DeKalb</t>
  </si>
  <si>
    <t>13K282</t>
  </si>
  <si>
    <t>P.S. 282 Park Slope</t>
  </si>
  <si>
    <t>13K287</t>
  </si>
  <si>
    <t>P.S. 287 Bailey K. Ashford</t>
  </si>
  <si>
    <t>13K301</t>
  </si>
  <si>
    <t>Restoration Academy</t>
  </si>
  <si>
    <t>13K307</t>
  </si>
  <si>
    <t>P.S. 307 Daniel Hale Williams</t>
  </si>
  <si>
    <t>13K313</t>
  </si>
  <si>
    <t>Dock Street School for STEAM Studies</t>
  </si>
  <si>
    <t>13K350</t>
  </si>
  <si>
    <t>Creators Academy</t>
  </si>
  <si>
    <t>13K351</t>
  </si>
  <si>
    <t>The Urban Assembly Unison School</t>
  </si>
  <si>
    <t>13K412</t>
  </si>
  <si>
    <t>Brooklyn Community Arts &amp; Media High School (BCAM)</t>
  </si>
  <si>
    <t>13K419</t>
  </si>
  <si>
    <t>Science Skills Center High School for Science, Tec</t>
  </si>
  <si>
    <t>13K430</t>
  </si>
  <si>
    <t>Brooklyn Technical High School</t>
  </si>
  <si>
    <t>13K439</t>
  </si>
  <si>
    <t>Brooklyn International High School</t>
  </si>
  <si>
    <t>13K482</t>
  </si>
  <si>
    <t>Albee Square Montessori Public School</t>
  </si>
  <si>
    <t>13K483</t>
  </si>
  <si>
    <t>The Urban Assembly School for Law and Justice</t>
  </si>
  <si>
    <t>13K492</t>
  </si>
  <si>
    <t>Academy of Arts and Letters</t>
  </si>
  <si>
    <t>13K527</t>
  </si>
  <si>
    <t>Urban Assembly Institute of Math and Science for Y</t>
  </si>
  <si>
    <t>13K553</t>
  </si>
  <si>
    <t>Brooklyn Academy High School</t>
  </si>
  <si>
    <t>13K594</t>
  </si>
  <si>
    <t>Gotham Professional Arts Academy</t>
  </si>
  <si>
    <t>13K595</t>
  </si>
  <si>
    <t>Bedford Academy High School</t>
  </si>
  <si>
    <t>13K605</t>
  </si>
  <si>
    <t>George Westinghouse Career and Technical Education</t>
  </si>
  <si>
    <t>13K616</t>
  </si>
  <si>
    <t>Brooklyn High School for Leadership and Community</t>
  </si>
  <si>
    <t>13K670</t>
  </si>
  <si>
    <t>Benjamin Banneker Academy</t>
  </si>
  <si>
    <t>13K674</t>
  </si>
  <si>
    <t>City Polytechnic High School of Engineering, Archi</t>
  </si>
  <si>
    <t>13K691</t>
  </si>
  <si>
    <t>Fort Greene Preparatory Academy</t>
  </si>
  <si>
    <t>13K915</t>
  </si>
  <si>
    <t>Bridges: A School for Exploration and Equity</t>
  </si>
  <si>
    <t>13K963</t>
  </si>
  <si>
    <t>Design Works High School</t>
  </si>
  <si>
    <t>14K016</t>
  </si>
  <si>
    <t>P.S. 016 Leonard Dunkly</t>
  </si>
  <si>
    <t>14K017</t>
  </si>
  <si>
    <t>P.S. 017 Henry D. Woodworth</t>
  </si>
  <si>
    <t>14K018</t>
  </si>
  <si>
    <t>P.S. 018 Edward Bush</t>
  </si>
  <si>
    <t>14K023</t>
  </si>
  <si>
    <t>P.S. 023 Carter G. Woodson</t>
  </si>
  <si>
    <t>14K031</t>
  </si>
  <si>
    <t>P.S. 031 Samuel F. Dupont</t>
  </si>
  <si>
    <t>14K034</t>
  </si>
  <si>
    <t>P.S. 034 Oliver H. Perry</t>
  </si>
  <si>
    <t>14K050</t>
  </si>
  <si>
    <t>J.H.S. 050 John D. Wells</t>
  </si>
  <si>
    <t>El Puente</t>
  </si>
  <si>
    <t>14K059</t>
  </si>
  <si>
    <t>P.S. 059 The Dawn Best School</t>
  </si>
  <si>
    <t>Areté Education</t>
  </si>
  <si>
    <t>14K071</t>
  </si>
  <si>
    <t>Juan Morel Campos Secondary School</t>
  </si>
  <si>
    <t>14K084</t>
  </si>
  <si>
    <t>P.S. 084 Jose De Diego</t>
  </si>
  <si>
    <t>14K110</t>
  </si>
  <si>
    <t>P.S. 110 The Monitor</t>
  </si>
  <si>
    <t>14K120</t>
  </si>
  <si>
    <t>P.S. 120 Carlos Tapia</t>
  </si>
  <si>
    <t>14K126</t>
  </si>
  <si>
    <t>John Ericsson Middle School 126</t>
  </si>
  <si>
    <t>St Nick's Alliance</t>
  </si>
  <si>
    <t>14K132</t>
  </si>
  <si>
    <t>P.S. 132 The Conselyea School</t>
  </si>
  <si>
    <t>14K147</t>
  </si>
  <si>
    <t>P.S. 147 Isaac Remsen</t>
  </si>
  <si>
    <t>14K157</t>
  </si>
  <si>
    <t>P.S./I.S. 157 The Benjamin Franklin Health &amp; Scien</t>
  </si>
  <si>
    <t>14K196</t>
  </si>
  <si>
    <t>P.S. 196 Ten Eyck</t>
  </si>
  <si>
    <t>14K250</t>
  </si>
  <si>
    <t>P.S. 250 George H. Lindsay</t>
  </si>
  <si>
    <t>14K257</t>
  </si>
  <si>
    <t>P.S. 257 John F. Hylan</t>
  </si>
  <si>
    <t>14K297</t>
  </si>
  <si>
    <t>P.S. 297 Abraham Stockton</t>
  </si>
  <si>
    <t>14K318</t>
  </si>
  <si>
    <t>I.S. 318 Eugenio Maria De Hostos</t>
  </si>
  <si>
    <t>14K319</t>
  </si>
  <si>
    <t>P.S. 319</t>
  </si>
  <si>
    <t>14K380</t>
  </si>
  <si>
    <t>P.S. 380 John Wayne Elementary</t>
  </si>
  <si>
    <t>14K414</t>
  </si>
  <si>
    <t>Brooklyn Arbor Elementary School</t>
  </si>
  <si>
    <t>14K449</t>
  </si>
  <si>
    <t>Brooklyn Latin School, The</t>
  </si>
  <si>
    <t>14K454</t>
  </si>
  <si>
    <t>The Williamsburg High School of Art and Technology</t>
  </si>
  <si>
    <t>14K474</t>
  </si>
  <si>
    <t>PROGRESS High School for Professional Careers</t>
  </si>
  <si>
    <t>14K477</t>
  </si>
  <si>
    <t>East Williamsburg Scholars Academy</t>
  </si>
  <si>
    <t>14K478</t>
  </si>
  <si>
    <t>The High School for Enterprise, Business and Techn</t>
  </si>
  <si>
    <t>14K488</t>
  </si>
  <si>
    <t>Brooklyn Preparatory High School</t>
  </si>
  <si>
    <t>14K558</t>
  </si>
  <si>
    <t>Williamsburg High School for Architecture and Desi</t>
  </si>
  <si>
    <t>14K561</t>
  </si>
  <si>
    <t>Williamsburg Preparatory School</t>
  </si>
  <si>
    <t>14K577</t>
  </si>
  <si>
    <t>Conselyea Preparatory School</t>
  </si>
  <si>
    <t>14K582</t>
  </si>
  <si>
    <t>M.S. 582</t>
  </si>
  <si>
    <t>14K586</t>
  </si>
  <si>
    <t>Lyons Community School</t>
  </si>
  <si>
    <t>14K610</t>
  </si>
  <si>
    <t>A-Tech High School</t>
  </si>
  <si>
    <t>14K614</t>
  </si>
  <si>
    <t>Young Women's Leadership School of Brooklyn</t>
  </si>
  <si>
    <t>14K685</t>
  </si>
  <si>
    <t>El Puente Academy for Peace and Justice</t>
  </si>
  <si>
    <t>15K001</t>
  </si>
  <si>
    <t>P.S. 001 The Bergen</t>
  </si>
  <si>
    <t>15K010</t>
  </si>
  <si>
    <t>Magnet School of Math, Science and Design Technolo</t>
  </si>
  <si>
    <t>15K015</t>
  </si>
  <si>
    <t>P.S. 015 Patrick F. Daly</t>
  </si>
  <si>
    <t>15K024</t>
  </si>
  <si>
    <t>P.S. 024</t>
  </si>
  <si>
    <t>15K029</t>
  </si>
  <si>
    <t>P.S. 029 John M. Harrigan</t>
  </si>
  <si>
    <t>15K032</t>
  </si>
  <si>
    <t>P.S. 032 Samuel Mills Sprole</t>
  </si>
  <si>
    <t>15K038</t>
  </si>
  <si>
    <t>P.S. 038 The Pacific</t>
  </si>
  <si>
    <t>15K039</t>
  </si>
  <si>
    <t>P.S. 039 Henry Bristow</t>
  </si>
  <si>
    <t>15K051</t>
  </si>
  <si>
    <t>M.S. 51 William Alexander</t>
  </si>
  <si>
    <t>15K058</t>
  </si>
  <si>
    <t>P.S. 058 The Carroll</t>
  </si>
  <si>
    <t>15K088</t>
  </si>
  <si>
    <t>J.H.S. 088 Peter Rouget</t>
  </si>
  <si>
    <t>15K094</t>
  </si>
  <si>
    <t>P.S. 094 The Henry Longfellow</t>
  </si>
  <si>
    <t>Chinese American Planning Council Inc</t>
  </si>
  <si>
    <t>15K107</t>
  </si>
  <si>
    <t>P.S. 107 John W. Kimball</t>
  </si>
  <si>
    <t>15K118</t>
  </si>
  <si>
    <t>The Maurice Sendak Community School</t>
  </si>
  <si>
    <t>15K124</t>
  </si>
  <si>
    <t>P.S. 124 Silas B. Dutcher</t>
  </si>
  <si>
    <t>15K130</t>
  </si>
  <si>
    <t>P.S. 130 The Parkside</t>
  </si>
  <si>
    <t>15K131</t>
  </si>
  <si>
    <t>P.S. 131 Brooklyn</t>
  </si>
  <si>
    <t>15K136</t>
  </si>
  <si>
    <t>I.S. 136 Charles O. Dewey</t>
  </si>
  <si>
    <t>15K146</t>
  </si>
  <si>
    <t>The Brooklyn New School, P.S. 146</t>
  </si>
  <si>
    <t>15K154</t>
  </si>
  <si>
    <t>The Windsor Terrace School</t>
  </si>
  <si>
    <t>15K169</t>
  </si>
  <si>
    <t>P.S. 169 Sunset Park</t>
  </si>
  <si>
    <t>15K172</t>
  </si>
  <si>
    <t>P.S. 172 Beacon School of Excellence</t>
  </si>
  <si>
    <t>15K230</t>
  </si>
  <si>
    <t>P.S. 230 Doris L. Cohen</t>
  </si>
  <si>
    <t>15K261</t>
  </si>
  <si>
    <t>P.S. 261 Zipporiah Mills</t>
  </si>
  <si>
    <t>15K295</t>
  </si>
  <si>
    <t>P.S. 295</t>
  </si>
  <si>
    <t>15K321</t>
  </si>
  <si>
    <t>P.S. 321 William Penn</t>
  </si>
  <si>
    <t>15K418</t>
  </si>
  <si>
    <t>The Children's School</t>
  </si>
  <si>
    <t>15K423</t>
  </si>
  <si>
    <t>Brooklyn Frontiers High School</t>
  </si>
  <si>
    <t>15K428</t>
  </si>
  <si>
    <t>Global Innovators Academy</t>
  </si>
  <si>
    <t>15K429</t>
  </si>
  <si>
    <t>Digital Arts and Cinema Technology High School</t>
  </si>
  <si>
    <t>15K442</t>
  </si>
  <si>
    <t>M.S. 442 Carroll Gardens School for Innovation</t>
  </si>
  <si>
    <t>15K443</t>
  </si>
  <si>
    <t>New Voices School of Academic &amp; Creative Arts</t>
  </si>
  <si>
    <t>15K447</t>
  </si>
  <si>
    <t>The Exploratory School</t>
  </si>
  <si>
    <t>15K448</t>
  </si>
  <si>
    <t>Brooklyn Collaborative Studies</t>
  </si>
  <si>
    <t>15K456</t>
  </si>
  <si>
    <t>The Elizabeth Jennings School for Bold Explorers</t>
  </si>
  <si>
    <t>15K462</t>
  </si>
  <si>
    <t>John Jay School for Law</t>
  </si>
  <si>
    <t>15K463</t>
  </si>
  <si>
    <t>Cyberarts Studio Academy</t>
  </si>
  <si>
    <t>15K464</t>
  </si>
  <si>
    <t>Park Slope Collegiate</t>
  </si>
  <si>
    <t>15K497</t>
  </si>
  <si>
    <t>The Boerum Hill School for International Studies</t>
  </si>
  <si>
    <t>15K516</t>
  </si>
  <si>
    <t>Sunset Park Avenues Elementary School</t>
  </si>
  <si>
    <t>15K519</t>
  </si>
  <si>
    <t>Cobble Hill School of American Studies</t>
  </si>
  <si>
    <t>15K529</t>
  </si>
  <si>
    <t>West Brooklyn Community High School</t>
  </si>
  <si>
    <t>15K592</t>
  </si>
  <si>
    <t>Khalil Gibran International Academy</t>
  </si>
  <si>
    <t>15K656</t>
  </si>
  <si>
    <t>Brooklyn High School of the Arts</t>
  </si>
  <si>
    <t>15K667</t>
  </si>
  <si>
    <t>Sunset Park High School</t>
  </si>
  <si>
    <t>15K676</t>
  </si>
  <si>
    <t>Red Hook Neighborhood School</t>
  </si>
  <si>
    <t>15K684</t>
  </si>
  <si>
    <t>Millennium Brooklyn HS</t>
  </si>
  <si>
    <t>15K698</t>
  </si>
  <si>
    <t>South Brooklyn Community High School</t>
  </si>
  <si>
    <t>15K821</t>
  </si>
  <si>
    <t>Sunset Park Prep</t>
  </si>
  <si>
    <t>15K839</t>
  </si>
  <si>
    <t>M.S. 839</t>
  </si>
  <si>
    <t>15K896</t>
  </si>
  <si>
    <t>The School of Creativity and Innovation</t>
  </si>
  <si>
    <t>15K958</t>
  </si>
  <si>
    <t>P.S. 958</t>
  </si>
  <si>
    <t>16K005</t>
  </si>
  <si>
    <t>P.S. 005 Dr. Ronald McNair</t>
  </si>
  <si>
    <t>16K021</t>
  </si>
  <si>
    <t>P.S. 021 Crispus Attucks</t>
  </si>
  <si>
    <t>16K026</t>
  </si>
  <si>
    <t>P.S. 026 Jesse Owens</t>
  </si>
  <si>
    <t>16K035</t>
  </si>
  <si>
    <t>M.S. 035 Stephen Decatur</t>
  </si>
  <si>
    <t>16K040</t>
  </si>
  <si>
    <t>P.S. 040 George W. Carver</t>
  </si>
  <si>
    <t>16K057</t>
  </si>
  <si>
    <t>Whitelaw Reid Academy of Arts and Business</t>
  </si>
  <si>
    <t>16K081</t>
  </si>
  <si>
    <t>P.S. 081 Thaddeus Stevens</t>
  </si>
  <si>
    <t>The Leadership Program</t>
  </si>
  <si>
    <t>16K243</t>
  </si>
  <si>
    <t>P.S. 243K- The Weeksville School</t>
  </si>
  <si>
    <t>16K262</t>
  </si>
  <si>
    <t>P.S. 262 El Hajj Malik El Shabazz Elementary Schoo</t>
  </si>
  <si>
    <t>16K267</t>
  </si>
  <si>
    <t>M.S. 267 Math, Science &amp; Technology</t>
  </si>
  <si>
    <t>16K308</t>
  </si>
  <si>
    <t>P.S. 308 Clara Cardwell</t>
  </si>
  <si>
    <t>16K309</t>
  </si>
  <si>
    <t>P.S. 309 The George E. Wibecan Preparatory Academy</t>
  </si>
  <si>
    <t>16K335</t>
  </si>
  <si>
    <t>P.S. 335 Granville T. Woods</t>
  </si>
  <si>
    <t>16K455</t>
  </si>
  <si>
    <t>Boys and Girls High School</t>
  </si>
  <si>
    <t>16K498</t>
  </si>
  <si>
    <t>Brooklyn High School for Law and Technology</t>
  </si>
  <si>
    <t>16K627</t>
  </si>
  <si>
    <t>Brighter Choice Community School</t>
  </si>
  <si>
    <t>16K628</t>
  </si>
  <si>
    <t>Brooklyn Brownstone School</t>
  </si>
  <si>
    <t>16K669</t>
  </si>
  <si>
    <t>Research and Service High School</t>
  </si>
  <si>
    <t>16K681</t>
  </si>
  <si>
    <t>Madiba Prep Middle School</t>
  </si>
  <si>
    <t>16K688</t>
  </si>
  <si>
    <t>The Brooklyn Academy of Global Finance</t>
  </si>
  <si>
    <t>16K765</t>
  </si>
  <si>
    <t>Nelson Mandela High School</t>
  </si>
  <si>
    <t>16K898</t>
  </si>
  <si>
    <t>The Brooklyn Green School</t>
  </si>
  <si>
    <t>17K002</t>
  </si>
  <si>
    <t>Parkside Preparatory Academy</t>
  </si>
  <si>
    <t>17K006</t>
  </si>
  <si>
    <t>Norma Adams Clemons Academy</t>
  </si>
  <si>
    <t>17K012</t>
  </si>
  <si>
    <t>Dr. Jacqueline Peek-Davis School</t>
  </si>
  <si>
    <t>17K061</t>
  </si>
  <si>
    <t>M.S. 061 Dr. Gladstone H. Atwell</t>
  </si>
  <si>
    <t>17K091</t>
  </si>
  <si>
    <t>P.S. 091 The Albany Avenue School</t>
  </si>
  <si>
    <t>17K092</t>
  </si>
  <si>
    <t>P.S. 092 Adrian Hegeman</t>
  </si>
  <si>
    <t>17K122</t>
  </si>
  <si>
    <t>Pathways in Technology Early College High School (</t>
  </si>
  <si>
    <t>17K138</t>
  </si>
  <si>
    <t>The Dr. Jean Pierre-Louis School of Excellence</t>
  </si>
  <si>
    <t>17K161</t>
  </si>
  <si>
    <t>P.S. 161 The Crown</t>
  </si>
  <si>
    <t>17K181</t>
  </si>
  <si>
    <t>P.S. 181 Brooklyn</t>
  </si>
  <si>
    <t>17K189</t>
  </si>
  <si>
    <t>P.S. 189 The Bilingual Center</t>
  </si>
  <si>
    <t>17K191</t>
  </si>
  <si>
    <t>P.S. 191 Paul Robeson</t>
  </si>
  <si>
    <t>17K221</t>
  </si>
  <si>
    <t>P.S. 221 Toussaint L'Ouverture</t>
  </si>
  <si>
    <t>17K241</t>
  </si>
  <si>
    <t>P.S. 241 Emma L. Johnston</t>
  </si>
  <si>
    <t>17K246</t>
  </si>
  <si>
    <t>M.S. 246 Walt Whitman</t>
  </si>
  <si>
    <t>17K249</t>
  </si>
  <si>
    <t>P.S. 249 The Caton</t>
  </si>
  <si>
    <t>17K289</t>
  </si>
  <si>
    <t>P.S. 289 George V. Brower</t>
  </si>
  <si>
    <t>17K316</t>
  </si>
  <si>
    <t>P.S. 316 Elijah Stroud</t>
  </si>
  <si>
    <t>17K340</t>
  </si>
  <si>
    <t>I.S. 340</t>
  </si>
  <si>
    <t>17K352</t>
  </si>
  <si>
    <t>Ebbets Field Middle School</t>
  </si>
  <si>
    <t>THE CHILD CENTER OF NY INC</t>
  </si>
  <si>
    <t>17K353</t>
  </si>
  <si>
    <t>The Academy for Collaborative Exploration</t>
  </si>
  <si>
    <t>17K354</t>
  </si>
  <si>
    <t>The School of Integrated Learning</t>
  </si>
  <si>
    <t>17K375</t>
  </si>
  <si>
    <t>P.S. 375 Jackie Robinson School</t>
  </si>
  <si>
    <t>17K382</t>
  </si>
  <si>
    <t>Academy for College Preparation and Career Explora</t>
  </si>
  <si>
    <t>17K394</t>
  </si>
  <si>
    <t>M.S. K394</t>
  </si>
  <si>
    <t>17K397</t>
  </si>
  <si>
    <t>P.S. 397 Foster-Laurie</t>
  </si>
  <si>
    <t>17K398</t>
  </si>
  <si>
    <t>P.S. 398 Walter Weaver</t>
  </si>
  <si>
    <t>17K399</t>
  </si>
  <si>
    <t>P.S. 399 Stanley Eugene Clark</t>
  </si>
  <si>
    <t>17K408</t>
  </si>
  <si>
    <t>Academy of Hospitality and Tourism</t>
  </si>
  <si>
    <t>17K484</t>
  </si>
  <si>
    <t>Ronald Edmonds Learning Center II</t>
  </si>
  <si>
    <t>17K524</t>
  </si>
  <si>
    <t>International High School at Prospect Heights</t>
  </si>
  <si>
    <t>17K528</t>
  </si>
  <si>
    <t>The High School for Global Citizenship</t>
  </si>
  <si>
    <t>17K532</t>
  </si>
  <si>
    <t>New Bridges Elementary</t>
  </si>
  <si>
    <t>17K537</t>
  </si>
  <si>
    <t>High School for Youth and Community Development at</t>
  </si>
  <si>
    <t>17K539</t>
  </si>
  <si>
    <t>High School for Service &amp; Learning at Erasmus</t>
  </si>
  <si>
    <t>17K543</t>
  </si>
  <si>
    <t>Science, Technology and Research Early College Hig</t>
  </si>
  <si>
    <t>17K546</t>
  </si>
  <si>
    <t>High School for Public Service: Heroes of Tomorrow</t>
  </si>
  <si>
    <t>17K547</t>
  </si>
  <si>
    <t>Brooklyn Academy of Science and the Environment</t>
  </si>
  <si>
    <t>17K548</t>
  </si>
  <si>
    <t>Brooklyn School for Music &amp; Theatre</t>
  </si>
  <si>
    <t>17K568</t>
  </si>
  <si>
    <t>Brownsville Academy High School</t>
  </si>
  <si>
    <t>17K590</t>
  </si>
  <si>
    <t>Medgar Evers College Preparatory School</t>
  </si>
  <si>
    <t>17K600</t>
  </si>
  <si>
    <t>Clara Barton High School</t>
  </si>
  <si>
    <t>17K646</t>
  </si>
  <si>
    <t>Aspirations Diploma Plus High School</t>
  </si>
  <si>
    <t>17K705</t>
  </si>
  <si>
    <t>Brooklyn Arts and Science Elementary School</t>
  </si>
  <si>
    <t>17K722</t>
  </si>
  <si>
    <t>New Heights Middle School</t>
  </si>
  <si>
    <t>17K745</t>
  </si>
  <si>
    <t>Brooklyn Institute for Liberal Arts</t>
  </si>
  <si>
    <t>17K751</t>
  </si>
  <si>
    <t>Academy for Health Careers</t>
  </si>
  <si>
    <t>17K770</t>
  </si>
  <si>
    <t>P.S. 770 New American Academy</t>
  </si>
  <si>
    <t>17K969</t>
  </si>
  <si>
    <t>Central Brooklyn Literacy Academy (CBLA)</t>
  </si>
  <si>
    <t>18K066</t>
  </si>
  <si>
    <t>P.S. 66</t>
  </si>
  <si>
    <t>18K068</t>
  </si>
  <si>
    <t>I.S. 068 Isaac Bildersee</t>
  </si>
  <si>
    <t>18K114</t>
  </si>
  <si>
    <t>P.S. 114 Ryder Elementary</t>
  </si>
  <si>
    <t>18K115</t>
  </si>
  <si>
    <t>P.S. 115 Daniel Mucatel School</t>
  </si>
  <si>
    <t>18K135</t>
  </si>
  <si>
    <t>P.S. 135 Sheldon A. Brookner</t>
  </si>
  <si>
    <t>18K208</t>
  </si>
  <si>
    <t>P.S. 208 Elsa Ebeling</t>
  </si>
  <si>
    <t>18K211</t>
  </si>
  <si>
    <t>I.S. 211 John Wilson</t>
  </si>
  <si>
    <t>18K219</t>
  </si>
  <si>
    <t>P.S. 219 Kennedy-King</t>
  </si>
  <si>
    <t>18K233</t>
  </si>
  <si>
    <t>P.S. 233 Langston Hughes</t>
  </si>
  <si>
    <t>18K235</t>
  </si>
  <si>
    <t>P.S. 235 Janice Marie Knight School</t>
  </si>
  <si>
    <t>18K244</t>
  </si>
  <si>
    <t>P.S. 244 Richard R. Green</t>
  </si>
  <si>
    <t>18K268</t>
  </si>
  <si>
    <t>P.S. 268 Emma Lazarus</t>
  </si>
  <si>
    <t>18K272</t>
  </si>
  <si>
    <t>P.S. 272 Curtis Estabrook</t>
  </si>
  <si>
    <t>After-School All-Stars</t>
  </si>
  <si>
    <t>18K276</t>
  </si>
  <si>
    <t>P.S. 276 Louis Marshall</t>
  </si>
  <si>
    <t>18K279</t>
  </si>
  <si>
    <t>P.S. 279 Herman Schreiber</t>
  </si>
  <si>
    <t>18K285</t>
  </si>
  <si>
    <t>I.S. 285 Meyer Levin</t>
  </si>
  <si>
    <t>18K366</t>
  </si>
  <si>
    <t>The Science And Medicine Middle School</t>
  </si>
  <si>
    <t>18K563</t>
  </si>
  <si>
    <t>It Takes a Village Academy</t>
  </si>
  <si>
    <t>18K566</t>
  </si>
  <si>
    <t>Brooklyn Community High School for Excellence and</t>
  </si>
  <si>
    <t>18K567</t>
  </si>
  <si>
    <t>Brooklyn Theatre Arts High School</t>
  </si>
  <si>
    <t>18K569</t>
  </si>
  <si>
    <t>Kurt Hahn Expeditionary Learning School</t>
  </si>
  <si>
    <t>18K576</t>
  </si>
  <si>
    <t>Victory Collegiate High School</t>
  </si>
  <si>
    <t>18K578</t>
  </si>
  <si>
    <t>Brooklyn Bridge Academy</t>
  </si>
  <si>
    <t>18K581</t>
  </si>
  <si>
    <t>The Middle School of Media, Law and Fine Arts</t>
  </si>
  <si>
    <t>18K588</t>
  </si>
  <si>
    <t>Middle School for Art and Philosophy</t>
  </si>
  <si>
    <t>18K617</t>
  </si>
  <si>
    <t>High School for Innovation in Advertising and Medi</t>
  </si>
  <si>
    <t>18K629</t>
  </si>
  <si>
    <t>Cultural Academy for the Arts and Sciences</t>
  </si>
  <si>
    <t>18K633</t>
  </si>
  <si>
    <t>High School for Medical Professions</t>
  </si>
  <si>
    <t>18K635</t>
  </si>
  <si>
    <t>Olympus Academy</t>
  </si>
  <si>
    <t>18K637</t>
  </si>
  <si>
    <t>Academy for Conservation and the Environment</t>
  </si>
  <si>
    <t>18K642</t>
  </si>
  <si>
    <t>Urban Action Academy</t>
  </si>
  <si>
    <t>18K673</t>
  </si>
  <si>
    <t>East Brooklyn Community High School</t>
  </si>
  <si>
    <t>SCO Family of Services</t>
  </si>
  <si>
    <t>18K763</t>
  </si>
  <si>
    <t>Brooklyn Science and Engineering Academy</t>
  </si>
  <si>
    <t>18K961</t>
  </si>
  <si>
    <t>Lenox Academy M. S. 961</t>
  </si>
  <si>
    <t>19K007</t>
  </si>
  <si>
    <t>P.S. 007 Abraham Lincoln</t>
  </si>
  <si>
    <t>19K013</t>
  </si>
  <si>
    <t>P.S. 013 Roberto Clemente</t>
  </si>
  <si>
    <t>19K065</t>
  </si>
  <si>
    <t>P.S. 065</t>
  </si>
  <si>
    <t>19K089</t>
  </si>
  <si>
    <t>P.S. 089 Cypress Hills</t>
  </si>
  <si>
    <t>19K108</t>
  </si>
  <si>
    <t>P.S. 108 Sal Abbracciamento</t>
  </si>
  <si>
    <t>19K149</t>
  </si>
  <si>
    <t>P.S. 149 Danny Kaye</t>
  </si>
  <si>
    <t>19K158</t>
  </si>
  <si>
    <t>P.S. 158 Warwick</t>
  </si>
  <si>
    <t>19K159</t>
  </si>
  <si>
    <t>P.S. 159 Isaac Pitkin</t>
  </si>
  <si>
    <t>19K171</t>
  </si>
  <si>
    <t>I.S. 171 Abraham Lincoln</t>
  </si>
  <si>
    <t>19K190</t>
  </si>
  <si>
    <t>P.S. 190 Sheffield</t>
  </si>
  <si>
    <t>19K202</t>
  </si>
  <si>
    <t>P.S. 202 Ernest S. Jenkyns</t>
  </si>
  <si>
    <t>19K213</t>
  </si>
  <si>
    <t>P.S. 213 New Lots</t>
  </si>
  <si>
    <t>19K214</t>
  </si>
  <si>
    <t>P.S. 214 Michael Friedsam</t>
  </si>
  <si>
    <t>19K218</t>
  </si>
  <si>
    <t>J.H.S. 218 James P. Sinnott</t>
  </si>
  <si>
    <t>19K224</t>
  </si>
  <si>
    <t>P.S. 224 Hale A. Woodruff</t>
  </si>
  <si>
    <t>19K273</t>
  </si>
  <si>
    <t>P.S. 273 Wortman</t>
  </si>
  <si>
    <t>19K290</t>
  </si>
  <si>
    <t>P.S. 290 Juan Morel Campos</t>
  </si>
  <si>
    <t>19K292</t>
  </si>
  <si>
    <t>J.H.S. 292 Margaret S. Douglas</t>
  </si>
  <si>
    <t>19K306</t>
  </si>
  <si>
    <t>P.S. 306 Ethan Allen</t>
  </si>
  <si>
    <t>19K325</t>
  </si>
  <si>
    <t>The Fresh Creek School</t>
  </si>
  <si>
    <t>19K328</t>
  </si>
  <si>
    <t>P.S. 328 Phyllis Wheatley</t>
  </si>
  <si>
    <t>19K345</t>
  </si>
  <si>
    <t>P.S. 345 Patrolman Robert Bolden</t>
  </si>
  <si>
    <t>19K346</t>
  </si>
  <si>
    <t>P.S. 346 Abe Stark</t>
  </si>
  <si>
    <t>19K404</t>
  </si>
  <si>
    <t>Academy for Young Writers</t>
  </si>
  <si>
    <t>19K409</t>
  </si>
  <si>
    <t>East New York Family Academy</t>
  </si>
  <si>
    <t>19K422</t>
  </si>
  <si>
    <t>Spring Creek Community School</t>
  </si>
  <si>
    <t>19K452</t>
  </si>
  <si>
    <t>Frederick Douglass Academy VIII Middle School</t>
  </si>
  <si>
    <t>19K502</t>
  </si>
  <si>
    <t>FDNY - Captain Vernon A. Richard High School for F</t>
  </si>
  <si>
    <t>19K507</t>
  </si>
  <si>
    <t>Performing Arts and Technology High School</t>
  </si>
  <si>
    <t>19K510</t>
  </si>
  <si>
    <t>World Academy for Total Community Health High Scho</t>
  </si>
  <si>
    <t>19K557</t>
  </si>
  <si>
    <t>Brooklyn Gardens Elementary School</t>
  </si>
  <si>
    <t>19K583</t>
  </si>
  <si>
    <t>Multicultural High School</t>
  </si>
  <si>
    <t>19K615</t>
  </si>
  <si>
    <t>Transit Tech Career and Technical Education High S</t>
  </si>
  <si>
    <t>19K618</t>
  </si>
  <si>
    <t>Academy of Innovative Technology</t>
  </si>
  <si>
    <t>19K639</t>
  </si>
  <si>
    <t>Brooklyn Lab School</t>
  </si>
  <si>
    <t>19K654</t>
  </si>
  <si>
    <t>Van Siclen Community Middle School</t>
  </si>
  <si>
    <t>19K659</t>
  </si>
  <si>
    <t>Cypress Hills Collegiate Preparatory School</t>
  </si>
  <si>
    <t>19K660</t>
  </si>
  <si>
    <t>W. H. Maxwell Career and Technical Education High</t>
  </si>
  <si>
    <t>19K661</t>
  </si>
  <si>
    <t>Vista Academy</t>
  </si>
  <si>
    <t>19K662</t>
  </si>
  <si>
    <t>Liberty Avenue Middle School</t>
  </si>
  <si>
    <t>19K663</t>
  </si>
  <si>
    <t>School of the Future Brooklyn</t>
  </si>
  <si>
    <t>19K677</t>
  </si>
  <si>
    <t>East New York Elementary School of Excellence</t>
  </si>
  <si>
    <t>19K678</t>
  </si>
  <si>
    <t>East New York Middle School of Excellence</t>
  </si>
  <si>
    <t>19K683</t>
  </si>
  <si>
    <t>School for Classics High School</t>
  </si>
  <si>
    <t>19K760</t>
  </si>
  <si>
    <t>Highland Park Community School</t>
  </si>
  <si>
    <t>19K764</t>
  </si>
  <si>
    <t>The Urban Assembly School for Collaborative Health</t>
  </si>
  <si>
    <t>19K907</t>
  </si>
  <si>
    <t>Legacy School of the Arts</t>
  </si>
  <si>
    <t>19K935</t>
  </si>
  <si>
    <t>M.S. 935</t>
  </si>
  <si>
    <t>19K938</t>
  </si>
  <si>
    <t>P.S. 938</t>
  </si>
  <si>
    <t>19K953</t>
  </si>
  <si>
    <t>The East New York Arts and Civics High School</t>
  </si>
  <si>
    <t>19K965</t>
  </si>
  <si>
    <t>Bard High School Early College Brooklyn</t>
  </si>
  <si>
    <t>20K030</t>
  </si>
  <si>
    <t>P.S./I.S. 30 Mary White Ovington</t>
  </si>
  <si>
    <t>20K048</t>
  </si>
  <si>
    <t>P.S. 048 Mapleton</t>
  </si>
  <si>
    <t>20K062</t>
  </si>
  <si>
    <t>J.H.S. 062 Ditmas</t>
  </si>
  <si>
    <t>20K069</t>
  </si>
  <si>
    <t>P.S. 69 Vincent D. Grippo School</t>
  </si>
  <si>
    <t>20K102</t>
  </si>
  <si>
    <t>P.S. 102 The Bayview</t>
  </si>
  <si>
    <t>20K104</t>
  </si>
  <si>
    <t>P.S./I.S. 104 The Fort Hamilton School</t>
  </si>
  <si>
    <t>20K105</t>
  </si>
  <si>
    <t>P.S. 105 The Blythebourne</t>
  </si>
  <si>
    <t>20K112</t>
  </si>
  <si>
    <t>P.S. 112 Lefferts Park</t>
  </si>
  <si>
    <t>20K127</t>
  </si>
  <si>
    <t>P.S. 127 McKinley Park</t>
  </si>
  <si>
    <t>20K160</t>
  </si>
  <si>
    <t>P.S. 160 William T. Sampson</t>
  </si>
  <si>
    <t>20K163</t>
  </si>
  <si>
    <t>P.S. 163 Bath Beach</t>
  </si>
  <si>
    <t>20K164</t>
  </si>
  <si>
    <t>P.S. 164 Caesar Rodney</t>
  </si>
  <si>
    <t>20K170</t>
  </si>
  <si>
    <t>Ralph A. Fabrizio School</t>
  </si>
  <si>
    <t>20K176</t>
  </si>
  <si>
    <t>P.S. 176 Ovington</t>
  </si>
  <si>
    <t>20K179</t>
  </si>
  <si>
    <t>P.S. 179 Kensington</t>
  </si>
  <si>
    <t>20K180</t>
  </si>
  <si>
    <t>The SEEALL Academy</t>
  </si>
  <si>
    <t>20K185</t>
  </si>
  <si>
    <t>P.S. 185 Walter Kassenbrock</t>
  </si>
  <si>
    <t>20K186</t>
  </si>
  <si>
    <t>P.S. 186 Dr. Irving A Gladstone</t>
  </si>
  <si>
    <t>20K187</t>
  </si>
  <si>
    <t>The Christa McAuliffe School\I.S. 187</t>
  </si>
  <si>
    <t>20K192</t>
  </si>
  <si>
    <t>P.S. 192 - The Magnet School for Math and Science</t>
  </si>
  <si>
    <t>20K200</t>
  </si>
  <si>
    <t>P.S. 200 Benson School</t>
  </si>
  <si>
    <t>20K201</t>
  </si>
  <si>
    <t>The Madeleine Brennan School</t>
  </si>
  <si>
    <t>20K204</t>
  </si>
  <si>
    <t>P.S. 204 Vince Lombardi</t>
  </si>
  <si>
    <t>20K205</t>
  </si>
  <si>
    <t>P.S. 205 Clarion</t>
  </si>
  <si>
    <t>20K220</t>
  </si>
  <si>
    <t>J.H.S. 220 John J. Pershing</t>
  </si>
  <si>
    <t>20K223</t>
  </si>
  <si>
    <t>J.H.S. 223 The Montauk</t>
  </si>
  <si>
    <t>20K227</t>
  </si>
  <si>
    <t>J.H.S. 227 Edward B. Shallow</t>
  </si>
  <si>
    <t>20K229</t>
  </si>
  <si>
    <t>P.S. 229 Dyker</t>
  </si>
  <si>
    <t>20K247</t>
  </si>
  <si>
    <t>P.S. 247 Brooklyn</t>
  </si>
  <si>
    <t>20K259</t>
  </si>
  <si>
    <t>J.H.S. 259 William McKinley</t>
  </si>
  <si>
    <t>20K264</t>
  </si>
  <si>
    <t>P.S. 264 Bay Ridge Elementary School For The Arts</t>
  </si>
  <si>
    <t>20K310</t>
  </si>
  <si>
    <t>The School For Future Leaders</t>
  </si>
  <si>
    <t>20K331</t>
  </si>
  <si>
    <t>The Detective WenJian Liu School of Civics and Ent</t>
  </si>
  <si>
    <t>20K407</t>
  </si>
  <si>
    <t>School of Technology, Arts, and Research</t>
  </si>
  <si>
    <t>20K413</t>
  </si>
  <si>
    <t>Joanne Seminara School of Law and Medicine</t>
  </si>
  <si>
    <t>20K445</t>
  </si>
  <si>
    <t>New Utrecht High School</t>
  </si>
  <si>
    <t>20K485</t>
  </si>
  <si>
    <t>High School of Telecommunication Arts and Technolo</t>
  </si>
  <si>
    <t>20K490</t>
  </si>
  <si>
    <t>Fort Hamilton High School</t>
  </si>
  <si>
    <t>20K503</t>
  </si>
  <si>
    <t>P.S. 503: The School of Discovery</t>
  </si>
  <si>
    <t>Center for Family Life</t>
  </si>
  <si>
    <t>20K505</t>
  </si>
  <si>
    <t>Franklin Delano Roosevelt High School</t>
  </si>
  <si>
    <t>20K506</t>
  </si>
  <si>
    <t>P.S. 506: The School of Journalism &amp; Technology</t>
  </si>
  <si>
    <t>20K609</t>
  </si>
  <si>
    <t>Urban Assembly School for Leadership and Empowerme</t>
  </si>
  <si>
    <t>20K682</t>
  </si>
  <si>
    <t>The Academy of Talented Scholars</t>
  </si>
  <si>
    <t>20K686</t>
  </si>
  <si>
    <t>Brooklyn School of Inquiry</t>
  </si>
  <si>
    <t>20K748</t>
  </si>
  <si>
    <t>P.S. 748 Brooklyn School for Global Scholars</t>
  </si>
  <si>
    <t>20K936</t>
  </si>
  <si>
    <t>MS 936 Arts Off 3rd</t>
  </si>
  <si>
    <t>20K939</t>
  </si>
  <si>
    <t>Sunset School of Cultural Learning</t>
  </si>
  <si>
    <t>20K971</t>
  </si>
  <si>
    <t>School of Math, Science, and Healthy Living</t>
  </si>
  <si>
    <t>21K090</t>
  </si>
  <si>
    <t>P.S. 90 Edna Cohen School</t>
  </si>
  <si>
    <t>21K095</t>
  </si>
  <si>
    <t>P.S. 095 The Gravesend</t>
  </si>
  <si>
    <t>21K096</t>
  </si>
  <si>
    <t>I.S. 096 Seth Low</t>
  </si>
  <si>
    <t>21K097</t>
  </si>
  <si>
    <t>P.S. 97 The Highlawn</t>
  </si>
  <si>
    <t>21K098</t>
  </si>
  <si>
    <t>I.S. 98 Bay Academy</t>
  </si>
  <si>
    <t>21K099</t>
  </si>
  <si>
    <t>P.S. 099 Isaac Asimov</t>
  </si>
  <si>
    <t>21K100</t>
  </si>
  <si>
    <t>P.S. 100 The Coney Island School</t>
  </si>
  <si>
    <t>21K101</t>
  </si>
  <si>
    <t>P.S. 101 The Verrazano</t>
  </si>
  <si>
    <t>21K121</t>
  </si>
  <si>
    <t>P.S. 121 Nelson A. Rockefeller</t>
  </si>
  <si>
    <t>21K128</t>
  </si>
  <si>
    <t>P.S. 128 Bensonhurst</t>
  </si>
  <si>
    <t>21K153</t>
  </si>
  <si>
    <t>P.S. 153 Homecrest</t>
  </si>
  <si>
    <t>21K177</t>
  </si>
  <si>
    <t>P.S. 177 The Marlboro</t>
  </si>
  <si>
    <t>21K188</t>
  </si>
  <si>
    <t>P.S. 188 Michael E. Berdy</t>
  </si>
  <si>
    <t>21K199</t>
  </si>
  <si>
    <t>P.S. 199 Frederick Wachtel</t>
  </si>
  <si>
    <t>21K209</t>
  </si>
  <si>
    <t>P.S. 209 Margaret Mead</t>
  </si>
  <si>
    <t>21K212</t>
  </si>
  <si>
    <t>P.S. 212 Lady Deborah Moody</t>
  </si>
  <si>
    <t>21K215</t>
  </si>
  <si>
    <t>P.S. 215 Morris H. Weiss</t>
  </si>
  <si>
    <t>21K216</t>
  </si>
  <si>
    <t>P.S. 216 Arturo Toscanini</t>
  </si>
  <si>
    <t>21K225</t>
  </si>
  <si>
    <t>P.S. K225 - The Eileen E. Zaglin</t>
  </si>
  <si>
    <t>21K226</t>
  </si>
  <si>
    <t>P.S. 226 Alfred De B. Mason</t>
  </si>
  <si>
    <t>21K228</t>
  </si>
  <si>
    <t>I.S. 228 David A. Boody</t>
  </si>
  <si>
    <t>21K238</t>
  </si>
  <si>
    <t>P.S. 238 Anne Sullivan</t>
  </si>
  <si>
    <t>21K239</t>
  </si>
  <si>
    <t>Mark Twain I.S. 239 for the Gifted &amp; Talented</t>
  </si>
  <si>
    <t>21K253</t>
  </si>
  <si>
    <t>P.S. 253</t>
  </si>
  <si>
    <t>21K281</t>
  </si>
  <si>
    <t>I.S. 281 Joseph B Cavallaro</t>
  </si>
  <si>
    <t>21K288</t>
  </si>
  <si>
    <t>P.S. 288 The Shirley Tanyhill</t>
  </si>
  <si>
    <t>21K303</t>
  </si>
  <si>
    <t>I.S. 303 Herbert S. Eisenberg</t>
  </si>
  <si>
    <t>21K329</t>
  </si>
  <si>
    <t>P.S. 329 Surfside</t>
  </si>
  <si>
    <t>21K337</t>
  </si>
  <si>
    <t>International High School at Lafayette</t>
  </si>
  <si>
    <t>21K344</t>
  </si>
  <si>
    <t>Rachel Carson High School for Coastal Studies</t>
  </si>
  <si>
    <t>21K348</t>
  </si>
  <si>
    <t>High School of Sports Management</t>
  </si>
  <si>
    <t>21K410</t>
  </si>
  <si>
    <t>Abraham Lincoln High School</t>
  </si>
  <si>
    <t>21K468</t>
  </si>
  <si>
    <t>Kingsborough Early College School</t>
  </si>
  <si>
    <t>21K525</t>
  </si>
  <si>
    <t>Edward R. Murrow High School</t>
  </si>
  <si>
    <t>21K540</t>
  </si>
  <si>
    <t>John Dewey High School</t>
  </si>
  <si>
    <t>21K559</t>
  </si>
  <si>
    <t>Life Academy High School for Business and Technolo</t>
  </si>
  <si>
    <t>21K572</t>
  </si>
  <si>
    <t>Leaders High School</t>
  </si>
  <si>
    <t>21K620</t>
  </si>
  <si>
    <t>William E. Grady Career and Technical Education Hi</t>
  </si>
  <si>
    <t>21K690</t>
  </si>
  <si>
    <t>Brooklyn Studio Secondary School</t>
  </si>
  <si>
    <t>21K728</t>
  </si>
  <si>
    <t>Liberation Diploma Plus</t>
  </si>
  <si>
    <t>21K968</t>
  </si>
  <si>
    <t>Middle School of Innovation</t>
  </si>
  <si>
    <t>22K014</t>
  </si>
  <si>
    <t>J.H.S. 014 Shell Bank</t>
  </si>
  <si>
    <t>22K052</t>
  </si>
  <si>
    <t>P.S. 052 Sheepshead Bay</t>
  </si>
  <si>
    <t>22K078</t>
  </si>
  <si>
    <t>J.H.S. 078 Roy H. Mann</t>
  </si>
  <si>
    <t>22K109</t>
  </si>
  <si>
    <t>P.S. 109</t>
  </si>
  <si>
    <t>22K119</t>
  </si>
  <si>
    <t>P.S. 119 Amersfort</t>
  </si>
  <si>
    <t>22K134</t>
  </si>
  <si>
    <t>P.S. K134</t>
  </si>
  <si>
    <t>22K139</t>
  </si>
  <si>
    <t>P.S. 139 Alexine A. Fenty</t>
  </si>
  <si>
    <t>22K152</t>
  </si>
  <si>
    <t>School of Science &amp; Technology</t>
  </si>
  <si>
    <t>22K193</t>
  </si>
  <si>
    <t>P.S. 193 Gil Hodges</t>
  </si>
  <si>
    <t>22K194</t>
  </si>
  <si>
    <t>P.S. 194 Raoul Wallenberg</t>
  </si>
  <si>
    <t>22K195</t>
  </si>
  <si>
    <t>P.S. 195 Manhattan Beach</t>
  </si>
  <si>
    <t>22K197</t>
  </si>
  <si>
    <t>P.S. 197 - The Kings Highway Academy</t>
  </si>
  <si>
    <t>22K198</t>
  </si>
  <si>
    <t>P.S. 198 Brooklyn</t>
  </si>
  <si>
    <t>22K203</t>
  </si>
  <si>
    <t>P.S. 203 Floyd Bennett School</t>
  </si>
  <si>
    <t>22K206</t>
  </si>
  <si>
    <t>P.S. 206 Joseph F Lamb</t>
  </si>
  <si>
    <t>22K207</t>
  </si>
  <si>
    <t>P.S. 207 Elizabeth G. Leary</t>
  </si>
  <si>
    <t>22K217</t>
  </si>
  <si>
    <t>P.S. 217 Colonel David Marcus School</t>
  </si>
  <si>
    <t>22K222</t>
  </si>
  <si>
    <t>P.S. 222 Katherine R. Snyder</t>
  </si>
  <si>
    <t>22K234</t>
  </si>
  <si>
    <t>J.H.S. 234 Arthur W. Cunningham</t>
  </si>
  <si>
    <t>22K236</t>
  </si>
  <si>
    <t>P.S. 236 Mill Basin</t>
  </si>
  <si>
    <t>22K240</t>
  </si>
  <si>
    <t>Andries Hudde</t>
  </si>
  <si>
    <t>22K245</t>
  </si>
  <si>
    <t>P.S. 245</t>
  </si>
  <si>
    <t>22K251</t>
  </si>
  <si>
    <t>P.S. 251 Paerdegat</t>
  </si>
  <si>
    <t>22K254</t>
  </si>
  <si>
    <t>P.S. 254 Dag Hammarskjold</t>
  </si>
  <si>
    <t>22K255</t>
  </si>
  <si>
    <t>P.S. 255 Barbara Reing School</t>
  </si>
  <si>
    <t>22K277</t>
  </si>
  <si>
    <t>P.S. 277 Gerritsen Beach</t>
  </si>
  <si>
    <t>22K278</t>
  </si>
  <si>
    <t>J.H.S. 278 Marine Park</t>
  </si>
  <si>
    <t>22K312</t>
  </si>
  <si>
    <t>P.S. 312 Bergen Beach</t>
  </si>
  <si>
    <t>22K315</t>
  </si>
  <si>
    <t>P.S. K315</t>
  </si>
  <si>
    <t>22K326</t>
  </si>
  <si>
    <t>P.S. 326</t>
  </si>
  <si>
    <t>22K361</t>
  </si>
  <si>
    <t>P.S. 361 East Flatbush Early Childhood School</t>
  </si>
  <si>
    <t>22K381</t>
  </si>
  <si>
    <t>I. S. 381</t>
  </si>
  <si>
    <t>22K405</t>
  </si>
  <si>
    <t>Midwood High School</t>
  </si>
  <si>
    <t>22K425</t>
  </si>
  <si>
    <t>James Madison High School</t>
  </si>
  <si>
    <t>22K535</t>
  </si>
  <si>
    <t>Leon M. Goldstein High School for the Sciences</t>
  </si>
  <si>
    <t>22K555</t>
  </si>
  <si>
    <t>Brooklyn College Academy</t>
  </si>
  <si>
    <t>22K611</t>
  </si>
  <si>
    <t>Origins High School</t>
  </si>
  <si>
    <t>22K630</t>
  </si>
  <si>
    <t>Professional Pathways High School</t>
  </si>
  <si>
    <t>22K889</t>
  </si>
  <si>
    <t>P.S. 889</t>
  </si>
  <si>
    <t>22K890</t>
  </si>
  <si>
    <t>M.S. 890</t>
  </si>
  <si>
    <t>23K041</t>
  </si>
  <si>
    <t>P.S. 041 Francis White</t>
  </si>
  <si>
    <t>23K137</t>
  </si>
  <si>
    <t>P.S. 137 Rachel Jean Mitchell</t>
  </si>
  <si>
    <t>23K150</t>
  </si>
  <si>
    <t>P.S. 150 Christopher</t>
  </si>
  <si>
    <t>23K155</t>
  </si>
  <si>
    <t>P.S./ I.S. 155 Nicholas Herkimer</t>
  </si>
  <si>
    <t>23K156</t>
  </si>
  <si>
    <t>P.S. 156 Waverly</t>
  </si>
  <si>
    <t>23K165</t>
  </si>
  <si>
    <t>P.S. 165 Ida Posner</t>
  </si>
  <si>
    <t>23K178</t>
  </si>
  <si>
    <t>P.S. 178 Saint Clair Mckelway</t>
  </si>
  <si>
    <t>23K184</t>
  </si>
  <si>
    <t>P.S. 184 Newport</t>
  </si>
  <si>
    <t>23K284</t>
  </si>
  <si>
    <t>The Gregory Jocko Jackson School of Sports, Art, a</t>
  </si>
  <si>
    <t>23K298</t>
  </si>
  <si>
    <t>P.S. 298 Dr. Betty Shabazz</t>
  </si>
  <si>
    <t>Partnership with Children, Green Generations (21 C)</t>
  </si>
  <si>
    <t>23K323</t>
  </si>
  <si>
    <t>P.S./I.S. 323</t>
  </si>
  <si>
    <t>23K327</t>
  </si>
  <si>
    <t>P.S. 327 Dr. Rose B. English</t>
  </si>
  <si>
    <t>23K363</t>
  </si>
  <si>
    <t>Brownsville Collaborative Middle School</t>
  </si>
  <si>
    <t>23K392</t>
  </si>
  <si>
    <t>I.S. 392</t>
  </si>
  <si>
    <t>23K401</t>
  </si>
  <si>
    <t>Christopher Avenue Community School</t>
  </si>
  <si>
    <t>23K446</t>
  </si>
  <si>
    <t>Riverdale Avenue Community School</t>
  </si>
  <si>
    <t>23K493</t>
  </si>
  <si>
    <t>Brooklyn Collegiate: A College Board School</t>
  </si>
  <si>
    <t>23K514</t>
  </si>
  <si>
    <t>Frederick Douglass Academy VII High School</t>
  </si>
  <si>
    <t>23K518</t>
  </si>
  <si>
    <t>Kappa V (Knowledge and Power Preparatory Academy)</t>
  </si>
  <si>
    <t>23K522</t>
  </si>
  <si>
    <t>Mott Hall IV</t>
  </si>
  <si>
    <t>23K599</t>
  </si>
  <si>
    <t>Brooklyn Landmark Elementary School</t>
  </si>
  <si>
    <t>23K643</t>
  </si>
  <si>
    <t>Brooklyn Democracy Academy</t>
  </si>
  <si>
    <t>23K644</t>
  </si>
  <si>
    <t>Eagle Academy for Young Men II</t>
  </si>
  <si>
    <t>23K647</t>
  </si>
  <si>
    <t>Metropolitan Diploma Plus High School</t>
  </si>
  <si>
    <t>23K664</t>
  </si>
  <si>
    <t>Brooklyn Environmental Exploration School (BEES)</t>
  </si>
  <si>
    <t>23K668</t>
  </si>
  <si>
    <t>Riverdale Avenue Middle School</t>
  </si>
  <si>
    <t>23K671</t>
  </si>
  <si>
    <t>Mott Hall Bridges Academy</t>
  </si>
  <si>
    <t>23K697</t>
  </si>
  <si>
    <t>Legacy Leadership High School</t>
  </si>
  <si>
    <t>24Q005</t>
  </si>
  <si>
    <t>I.S. 5 - The Walter Crowley Intermediate School</t>
  </si>
  <si>
    <t>24Q007</t>
  </si>
  <si>
    <t>P.S. 007 Louis F. Simeone</t>
  </si>
  <si>
    <t>24Q012</t>
  </si>
  <si>
    <t>P.S. 012 James B. Colgate</t>
  </si>
  <si>
    <t>24Q013</t>
  </si>
  <si>
    <t>P.S. 013 Clement C. Moore</t>
  </si>
  <si>
    <t>24Q014</t>
  </si>
  <si>
    <t>P.S. 014 Fairview</t>
  </si>
  <si>
    <t>24Q016</t>
  </si>
  <si>
    <t>P.S. Q016 The Nancy DeBenedittis School</t>
  </si>
  <si>
    <t>SAMUEL FIELD YM &amp; YWHA INC</t>
  </si>
  <si>
    <t>24Q019</t>
  </si>
  <si>
    <t>P.S. 019 Marino Jeantet</t>
  </si>
  <si>
    <t>24Q028</t>
  </si>
  <si>
    <t>P.S. 28 - The Thomas Emanuel Early Childhood Cente</t>
  </si>
  <si>
    <t>24Q049</t>
  </si>
  <si>
    <t>P.S. 049 Dorothy Bonawit Kole</t>
  </si>
  <si>
    <t>24Q058</t>
  </si>
  <si>
    <t>P.S. 58 - The School of Heroes</t>
  </si>
  <si>
    <t>24Q061</t>
  </si>
  <si>
    <t>I.S. 061 Leonardo Da Vinci</t>
  </si>
  <si>
    <t>24Q068</t>
  </si>
  <si>
    <t>P.S. 068 Cambridge</t>
  </si>
  <si>
    <t>24Q071</t>
  </si>
  <si>
    <t>P.S. 071 Forest</t>
  </si>
  <si>
    <t>24Q073</t>
  </si>
  <si>
    <t>I.S. 73 - The Frank Sansivieri Intermediate School</t>
  </si>
  <si>
    <t>24Q077</t>
  </si>
  <si>
    <t>Joseph F. Quinn Intermediate School 77</t>
  </si>
  <si>
    <t>24Q081</t>
  </si>
  <si>
    <t>P.S. 81Q Jean Paul Richter</t>
  </si>
  <si>
    <t>24Q087</t>
  </si>
  <si>
    <t>P.S./I.S. 087 Middle Village</t>
  </si>
  <si>
    <t>24Q088</t>
  </si>
  <si>
    <t>P.S. 088 Seneca</t>
  </si>
  <si>
    <t>24Q089</t>
  </si>
  <si>
    <t>P.S. 89Q: The Jose Peralta School of Dreamers</t>
  </si>
  <si>
    <t>24Q091</t>
  </si>
  <si>
    <t>P.S. 091 Richard Arkwright</t>
  </si>
  <si>
    <t>24Q093</t>
  </si>
  <si>
    <t>I.S. 093 Ridgewood</t>
  </si>
  <si>
    <t>24Q102</t>
  </si>
  <si>
    <t>P.S. 102 Bayview</t>
  </si>
  <si>
    <t>24Q110</t>
  </si>
  <si>
    <t>P.S. 110</t>
  </si>
  <si>
    <t>24Q113</t>
  </si>
  <si>
    <t>P.S./I.S. 113 Anthony J. Pranzo</t>
  </si>
  <si>
    <t>24Q119</t>
  </si>
  <si>
    <t>P.S./I.S. 119 The Glendale</t>
  </si>
  <si>
    <t>24Q125</t>
  </si>
  <si>
    <t>I.S. 125 Thom J. McCann Woodside</t>
  </si>
  <si>
    <t>24Q128</t>
  </si>
  <si>
    <t>P.S. 128 The Lorraine Tuzzo, Juniper Valley Elemen</t>
  </si>
  <si>
    <t>24Q143</t>
  </si>
  <si>
    <t>P.S. 143 Louis Armstrong</t>
  </si>
  <si>
    <t>24Q153</t>
  </si>
  <si>
    <t>P.S. 153 Maspeth Elem</t>
  </si>
  <si>
    <t>24Q199</t>
  </si>
  <si>
    <t>P.S. 199 Maurice A. Fitzgerald</t>
  </si>
  <si>
    <t>24Q211</t>
  </si>
  <si>
    <t>Elm Tree Elementary School</t>
  </si>
  <si>
    <t>24Q229</t>
  </si>
  <si>
    <t>P.S. 229 Emanuel Kaplan</t>
  </si>
  <si>
    <t>24Q236</t>
  </si>
  <si>
    <t>International High School for Health Sciences</t>
  </si>
  <si>
    <t>Queens Community House</t>
  </si>
  <si>
    <t>24Q239</t>
  </si>
  <si>
    <t>P.S. 239</t>
  </si>
  <si>
    <t>24Q264</t>
  </si>
  <si>
    <t>Academy of Finance and Enterprise</t>
  </si>
  <si>
    <t>24Q267</t>
  </si>
  <si>
    <t>High School of Applied Communication</t>
  </si>
  <si>
    <t>24Q290</t>
  </si>
  <si>
    <t>A.C.E. Academy for Scholars at the Geraldine Ferra</t>
  </si>
  <si>
    <t>24Q293</t>
  </si>
  <si>
    <t>Civic Leadership Academy</t>
  </si>
  <si>
    <t>24Q296</t>
  </si>
  <si>
    <t>Pan American International High School</t>
  </si>
  <si>
    <t>Coalition for Hispanic Family Services</t>
  </si>
  <si>
    <t>24Q299</t>
  </si>
  <si>
    <t>Bard High School Early College Queens</t>
  </si>
  <si>
    <t>24Q305</t>
  </si>
  <si>
    <t>Learners and Leaders</t>
  </si>
  <si>
    <t>24Q307</t>
  </si>
  <si>
    <t>Pioneer Academy</t>
  </si>
  <si>
    <t>24Q311</t>
  </si>
  <si>
    <t>Corona Arts &amp; Sciences Academy</t>
  </si>
  <si>
    <t>24Q330</t>
  </si>
  <si>
    <t>Helen M. Marshall School</t>
  </si>
  <si>
    <t>24Q343</t>
  </si>
  <si>
    <t>The Children's Lab School</t>
  </si>
  <si>
    <t>24Q419</t>
  </si>
  <si>
    <t>MS 419</t>
  </si>
  <si>
    <t>24Q455</t>
  </si>
  <si>
    <t>Newtown High School</t>
  </si>
  <si>
    <t>24Q485</t>
  </si>
  <si>
    <t>Grover Cleveland High School</t>
  </si>
  <si>
    <t>24Q520</t>
  </si>
  <si>
    <t>Middle College High School at LaGuardia Community</t>
  </si>
  <si>
    <t>24Q530</t>
  </si>
  <si>
    <t>International High School at LaGuardia Community C</t>
  </si>
  <si>
    <t>24Q550</t>
  </si>
  <si>
    <t>High School for Arts and Business</t>
  </si>
  <si>
    <t>24Q560</t>
  </si>
  <si>
    <t>Robert F. Wagner, Jr. Secondary School for Arts an</t>
  </si>
  <si>
    <t>24Q585</t>
  </si>
  <si>
    <t>Maspeth High School</t>
  </si>
  <si>
    <t>24Q600</t>
  </si>
  <si>
    <t>Queens Technical High School</t>
  </si>
  <si>
    <t>Sunnyside Community Services</t>
  </si>
  <si>
    <t>24Q610</t>
  </si>
  <si>
    <t>Aviation Career &amp; Technical Education High School</t>
  </si>
  <si>
    <t>24Q744</t>
  </si>
  <si>
    <t>VOYAGES Preparatory</t>
  </si>
  <si>
    <t>24Q849</t>
  </si>
  <si>
    <t>Queens International Secondary School</t>
  </si>
  <si>
    <t>25Q020</t>
  </si>
  <si>
    <t>P.S. 020 John Bowne</t>
  </si>
  <si>
    <t>25Q021</t>
  </si>
  <si>
    <t>P.S. 021 Edward Hart</t>
  </si>
  <si>
    <t>25Q022</t>
  </si>
  <si>
    <t>P.S. 022 Thomas Jefferson</t>
  </si>
  <si>
    <t>25Q024</t>
  </si>
  <si>
    <t>P.S. 024 Andrew Jackson</t>
  </si>
  <si>
    <t>25Q025</t>
  </si>
  <si>
    <t>I.S. 025 Adrien Block</t>
  </si>
  <si>
    <t>25Q029</t>
  </si>
  <si>
    <t>P.S. 029 Queens</t>
  </si>
  <si>
    <t>25Q032</t>
  </si>
  <si>
    <t>P.S. 032 State Street</t>
  </si>
  <si>
    <t>25Q079</t>
  </si>
  <si>
    <t>P.S. 079 Francis Lewis</t>
  </si>
  <si>
    <t>25Q107</t>
  </si>
  <si>
    <t>P.S. 107 Thomas A Dooley</t>
  </si>
  <si>
    <t>25Q120</t>
  </si>
  <si>
    <t>P.S. 120 Queens</t>
  </si>
  <si>
    <t>Chinese American Parents Association INC</t>
  </si>
  <si>
    <t>25Q129</t>
  </si>
  <si>
    <t>P.S. 129 Patricia Larkin</t>
  </si>
  <si>
    <t>25Q130</t>
  </si>
  <si>
    <t>P.S. 130</t>
  </si>
  <si>
    <t>25Q154</t>
  </si>
  <si>
    <t>P.S. 154 Queens</t>
  </si>
  <si>
    <t>25Q163</t>
  </si>
  <si>
    <t>P.S. 163 Flushing Heights</t>
  </si>
  <si>
    <t>25Q164</t>
  </si>
  <si>
    <t>P.S. 164 Queens Valley</t>
  </si>
  <si>
    <t>25Q165</t>
  </si>
  <si>
    <t>P.S. 165 Edith K. Bergtraum</t>
  </si>
  <si>
    <t>25Q169</t>
  </si>
  <si>
    <t>P.S. 169 Bay Terrace</t>
  </si>
  <si>
    <t>25Q184</t>
  </si>
  <si>
    <t>P.S. 184 Flushing Manor</t>
  </si>
  <si>
    <t>25Q185</t>
  </si>
  <si>
    <t>J.H.S. 185 Edward Bleeker</t>
  </si>
  <si>
    <t>25Q189</t>
  </si>
  <si>
    <t>J.H.S. 189 Daniel Carter Beard</t>
  </si>
  <si>
    <t>YMCA of Greater New York- Flushing Branch</t>
  </si>
  <si>
    <t>25Q193</t>
  </si>
  <si>
    <t>P.S. 193 Alfred J. Kennedy</t>
  </si>
  <si>
    <t>25Q194</t>
  </si>
  <si>
    <t>J.H.S. 194 William Carr</t>
  </si>
  <si>
    <t>25Q200</t>
  </si>
  <si>
    <t>P.S./M.S. 200 - The Magnet School of Global Studie</t>
  </si>
  <si>
    <t>25Q201</t>
  </si>
  <si>
    <t>P.S. 201 The Discovery School for Inquiry and Rese</t>
  </si>
  <si>
    <t>25Q209</t>
  </si>
  <si>
    <t>P.S. 209 Clearview Gardens</t>
  </si>
  <si>
    <t>25Q214</t>
  </si>
  <si>
    <t>P.S. 214 Cadwallader Colden</t>
  </si>
  <si>
    <t>25Q219</t>
  </si>
  <si>
    <t>P.S. 219 Paul Klapper</t>
  </si>
  <si>
    <t>25Q237</t>
  </si>
  <si>
    <t>I.S. 237</t>
  </si>
  <si>
    <t>25Q240</t>
  </si>
  <si>
    <t>Veritas Academy</t>
  </si>
  <si>
    <t>25Q241</t>
  </si>
  <si>
    <t>Queens High School for Language Studies</t>
  </si>
  <si>
    <t>25Q242</t>
  </si>
  <si>
    <t>P.S. 242 Leonard P. Stavisky Early Childhood Schoo</t>
  </si>
  <si>
    <t>25Q244</t>
  </si>
  <si>
    <t>The Active Learning Elementary School</t>
  </si>
  <si>
    <t>25Q250</t>
  </si>
  <si>
    <t>I.S. 250 The Robert F. Kennedy Community Middle Sc</t>
  </si>
  <si>
    <t>25Q252</t>
  </si>
  <si>
    <t>Queens School of Inquiry, The</t>
  </si>
  <si>
    <t>25Q263</t>
  </si>
  <si>
    <t>Flushing International High School</t>
  </si>
  <si>
    <t>25Q281</t>
  </si>
  <si>
    <t>East-West School of International Studies</t>
  </si>
  <si>
    <t>25Q285</t>
  </si>
  <si>
    <t>World Journalism Preparatory: A College Board Scho</t>
  </si>
  <si>
    <t>25Q294</t>
  </si>
  <si>
    <t>BELL Academy</t>
  </si>
  <si>
    <t>25Q379</t>
  </si>
  <si>
    <t>College Point Collaborative</t>
  </si>
  <si>
    <t>25Q425</t>
  </si>
  <si>
    <t>John Bowne High School</t>
  </si>
  <si>
    <t>25Q460</t>
  </si>
  <si>
    <t>Flushing High School</t>
  </si>
  <si>
    <t>25Q499</t>
  </si>
  <si>
    <t>The Queens College School for Math, Science and Te</t>
  </si>
  <si>
    <t>25Q525</t>
  </si>
  <si>
    <t>Townsend Harris High School</t>
  </si>
  <si>
    <t>25Q540</t>
  </si>
  <si>
    <t>Queens Academy High School</t>
  </si>
  <si>
    <t>25Q670</t>
  </si>
  <si>
    <t>Robert F. Kennedy Community High School</t>
  </si>
  <si>
    <t>25Q792</t>
  </si>
  <si>
    <t>North Queens Community High School</t>
  </si>
  <si>
    <t>26Q018</t>
  </si>
  <si>
    <t>P.S. 018 Winchester</t>
  </si>
  <si>
    <t>26Q026</t>
  </si>
  <si>
    <t>P.S. 026 Rufus King</t>
  </si>
  <si>
    <t>26Q031</t>
  </si>
  <si>
    <t>P.S. 031 Bayside</t>
  </si>
  <si>
    <t>26Q041</t>
  </si>
  <si>
    <t>P.S. 041 Crocheron</t>
  </si>
  <si>
    <t>26Q046</t>
  </si>
  <si>
    <t>P.S. 046 Alley Pond</t>
  </si>
  <si>
    <t>26Q067</t>
  </si>
  <si>
    <t>J.H.S. 067 Louis Pasteur</t>
  </si>
  <si>
    <t>26Q074</t>
  </si>
  <si>
    <t>J.H.S. 074 Nathaniel Hawthorne</t>
  </si>
  <si>
    <t>26Q094</t>
  </si>
  <si>
    <t>P.S. 094 David D. Porter</t>
  </si>
  <si>
    <t>26Q098</t>
  </si>
  <si>
    <t>P.S. 098 The Douglaston School</t>
  </si>
  <si>
    <t>26Q115</t>
  </si>
  <si>
    <t>The James J. Ambrose School</t>
  </si>
  <si>
    <t>26Q133</t>
  </si>
  <si>
    <t>P.S. 133 The Bellerose School of Excellence</t>
  </si>
  <si>
    <t>26Q158</t>
  </si>
  <si>
    <t>M.S. 158 Marie Curie</t>
  </si>
  <si>
    <t>26Q159</t>
  </si>
  <si>
    <t>P.S. 159</t>
  </si>
  <si>
    <t>26Q162</t>
  </si>
  <si>
    <t>P.S. 162 John Golden</t>
  </si>
  <si>
    <t>26Q172</t>
  </si>
  <si>
    <t>Irwin Altman Middle School 172</t>
  </si>
  <si>
    <t>26Q173</t>
  </si>
  <si>
    <t>P.S. 173 Fresh Meadows</t>
  </si>
  <si>
    <t>26Q178</t>
  </si>
  <si>
    <t>P.S./ IS 178 Holliswood</t>
  </si>
  <si>
    <t>26Q186</t>
  </si>
  <si>
    <t>P.S. 186 Castlewood</t>
  </si>
  <si>
    <t>26Q188</t>
  </si>
  <si>
    <t>P.S. 188 Kingsbury</t>
  </si>
  <si>
    <t>26Q191</t>
  </si>
  <si>
    <t>P.S. 191 Mayflower</t>
  </si>
  <si>
    <t>26Q203</t>
  </si>
  <si>
    <t>P.S. 203 Oakland Gardens</t>
  </si>
  <si>
    <t>26Q205</t>
  </si>
  <si>
    <t>P.S. 205 Alexander Graham Bell</t>
  </si>
  <si>
    <t>26Q213</t>
  </si>
  <si>
    <t>P.S. 213 The Carl Ullman School</t>
  </si>
  <si>
    <t>26Q216</t>
  </si>
  <si>
    <t>J.H.S. 216 George J. Ryan</t>
  </si>
  <si>
    <t>26Q221</t>
  </si>
  <si>
    <t>P.S. 221 The North Hills School</t>
  </si>
  <si>
    <t>26Q266</t>
  </si>
  <si>
    <t>P.S./I.S. 266</t>
  </si>
  <si>
    <t>26Q315</t>
  </si>
  <si>
    <t>Business Technology Early College High School</t>
  </si>
  <si>
    <t>26Q376</t>
  </si>
  <si>
    <t>P.S. 376</t>
  </si>
  <si>
    <t>26Q390</t>
  </si>
  <si>
    <t>The CIVIC School of Bayside Hills</t>
  </si>
  <si>
    <t>26Q415</t>
  </si>
  <si>
    <t>Benjamin N. Cardozo High School</t>
  </si>
  <si>
    <t>26Q430</t>
  </si>
  <si>
    <t>Francis Lewis High School</t>
  </si>
  <si>
    <t>26Q435</t>
  </si>
  <si>
    <t>Martin Van Buren High School</t>
  </si>
  <si>
    <t>26Q495</t>
  </si>
  <si>
    <t>Bayside High School</t>
  </si>
  <si>
    <t>26Q566</t>
  </si>
  <si>
    <t>Queens High School of Teaching, Liberal Arts and t</t>
  </si>
  <si>
    <t>27Q042</t>
  </si>
  <si>
    <t>P.S./M.S 042 R. Vernam</t>
  </si>
  <si>
    <t>27Q043</t>
  </si>
  <si>
    <t>P.S. 043</t>
  </si>
  <si>
    <t>XPOSURE FOUNDATION INC.</t>
  </si>
  <si>
    <t>27Q045</t>
  </si>
  <si>
    <t>P.S. 045 Clarence Witherspoon</t>
  </si>
  <si>
    <t>27Q047</t>
  </si>
  <si>
    <t>P.S. 047 Chris Galas</t>
  </si>
  <si>
    <t>27Q051</t>
  </si>
  <si>
    <t>P.S. 051</t>
  </si>
  <si>
    <t>27Q053</t>
  </si>
  <si>
    <t>M.S. 053 Brian Piccolo</t>
  </si>
  <si>
    <t>27Q056</t>
  </si>
  <si>
    <t>P.S. 056 Harry Eichler</t>
  </si>
  <si>
    <t>27Q060</t>
  </si>
  <si>
    <t>P.S. 060 Woodhaven</t>
  </si>
  <si>
    <t>27Q062</t>
  </si>
  <si>
    <t>P. S. 62 - Chester Park School</t>
  </si>
  <si>
    <t>27Q063</t>
  </si>
  <si>
    <t>P.S. 063 Old South</t>
  </si>
  <si>
    <t>27Q064</t>
  </si>
  <si>
    <t>P.S. 064 Joseph P. Addabbo</t>
  </si>
  <si>
    <t>27Q065</t>
  </si>
  <si>
    <t>P.S. 65 - The Raymond York Elementary School</t>
  </si>
  <si>
    <t>27Q066</t>
  </si>
  <si>
    <t>P.S. 066 Jacqueline Kennedy Onassis</t>
  </si>
  <si>
    <t>27Q090</t>
  </si>
  <si>
    <t>P.S. 090 Horace Mann</t>
  </si>
  <si>
    <t>27Q096</t>
  </si>
  <si>
    <t>P.S. 096</t>
  </si>
  <si>
    <t>27Q097</t>
  </si>
  <si>
    <t>P.S. 097 Forest Park</t>
  </si>
  <si>
    <t>27Q100</t>
  </si>
  <si>
    <t>P.S. 100 Glen Morris</t>
  </si>
  <si>
    <t>27Q104</t>
  </si>
  <si>
    <t>P.S. 104 The Bays Water</t>
  </si>
  <si>
    <t>27Q105</t>
  </si>
  <si>
    <t>P.S. 105 The Bay School</t>
  </si>
  <si>
    <t>27Q106</t>
  </si>
  <si>
    <t>Lighthouse Elementary School</t>
  </si>
  <si>
    <t>27Q108</t>
  </si>
  <si>
    <t>P.S. 108 Captain Vincent G. Fowler</t>
  </si>
  <si>
    <t>27Q114</t>
  </si>
  <si>
    <t>P.S./M.S. 114 Belle Harbor</t>
  </si>
  <si>
    <t>27Q123</t>
  </si>
  <si>
    <t>P.S. 123</t>
  </si>
  <si>
    <t>27Q124</t>
  </si>
  <si>
    <t>P.S. 124 Osmond A Church</t>
  </si>
  <si>
    <t>27Q137</t>
  </si>
  <si>
    <t>M.S. 137 America's School of Heroes</t>
  </si>
  <si>
    <t>27Q146</t>
  </si>
  <si>
    <t>P.S. 146 Howard Beach</t>
  </si>
  <si>
    <t>27Q155</t>
  </si>
  <si>
    <t>P.S. 155</t>
  </si>
  <si>
    <t>27Q183</t>
  </si>
  <si>
    <t>P.S. 183 Dr. Richard R. Green</t>
  </si>
  <si>
    <t>27Q197</t>
  </si>
  <si>
    <t>P.S. 197 The Ocean School</t>
  </si>
  <si>
    <t>27Q202</t>
  </si>
  <si>
    <t>J.H.S. 202 Robert H. Goddard</t>
  </si>
  <si>
    <t>27Q207</t>
  </si>
  <si>
    <t>P.S. 207 Rockwood Park</t>
  </si>
  <si>
    <t>27Q210</t>
  </si>
  <si>
    <t>J.H.S. 210 Elizabeth Blackwell</t>
  </si>
  <si>
    <t>27Q223</t>
  </si>
  <si>
    <t>P.S. 223 Lyndon B. Johnson</t>
  </si>
  <si>
    <t>27Q226</t>
  </si>
  <si>
    <t>J.H.S. 226 Virgil I. Grissom</t>
  </si>
  <si>
    <t>27Q232</t>
  </si>
  <si>
    <t>P.S. 232 Lindenwood</t>
  </si>
  <si>
    <t>27Q253</t>
  </si>
  <si>
    <t>The Randolph Holder School for Social Justice</t>
  </si>
  <si>
    <t>27Q254</t>
  </si>
  <si>
    <t>P.S. 254 - The Rosa Parks School</t>
  </si>
  <si>
    <t>27Q260</t>
  </si>
  <si>
    <t>Frederick Douglass Academy VI High School</t>
  </si>
  <si>
    <t>27Q261</t>
  </si>
  <si>
    <t>Voyages Prep - South Queens</t>
  </si>
  <si>
    <t>27Q262</t>
  </si>
  <si>
    <t>Channel View School for Research</t>
  </si>
  <si>
    <t>27Q273</t>
  </si>
  <si>
    <t>P.S. 273</t>
  </si>
  <si>
    <t>27Q282</t>
  </si>
  <si>
    <t>Knowledge and Power Preparatory Academy VI</t>
  </si>
  <si>
    <t>27Q297</t>
  </si>
  <si>
    <t>Hawtree Creek Middle School</t>
  </si>
  <si>
    <t>27Q302</t>
  </si>
  <si>
    <t>Queens High School for Information, Research, and</t>
  </si>
  <si>
    <t>27Q306</t>
  </si>
  <si>
    <t>New York City Academy for Discovery</t>
  </si>
  <si>
    <t>27Q308</t>
  </si>
  <si>
    <t>Robert H. Goddard High School of Communication Art</t>
  </si>
  <si>
    <t>27Q309</t>
  </si>
  <si>
    <t>Academy of Medical Technology: A College Board Sch</t>
  </si>
  <si>
    <t>27Q314</t>
  </si>
  <si>
    <t>Epic High School - South</t>
  </si>
  <si>
    <t>27Q316</t>
  </si>
  <si>
    <t>Queens Explorers Elementary School</t>
  </si>
  <si>
    <t>27Q317</t>
  </si>
  <si>
    <t>Waterside Children's Studio School</t>
  </si>
  <si>
    <t>27Q318</t>
  </si>
  <si>
    <t>Waterside School For Leadership</t>
  </si>
  <si>
    <t>27Q319</t>
  </si>
  <si>
    <t>Village Academy</t>
  </si>
  <si>
    <t>27Q323</t>
  </si>
  <si>
    <t>Scholars' Academy</t>
  </si>
  <si>
    <t>27Q324</t>
  </si>
  <si>
    <t>Rockaway Park High School for Environmental Sustai</t>
  </si>
  <si>
    <t>27Q333</t>
  </si>
  <si>
    <t>Goldie Maple Academy</t>
  </si>
  <si>
    <t>27Q334</t>
  </si>
  <si>
    <t>Epic High School - North</t>
  </si>
  <si>
    <t>27Q351</t>
  </si>
  <si>
    <t>Rockaway Collegiate High School</t>
  </si>
  <si>
    <t>27Q362</t>
  </si>
  <si>
    <t>Wave Preparatory Elementary School</t>
  </si>
  <si>
    <t>27Q377</t>
  </si>
  <si>
    <t>S.T.A.R. Leadership Academy</t>
  </si>
  <si>
    <t>27Q400</t>
  </si>
  <si>
    <t>August Martin High School</t>
  </si>
  <si>
    <t>27Q475</t>
  </si>
  <si>
    <t>Richmond Hill High School</t>
  </si>
  <si>
    <t>South Asian Youth Action, Inc.</t>
  </si>
  <si>
    <t>27Q480</t>
  </si>
  <si>
    <t>John Adams High School</t>
  </si>
  <si>
    <t>27Q650</t>
  </si>
  <si>
    <t>High School for Construction Trades, Engineering a</t>
  </si>
  <si>
    <t>28Q008</t>
  </si>
  <si>
    <t>J.H.S. 008 Richard S. Grossley</t>
  </si>
  <si>
    <t>Southern Queens Park Association, Inc.</t>
  </si>
  <si>
    <t>28Q040</t>
  </si>
  <si>
    <t>P.S. 040 Samuel Huntington</t>
  </si>
  <si>
    <t>28Q048</t>
  </si>
  <si>
    <t>David N. Dinkins School</t>
  </si>
  <si>
    <t>28Q050</t>
  </si>
  <si>
    <t>P.S. 050 Talfourd Lawn Elementary School</t>
  </si>
  <si>
    <t>28Q054</t>
  </si>
  <si>
    <t>P.S. 054 Hillside</t>
  </si>
  <si>
    <t>28Q055</t>
  </si>
  <si>
    <t>P.S. 055 Maure</t>
  </si>
  <si>
    <t>28Q072</t>
  </si>
  <si>
    <t>Catherine &amp; Count Basie Middle School 72</t>
  </si>
  <si>
    <t>28Q080</t>
  </si>
  <si>
    <t>PS 80  The Thurgood Marshall Magnet School of Mult</t>
  </si>
  <si>
    <t>28Q082</t>
  </si>
  <si>
    <t>P.S. 082 Hammond</t>
  </si>
  <si>
    <t>28Q086</t>
  </si>
  <si>
    <t>P.S. Q086</t>
  </si>
  <si>
    <t>28Q099</t>
  </si>
  <si>
    <t>P.S. 099 Kew Gardens</t>
  </si>
  <si>
    <t>28Q101</t>
  </si>
  <si>
    <t>P.S. 101 School in the Gardens</t>
  </si>
  <si>
    <t>28Q117</t>
  </si>
  <si>
    <t>P.S. 117 J. Keld / Briarwood School</t>
  </si>
  <si>
    <t>28Q121</t>
  </si>
  <si>
    <t>P.S. 121 Queens</t>
  </si>
  <si>
    <t>28Q139</t>
  </si>
  <si>
    <t>P.S. 139 Rego Park</t>
  </si>
  <si>
    <t>28Q140</t>
  </si>
  <si>
    <t>P.S. 140 Edward K Ellington</t>
  </si>
  <si>
    <t>28Q144</t>
  </si>
  <si>
    <t>P.S. 144 Col Jeromus Remsen</t>
  </si>
  <si>
    <t>28Q157</t>
  </si>
  <si>
    <t>J.H.S. 157 Stephen A. Halsey</t>
  </si>
  <si>
    <t>28Q160</t>
  </si>
  <si>
    <t>P.S. 160 Walter Francis Bishop</t>
  </si>
  <si>
    <t>28Q161</t>
  </si>
  <si>
    <t>P.S. 161 Arthur Ashe School</t>
  </si>
  <si>
    <t>28Q167</t>
  </si>
  <si>
    <t>Metropolitan Expeditionary Learning School</t>
  </si>
  <si>
    <t>28Q174</t>
  </si>
  <si>
    <t>P.S. 174 William Sidney Mount</t>
  </si>
  <si>
    <t>28Q175</t>
  </si>
  <si>
    <t>P.S. 175 The Lynn Gross Discovery School</t>
  </si>
  <si>
    <t>28Q182</t>
  </si>
  <si>
    <t>P.S. 182 Samantha Smith</t>
  </si>
  <si>
    <t>28Q190</t>
  </si>
  <si>
    <t>J.H.S. 190 Russell Sage</t>
  </si>
  <si>
    <t>28Q196</t>
  </si>
  <si>
    <t>P.S. 196 Grand Central Parkway</t>
  </si>
  <si>
    <t>28Q206</t>
  </si>
  <si>
    <t>P.S. 206 The Horace Harding School</t>
  </si>
  <si>
    <t>28Q217</t>
  </si>
  <si>
    <t>J.H.S. 217 Robert A. Van Wyck</t>
  </si>
  <si>
    <t>28Q220</t>
  </si>
  <si>
    <t>P.S. 220 Edward Mandel</t>
  </si>
  <si>
    <t>28Q284</t>
  </si>
  <si>
    <t>York Early College Academy</t>
  </si>
  <si>
    <t>28Q287</t>
  </si>
  <si>
    <t>The Emerson School</t>
  </si>
  <si>
    <t>28Q303</t>
  </si>
  <si>
    <t>The Academy for Excellence through the Arts</t>
  </si>
  <si>
    <t>28Q310</t>
  </si>
  <si>
    <t>Queens Collegiate: A College Board School</t>
  </si>
  <si>
    <t>28Q312</t>
  </si>
  <si>
    <t>Jamaica Children's School</t>
  </si>
  <si>
    <t>28Q325</t>
  </si>
  <si>
    <t>Hillside Arts &amp; Letters Academy</t>
  </si>
  <si>
    <t>28Q328</t>
  </si>
  <si>
    <t>High School for Community Leadership</t>
  </si>
  <si>
    <t>28Q332</t>
  </si>
  <si>
    <t>Redwood Middle School</t>
  </si>
  <si>
    <t>28Q338</t>
  </si>
  <si>
    <t>Queens Satellite High School for Opportunity</t>
  </si>
  <si>
    <t>28Q349</t>
  </si>
  <si>
    <t>Pathways to Graduation</t>
  </si>
  <si>
    <t>28Q350</t>
  </si>
  <si>
    <t>Jamaica Gateway to the Sciences</t>
  </si>
  <si>
    <t>28Q354</t>
  </si>
  <si>
    <t>The Jermaine L. Green STEM Institute of Queens</t>
  </si>
  <si>
    <t>28Q358</t>
  </si>
  <si>
    <t>M.S. 358</t>
  </si>
  <si>
    <t>28Q440</t>
  </si>
  <si>
    <t>Forest Hills High School</t>
  </si>
  <si>
    <t>28Q505</t>
  </si>
  <si>
    <t>Hillcrest High School</t>
  </si>
  <si>
    <t>28Q620</t>
  </si>
  <si>
    <t>Thomas A. Edison Career and Technical Education Hi</t>
  </si>
  <si>
    <t>28Q680</t>
  </si>
  <si>
    <t>Queens Gateway to Health Sciences Secondary School</t>
  </si>
  <si>
    <t>28Q686</t>
  </si>
  <si>
    <t>Queens Metropolitan High School</t>
  </si>
  <si>
    <t>28Q687</t>
  </si>
  <si>
    <t>Queens High School for the Sciences at York Colleg</t>
  </si>
  <si>
    <t>28Q690</t>
  </si>
  <si>
    <t>High School for Law Enforcement and Public Safety</t>
  </si>
  <si>
    <t>28Q896</t>
  </si>
  <si>
    <t>Young Women's Leadership School, Queens</t>
  </si>
  <si>
    <t>29Q015</t>
  </si>
  <si>
    <t>P.S. 015 Jackie Robinson</t>
  </si>
  <si>
    <t>29Q033</t>
  </si>
  <si>
    <t>P.S. 033 Edward M. Funk</t>
  </si>
  <si>
    <t>29Q034</t>
  </si>
  <si>
    <t>P.S. 034 John Harvard</t>
  </si>
  <si>
    <t>29Q035</t>
  </si>
  <si>
    <t>P.S. 035 Nathaniel Woodhull</t>
  </si>
  <si>
    <t>29Q036</t>
  </si>
  <si>
    <t>P.S. 036 Saint Albans School</t>
  </si>
  <si>
    <t>29Q037</t>
  </si>
  <si>
    <t>Cynthia Jenkins School</t>
  </si>
  <si>
    <t>29Q038</t>
  </si>
  <si>
    <t>P.S. 038 Rosedale</t>
  </si>
  <si>
    <t>29Q052</t>
  </si>
  <si>
    <t>P.S. 052 Queens</t>
  </si>
  <si>
    <t>United Community Schools (UFT), After-School All-Stars</t>
  </si>
  <si>
    <t>29Q059</t>
  </si>
  <si>
    <t>I.S. 059 Springfield Gardens</t>
  </si>
  <si>
    <t>29Q095</t>
  </si>
  <si>
    <t>P.S. 095 Eastwood</t>
  </si>
  <si>
    <t>29Q109</t>
  </si>
  <si>
    <t>Jean Nuzzi Intermediate School</t>
  </si>
  <si>
    <t>29Q116</t>
  </si>
  <si>
    <t>P.S./I.S. 116 William C. Hughley</t>
  </si>
  <si>
    <t>29Q118</t>
  </si>
  <si>
    <t>P.S. 118 Lorraine Hansberry</t>
  </si>
  <si>
    <t>29Q131</t>
  </si>
  <si>
    <t>P.S. 131 Abigail Adams</t>
  </si>
  <si>
    <t>29Q132</t>
  </si>
  <si>
    <t>P.S. 132 Ralph Bunche</t>
  </si>
  <si>
    <t>29Q134</t>
  </si>
  <si>
    <t>P.S. 134 Hollis</t>
  </si>
  <si>
    <t>29Q135</t>
  </si>
  <si>
    <t>The Bellaire School</t>
  </si>
  <si>
    <t>29Q136</t>
  </si>
  <si>
    <t>P.S. 136 Roy Wilkins</t>
  </si>
  <si>
    <t>29Q138</t>
  </si>
  <si>
    <t>P.S./M.S. 138 Sunrise</t>
  </si>
  <si>
    <t>29Q147</t>
  </si>
  <si>
    <t>P.S./M.S. 147 Ronald McNair</t>
  </si>
  <si>
    <t>29Q156</t>
  </si>
  <si>
    <t>P.S. 156 Laurelton</t>
  </si>
  <si>
    <t>29Q176</t>
  </si>
  <si>
    <t>P.S. 176 Cambria Heights</t>
  </si>
  <si>
    <t>29Q181</t>
  </si>
  <si>
    <t>P.S. 181 Brookfield</t>
  </si>
  <si>
    <t>29Q192</t>
  </si>
  <si>
    <t>I.S. 192 The Linden</t>
  </si>
  <si>
    <t>29Q195</t>
  </si>
  <si>
    <t>P.S. 195 William Haberle</t>
  </si>
  <si>
    <t>29Q208</t>
  </si>
  <si>
    <t>P.S./I.S. 208</t>
  </si>
  <si>
    <t>29Q238</t>
  </si>
  <si>
    <t>I.S. 238 - Susan B. Anthony Academy</t>
  </si>
  <si>
    <t>29Q243</t>
  </si>
  <si>
    <t>Institute for Health Professions at Cambria Height</t>
  </si>
  <si>
    <t>29Q248</t>
  </si>
  <si>
    <t>Queens Preparatory Academy</t>
  </si>
  <si>
    <t>29Q251</t>
  </si>
  <si>
    <t>P.S. 251 Queens</t>
  </si>
  <si>
    <t>29Q259</t>
  </si>
  <si>
    <t>Pathways College Preparatory School: A College Boa</t>
  </si>
  <si>
    <t>29Q265</t>
  </si>
  <si>
    <t>Excelsior Preparatory High School</t>
  </si>
  <si>
    <t>29Q268</t>
  </si>
  <si>
    <t>P.S./I.S. 268</t>
  </si>
  <si>
    <t>29Q270</t>
  </si>
  <si>
    <t>The Gordon Parks School</t>
  </si>
  <si>
    <t>29Q272</t>
  </si>
  <si>
    <t>George Washington Carver High School for the Scien</t>
  </si>
  <si>
    <t>29Q283</t>
  </si>
  <si>
    <t>Preparatory Academy for Writers: A College Board S</t>
  </si>
  <si>
    <t>29Q289</t>
  </si>
  <si>
    <t>Queens United Middle School</t>
  </si>
  <si>
    <t>29Q295</t>
  </si>
  <si>
    <t>P.S./I.S. 295</t>
  </si>
  <si>
    <t>29Q313</t>
  </si>
  <si>
    <t>Benjamin Franklin High School for Finance &amp; Inform</t>
  </si>
  <si>
    <t>29Q326</t>
  </si>
  <si>
    <t>Cambria Heights Academy</t>
  </si>
  <si>
    <t>29Q327</t>
  </si>
  <si>
    <t>Eagle Academy for Young Men III</t>
  </si>
  <si>
    <t>29Q355</t>
  </si>
  <si>
    <t>Collaborative Arts Middle School</t>
  </si>
  <si>
    <t>29Q356</t>
  </si>
  <si>
    <t>Community Voices Middle School</t>
  </si>
  <si>
    <t>29Q360</t>
  </si>
  <si>
    <t>29Q427</t>
  </si>
  <si>
    <t>HBCU Early College Prep</t>
  </si>
  <si>
    <t>29Q492</t>
  </si>
  <si>
    <t>Mathematics, Science Research and Technology Magne</t>
  </si>
  <si>
    <t>29Q498</t>
  </si>
  <si>
    <t>Health, Arts, Robotics, and Technology High School</t>
  </si>
  <si>
    <t>30Q002</t>
  </si>
  <si>
    <t>P.S. 002 Alfred Zimberg</t>
  </si>
  <si>
    <t>30Q010</t>
  </si>
  <si>
    <t>I.S. 010 Horace Greeley</t>
  </si>
  <si>
    <t>30Q011</t>
  </si>
  <si>
    <t>P.S. 011 Kathryn Phelan</t>
  </si>
  <si>
    <t>30Q017</t>
  </si>
  <si>
    <t>P.S. 017 Henry David Thoreau</t>
  </si>
  <si>
    <t>30Q069</t>
  </si>
  <si>
    <t>P.S. 069 Jackson Heights</t>
  </si>
  <si>
    <t>30Q070</t>
  </si>
  <si>
    <t>P.S. 070</t>
  </si>
  <si>
    <t>30Q076</t>
  </si>
  <si>
    <t>P.S. 076 William Hallet</t>
  </si>
  <si>
    <t>30Q078</t>
  </si>
  <si>
    <t>P.S./I.S. 78Q</t>
  </si>
  <si>
    <t>30Q084</t>
  </si>
  <si>
    <t>P.S. 084 Steinway</t>
  </si>
  <si>
    <t>30Q085</t>
  </si>
  <si>
    <t>P.S. 085 Judge Charles Vallone</t>
  </si>
  <si>
    <t>30Q092</t>
  </si>
  <si>
    <t>P.S. 092 Harry T. Stewart Sr.</t>
  </si>
  <si>
    <t>30Q111</t>
  </si>
  <si>
    <t>P.S. 111 Jacob Blackwell</t>
  </si>
  <si>
    <t>30Q112</t>
  </si>
  <si>
    <t>P.S. 112 Dutch Kills</t>
  </si>
  <si>
    <t>Variety Boys and Girls Club of Queens Inc.</t>
  </si>
  <si>
    <t>30Q122</t>
  </si>
  <si>
    <t>P.S. 122 Mamie Fay</t>
  </si>
  <si>
    <t>30Q126</t>
  </si>
  <si>
    <t>Albert Shanker School for Visual and Performing Ar</t>
  </si>
  <si>
    <t>30Q127</t>
  </si>
  <si>
    <t>P.S. 127 Aerospace Science Magnet School</t>
  </si>
  <si>
    <t>30Q141</t>
  </si>
  <si>
    <t>I.S. 141 The Steinway</t>
  </si>
  <si>
    <t>30Q145</t>
  </si>
  <si>
    <t>I.S. 145 Joseph Pulitzer</t>
  </si>
  <si>
    <t>30Q148</t>
  </si>
  <si>
    <t>P.S. 148 Queens</t>
  </si>
  <si>
    <t>30Q149</t>
  </si>
  <si>
    <t>P.S. 149 Christa McAuliffe</t>
  </si>
  <si>
    <t>30Q150</t>
  </si>
  <si>
    <t>P.S. 150 Queens</t>
  </si>
  <si>
    <t>30Q151</t>
  </si>
  <si>
    <t>P.S. 151 Mary D. Carter</t>
  </si>
  <si>
    <t>30Q152</t>
  </si>
  <si>
    <t>P.S. 152 Gwendoline N. Alleyne School</t>
  </si>
  <si>
    <t>30Q166</t>
  </si>
  <si>
    <t>P.S. 166 Henry Gradstein</t>
  </si>
  <si>
    <t>30Q171</t>
  </si>
  <si>
    <t>P.S. 171 Peter G. Van Alst</t>
  </si>
  <si>
    <t>30Q204</t>
  </si>
  <si>
    <t>I.S. 204 Oliver W. Holmes</t>
  </si>
  <si>
    <t>30Q212</t>
  </si>
  <si>
    <t>P.S. 212</t>
  </si>
  <si>
    <t>30Q222</t>
  </si>
  <si>
    <t>P.S. Q222 - Fire Fighter Christopher A. Santora Sc</t>
  </si>
  <si>
    <t>30Q227</t>
  </si>
  <si>
    <t>I.S. 227 Louis Armstrong</t>
  </si>
  <si>
    <t>30Q228</t>
  </si>
  <si>
    <t>The Ivan Lafayette Early Childhood School of the A</t>
  </si>
  <si>
    <t>30Q230</t>
  </si>
  <si>
    <t>I.S. 230</t>
  </si>
  <si>
    <t>30Q234</t>
  </si>
  <si>
    <t>P.S. 234</t>
  </si>
  <si>
    <t>30Q235</t>
  </si>
  <si>
    <t>Academy for New Americans</t>
  </si>
  <si>
    <t>30Q258</t>
  </si>
  <si>
    <t>Energy Tech High School</t>
  </si>
  <si>
    <t>30Q280</t>
  </si>
  <si>
    <t>PS280Q: Home of the Lionhearts</t>
  </si>
  <si>
    <t>30Q286</t>
  </si>
  <si>
    <t>Young Women's Leadership School, Astoria</t>
  </si>
  <si>
    <t>30Q291</t>
  </si>
  <si>
    <t>Hunters Point Community Middle School</t>
  </si>
  <si>
    <t>30Q300</t>
  </si>
  <si>
    <t>The 30th Avenue School (G&amp;T Citywide)</t>
  </si>
  <si>
    <t>30Q301</t>
  </si>
  <si>
    <t>Academy for Careers in Television and Film</t>
  </si>
  <si>
    <t>30Q329</t>
  </si>
  <si>
    <t>East Elmhurst Community School</t>
  </si>
  <si>
    <t>30Q361</t>
  </si>
  <si>
    <t>The Woodside Community School</t>
  </si>
  <si>
    <t>30Q367</t>
  </si>
  <si>
    <t>Motion Picture Technical High School</t>
  </si>
  <si>
    <t>30Q384</t>
  </si>
  <si>
    <t>Hunters Point Elementary School</t>
  </si>
  <si>
    <t>30Q398</t>
  </si>
  <si>
    <t>The Hector Figueroa School</t>
  </si>
  <si>
    <t>30Q417</t>
  </si>
  <si>
    <t>Gotham Tech High School</t>
  </si>
  <si>
    <t>30Q429</t>
  </si>
  <si>
    <t>Sunnyside Middle School</t>
  </si>
  <si>
    <t>30Q445</t>
  </si>
  <si>
    <t>William Cullen Bryant High School</t>
  </si>
  <si>
    <t>30Q450</t>
  </si>
  <si>
    <t>Long Island City High School</t>
  </si>
  <si>
    <t>Zone 126</t>
  </si>
  <si>
    <t>30Q472</t>
  </si>
  <si>
    <t>Northwell School of Health Sciences</t>
  </si>
  <si>
    <t>30Q501</t>
  </si>
  <si>
    <t>Frank Sinatra School of the Arts High School</t>
  </si>
  <si>
    <t>30Q502</t>
  </si>
  <si>
    <t>Information Technology High School</t>
  </si>
  <si>
    <t>30Q555</t>
  </si>
  <si>
    <t>ATLAS</t>
  </si>
  <si>
    <t>30Q575</t>
  </si>
  <si>
    <t>Academy of American Studies</t>
  </si>
  <si>
    <t>30Q580</t>
  </si>
  <si>
    <t>Baccalaureate School for Global Education</t>
  </si>
  <si>
    <t>31R001</t>
  </si>
  <si>
    <t>P.S. 001 Tottenville</t>
  </si>
  <si>
    <t>31R002</t>
  </si>
  <si>
    <t>I.S. R002 George L. Egbert</t>
  </si>
  <si>
    <t>31R003</t>
  </si>
  <si>
    <t>P.S. 003 The Margaret Gioiosa School</t>
  </si>
  <si>
    <t>31R004</t>
  </si>
  <si>
    <t>P.S. 004 Maurice Wollin</t>
  </si>
  <si>
    <t>31R005</t>
  </si>
  <si>
    <t>P.S. 005 Huguenot</t>
  </si>
  <si>
    <t>31R006</t>
  </si>
  <si>
    <t>P.S. 6 Corporal Allan F. Kivlehan School</t>
  </si>
  <si>
    <t>31R007</t>
  </si>
  <si>
    <t>I.S. 007 Elias Bernstein</t>
  </si>
  <si>
    <t>31R008</t>
  </si>
  <si>
    <t>P.S. 8 Shirlee Solomon</t>
  </si>
  <si>
    <t>31R009</t>
  </si>
  <si>
    <t>Naples Street Elementary School</t>
  </si>
  <si>
    <t>31R010</t>
  </si>
  <si>
    <t>Fort Hill Collaborative Elementary School</t>
  </si>
  <si>
    <t>31R011</t>
  </si>
  <si>
    <t>P.S. 11 Thomas Dongan School</t>
  </si>
  <si>
    <t>31R013</t>
  </si>
  <si>
    <t>P.S. 013 M. L. Lindemeyer</t>
  </si>
  <si>
    <t>31R016</t>
  </si>
  <si>
    <t>P.S. 016 John J. Driscoll</t>
  </si>
  <si>
    <t>31R018</t>
  </si>
  <si>
    <t>P.S. 018 John G. Whittier</t>
  </si>
  <si>
    <t>UNITED ACTIVITIES UNLIMITED INC</t>
  </si>
  <si>
    <t>31R019</t>
  </si>
  <si>
    <t>P.S. 019 The Curtis School</t>
  </si>
  <si>
    <t>31R020</t>
  </si>
  <si>
    <t>P.S. 020 Port Richmond</t>
  </si>
  <si>
    <t>31R021</t>
  </si>
  <si>
    <t>P.S. 21 Margaret Emery-Elm Park</t>
  </si>
  <si>
    <t>31R022</t>
  </si>
  <si>
    <t>P.S. 022 Graniteville</t>
  </si>
  <si>
    <t>31R023</t>
  </si>
  <si>
    <t>P.S. 023 Richmondtown</t>
  </si>
  <si>
    <t>31R024</t>
  </si>
  <si>
    <t>I.S. 024 Myra S. Barnes</t>
  </si>
  <si>
    <t>31R026</t>
  </si>
  <si>
    <t>P.S./I.S. 26 The Carteret School</t>
  </si>
  <si>
    <t>31R027</t>
  </si>
  <si>
    <t>I.S. 027 Anning S. Prall</t>
  </si>
  <si>
    <t>31R028</t>
  </si>
  <si>
    <t>The Eagle Academy for Young Men of Staten Island</t>
  </si>
  <si>
    <t>31R029</t>
  </si>
  <si>
    <t>P.S. 029 Bardwell</t>
  </si>
  <si>
    <t>31R030</t>
  </si>
  <si>
    <t>P.S. 030 Westerleigh</t>
  </si>
  <si>
    <t>31R031</t>
  </si>
  <si>
    <t>P.S. 031 William T. Davis</t>
  </si>
  <si>
    <t>31R032</t>
  </si>
  <si>
    <t>P.S. 032 The Gifford School</t>
  </si>
  <si>
    <t>31R034</t>
  </si>
  <si>
    <t>I.S. 034 Tottenville</t>
  </si>
  <si>
    <t>31R035</t>
  </si>
  <si>
    <t>P.S. 35 The Clove Valley School</t>
  </si>
  <si>
    <t>31R036</t>
  </si>
  <si>
    <t>P.S. 036 J. C. Drumgoole</t>
  </si>
  <si>
    <t>31R038</t>
  </si>
  <si>
    <t>P.S. 038 George Cromwell</t>
  </si>
  <si>
    <t>31R039</t>
  </si>
  <si>
    <t>P.S. 39 Francis J. Murphy Jr.</t>
  </si>
  <si>
    <t>31R041</t>
  </si>
  <si>
    <t>The Stephanie A. Vierno School</t>
  </si>
  <si>
    <t>31R042</t>
  </si>
  <si>
    <t>P.S. 042 Eltingville</t>
  </si>
  <si>
    <t>31R044</t>
  </si>
  <si>
    <t>P.S. 044 Thomas C. Brown</t>
  </si>
  <si>
    <t>31R045</t>
  </si>
  <si>
    <t>P.S. 045 John Tyler</t>
  </si>
  <si>
    <t>31R046</t>
  </si>
  <si>
    <t>P.S. 046 Albert V. Maniscalco</t>
  </si>
  <si>
    <t>31R047</t>
  </si>
  <si>
    <t>CSI High School for International Studies</t>
  </si>
  <si>
    <t>31R048</t>
  </si>
  <si>
    <t>P.S. 048 William G. Wilcox</t>
  </si>
  <si>
    <t>31R049</t>
  </si>
  <si>
    <t>I.S. 49 Berta A. Dreyfus</t>
  </si>
  <si>
    <t>31R050</t>
  </si>
  <si>
    <t>P.S. 050 Frank Hankinson</t>
  </si>
  <si>
    <t>31R051</t>
  </si>
  <si>
    <t>I.S. 051 Edwin Markham</t>
  </si>
  <si>
    <t>31R052</t>
  </si>
  <si>
    <t>P.S. 052 John C. Thompson</t>
  </si>
  <si>
    <t>31R053</t>
  </si>
  <si>
    <t>The Barbara Esselborn School</t>
  </si>
  <si>
    <t>31R054</t>
  </si>
  <si>
    <t>P.S. 054 Charles W. Leng</t>
  </si>
  <si>
    <t>31R055</t>
  </si>
  <si>
    <t>P.S. 055 Henry M. Boehm</t>
  </si>
  <si>
    <t>31R056</t>
  </si>
  <si>
    <t>P.S. 56 The Louis Desario School</t>
  </si>
  <si>
    <t>31R057</t>
  </si>
  <si>
    <t>P.S. 057 Hubert H. Humphrey</t>
  </si>
  <si>
    <t>31R058</t>
  </si>
  <si>
    <t>Space Shuttle Columbia School</t>
  </si>
  <si>
    <t>31R059</t>
  </si>
  <si>
    <t>The Harbor View School</t>
  </si>
  <si>
    <t>31R060</t>
  </si>
  <si>
    <t>P.S. 060 Alice Austen</t>
  </si>
  <si>
    <t>31R061</t>
  </si>
  <si>
    <t>I.S. 061 William A Morris</t>
  </si>
  <si>
    <t>31R062</t>
  </si>
  <si>
    <t>The Kathleen Grimm School for Leadership and Susta</t>
  </si>
  <si>
    <t>31R063</t>
  </si>
  <si>
    <t>Marsh Avenue School for Expeditionary Learning</t>
  </si>
  <si>
    <t>31R064</t>
  </si>
  <si>
    <t>Gaynor McCown Expeditionary Learning School</t>
  </si>
  <si>
    <t>31R065</t>
  </si>
  <si>
    <t>P.S. 65 The Academy of Innovative Learning</t>
  </si>
  <si>
    <t>31R068</t>
  </si>
  <si>
    <t>Port Richmond School for Visionary Learning</t>
  </si>
  <si>
    <t>31R069</t>
  </si>
  <si>
    <t>P.S. 069 Daniel D. Tompkins</t>
  </si>
  <si>
    <t>31R072</t>
  </si>
  <si>
    <t>I.S. 072 Rocco Laurie</t>
  </si>
  <si>
    <t>31R074</t>
  </si>
  <si>
    <t>P.S. 74 Future Leaders Elementary School</t>
  </si>
  <si>
    <t>31R075</t>
  </si>
  <si>
    <t>I.S. 075 Frank D. Paulo</t>
  </si>
  <si>
    <t>31R078</t>
  </si>
  <si>
    <t>P.S. 78</t>
  </si>
  <si>
    <t>31R080</t>
  </si>
  <si>
    <t>The Michael J. Petrides School</t>
  </si>
  <si>
    <t>31R084</t>
  </si>
  <si>
    <t>The Waverly Academy of Empowered Learners</t>
  </si>
  <si>
    <t>31R085</t>
  </si>
  <si>
    <t>The Young Women's Leadership School of Staten Isla</t>
  </si>
  <si>
    <t>31R440</t>
  </si>
  <si>
    <t>New Dorp High School</t>
  </si>
  <si>
    <t>31R445</t>
  </si>
  <si>
    <t>Port Richmond High School</t>
  </si>
  <si>
    <t>31R450</t>
  </si>
  <si>
    <t>Curtis High School</t>
  </si>
  <si>
    <t>31R455</t>
  </si>
  <si>
    <t>Tottenville High School</t>
  </si>
  <si>
    <t>31R460</t>
  </si>
  <si>
    <t>Susan E. Wagner High School</t>
  </si>
  <si>
    <t>31R470</t>
  </si>
  <si>
    <t>Concord High School</t>
  </si>
  <si>
    <t>31R600</t>
  </si>
  <si>
    <t>Ralph R. McKee Career and Technical Education High</t>
  </si>
  <si>
    <t>31R605</t>
  </si>
  <si>
    <t>Staten Island Technical High School</t>
  </si>
  <si>
    <t>31R861</t>
  </si>
  <si>
    <t>Staten Island School of Civic Leadership</t>
  </si>
  <si>
    <t>32K045</t>
  </si>
  <si>
    <t>P.S./I.S. 045 Horace E. Greene</t>
  </si>
  <si>
    <t>32K075</t>
  </si>
  <si>
    <t>P.S. 075 Mayda Cortiella</t>
  </si>
  <si>
    <t>32K086</t>
  </si>
  <si>
    <t>P.S. 086 The Irvington</t>
  </si>
  <si>
    <t>32K106</t>
  </si>
  <si>
    <t>P.S. 106 Edward Everett Hale</t>
  </si>
  <si>
    <t>32K116</t>
  </si>
  <si>
    <t>P.S. 116 Elizabeth L Farrell</t>
  </si>
  <si>
    <t>32K123</t>
  </si>
  <si>
    <t>P.S. 123 Suydam</t>
  </si>
  <si>
    <t>32K145</t>
  </si>
  <si>
    <t>P.S. 145 Andrew Jackson</t>
  </si>
  <si>
    <t>32K151</t>
  </si>
  <si>
    <t>P.S. 151 Lyndon B. Johnson</t>
  </si>
  <si>
    <t>32K162</t>
  </si>
  <si>
    <t>J.H.S. 162 The Willoughby</t>
  </si>
  <si>
    <t>32K168</t>
  </si>
  <si>
    <t>The Brooklyn School for Math and Research</t>
  </si>
  <si>
    <t>Make The Road NY</t>
  </si>
  <si>
    <t>32K274</t>
  </si>
  <si>
    <t>P.S. 274 Kosciusko</t>
  </si>
  <si>
    <t>32K291</t>
  </si>
  <si>
    <t>J.H.S. 291 Roland Hayes</t>
  </si>
  <si>
    <t>32K299</t>
  </si>
  <si>
    <t>P.S. 299 Thomas Warren Field</t>
  </si>
  <si>
    <t>32K347</t>
  </si>
  <si>
    <t>I.S. 347 School of Humanities</t>
  </si>
  <si>
    <t>32K349</t>
  </si>
  <si>
    <t>I.S. 349 Math, Science &amp; Tech.</t>
  </si>
  <si>
    <t>32K376</t>
  </si>
  <si>
    <t>32K377</t>
  </si>
  <si>
    <t>P.S. 377 Alejandrina B. De Gautier</t>
  </si>
  <si>
    <t>Learning Through An Expanded Arts Program</t>
  </si>
  <si>
    <t>32K383</t>
  </si>
  <si>
    <t>J.H.S. 383 Philippa Schuyler</t>
  </si>
  <si>
    <t>32K384</t>
  </si>
  <si>
    <t>P.S. /I.S. 384 Frances E. Carter</t>
  </si>
  <si>
    <t>32K403</t>
  </si>
  <si>
    <t>Academy for Excellence in Leadership</t>
  </si>
  <si>
    <t>32K545</t>
  </si>
  <si>
    <t>EBC High School for Public Service - Bushwick</t>
  </si>
  <si>
    <t>32K549</t>
  </si>
  <si>
    <t>The Brooklyn School for Social Justice</t>
  </si>
  <si>
    <t>32K552</t>
  </si>
  <si>
    <t>The Academy of Urban Planning and Engineering</t>
  </si>
  <si>
    <t>32K554</t>
  </si>
  <si>
    <t>All City Leadership Secondary School</t>
  </si>
  <si>
    <t>32K556</t>
  </si>
  <si>
    <t>Bushwick Leaders High School for Academic Excellen</t>
  </si>
  <si>
    <t>32K562</t>
  </si>
  <si>
    <t>Evergreen Middle School for Urban Exploration</t>
  </si>
  <si>
    <t>32K564</t>
  </si>
  <si>
    <t>Bushwick Community High School</t>
  </si>
  <si>
    <t>75K004</t>
  </si>
  <si>
    <t>P.S. K004</t>
  </si>
  <si>
    <t>75K036</t>
  </si>
  <si>
    <t>P.S. 36</t>
  </si>
  <si>
    <t>75K053</t>
  </si>
  <si>
    <t>P.S. K053</t>
  </si>
  <si>
    <t>75K077</t>
  </si>
  <si>
    <t>P.S. K077</t>
  </si>
  <si>
    <t>75K140</t>
  </si>
  <si>
    <t>P.S. K140</t>
  </si>
  <si>
    <t>75K141</t>
  </si>
  <si>
    <t>P.S. K141</t>
  </si>
  <si>
    <t>75K231</t>
  </si>
  <si>
    <t>P.S. K231</t>
  </si>
  <si>
    <t>75K368</t>
  </si>
  <si>
    <t>P.S. 368</t>
  </si>
  <si>
    <t>75K369</t>
  </si>
  <si>
    <t>P.S. K369 - Coy L. Cox School</t>
  </si>
  <si>
    <t>75K370</t>
  </si>
  <si>
    <t>P.S. 370</t>
  </si>
  <si>
    <t>75K371</t>
  </si>
  <si>
    <t>P.S. 371 - Lillian L. Rashkis</t>
  </si>
  <si>
    <t>75K372</t>
  </si>
  <si>
    <t>P.S. 372 -The Children's School</t>
  </si>
  <si>
    <t>75K373</t>
  </si>
  <si>
    <t>P.S. 373 - Brooklyn Transition Center</t>
  </si>
  <si>
    <t>75K396</t>
  </si>
  <si>
    <t>Sid Miller Academy</t>
  </si>
  <si>
    <t>75K721</t>
  </si>
  <si>
    <t>P.S. K721 - Brooklyn Occupational Training Center</t>
  </si>
  <si>
    <t>75K753</t>
  </si>
  <si>
    <t>P.S. K753 - School for Career Development</t>
  </si>
  <si>
    <t>75K771</t>
  </si>
  <si>
    <t>P.S. K771</t>
  </si>
  <si>
    <t>75K811</t>
  </si>
  <si>
    <t>P.S. K811 Connie Lekas School</t>
  </si>
  <si>
    <t>75M035</t>
  </si>
  <si>
    <t>P.S. 035</t>
  </si>
  <si>
    <t>75M079</t>
  </si>
  <si>
    <t>P.S. M079 - Horan School</t>
  </si>
  <si>
    <t>75M094</t>
  </si>
  <si>
    <t>P.S. M094</t>
  </si>
  <si>
    <t>75M138</t>
  </si>
  <si>
    <t>P.S. 138</t>
  </si>
  <si>
    <t>75M169</t>
  </si>
  <si>
    <t>P.S. M169 - Robert F. Kennedy</t>
  </si>
  <si>
    <t>75M226</t>
  </si>
  <si>
    <t>P.S. M226</t>
  </si>
  <si>
    <t>75M401</t>
  </si>
  <si>
    <t>Hospital Schools</t>
  </si>
  <si>
    <t>75M501</t>
  </si>
  <si>
    <t>Home Instruction</t>
  </si>
  <si>
    <t>75M721</t>
  </si>
  <si>
    <t>P.S. M721 - Manhattan Occupational Training Center</t>
  </si>
  <si>
    <t>75M751</t>
  </si>
  <si>
    <t>Manhattan School for Career Development</t>
  </si>
  <si>
    <t>75M811</t>
  </si>
  <si>
    <t>P.S. M811 - Mickey Mantle School</t>
  </si>
  <si>
    <t>75Q004</t>
  </si>
  <si>
    <t>P.S. Q004</t>
  </si>
  <si>
    <t>75Q009</t>
  </si>
  <si>
    <t>P.S. 009</t>
  </si>
  <si>
    <t>75Q023</t>
  </si>
  <si>
    <t>P.S. Q023 @ Queens Children Center</t>
  </si>
  <si>
    <t>75Q075</t>
  </si>
  <si>
    <t>Robert E. Peary School</t>
  </si>
  <si>
    <t>75Q177</t>
  </si>
  <si>
    <t>P.S. Q177</t>
  </si>
  <si>
    <t>75Q224</t>
  </si>
  <si>
    <t>P.S. Q224</t>
  </si>
  <si>
    <t>75Q233</t>
  </si>
  <si>
    <t>P.S. Q233</t>
  </si>
  <si>
    <t>75Q255</t>
  </si>
  <si>
    <t>P.S. Q255</t>
  </si>
  <si>
    <t>75Q256</t>
  </si>
  <si>
    <t>P.S. Q256</t>
  </si>
  <si>
    <t>75Q277</t>
  </si>
  <si>
    <t>The Riverview School</t>
  </si>
  <si>
    <t>75Q721</t>
  </si>
  <si>
    <t>John F. Kennedy Jr. School</t>
  </si>
  <si>
    <t>75Q752</t>
  </si>
  <si>
    <t>Queens Transition Center</t>
  </si>
  <si>
    <t>LE RU MULTI SERVICE AGENCY LLC</t>
  </si>
  <si>
    <t>75Q811</t>
  </si>
  <si>
    <t>P.S. Q811</t>
  </si>
  <si>
    <t>75Q993</t>
  </si>
  <si>
    <t>P.S. Q993</t>
  </si>
  <si>
    <t>75R025</t>
  </si>
  <si>
    <t>South Richmond High School I.S./P.S. 25</t>
  </si>
  <si>
    <t>75R037</t>
  </si>
  <si>
    <t>The David Marquis School of the Arts</t>
  </si>
  <si>
    <t>75R089</t>
  </si>
  <si>
    <t>Staten Island Rise Academy</t>
  </si>
  <si>
    <t>75R373</t>
  </si>
  <si>
    <t>P.S. R373</t>
  </si>
  <si>
    <t>75R721</t>
  </si>
  <si>
    <t>The Richard H. Hungerford School</t>
  </si>
  <si>
    <t>75X010</t>
  </si>
  <si>
    <t>P.S. X010</t>
  </si>
  <si>
    <t>75X012</t>
  </si>
  <si>
    <t>P.S. X012 Lewis and Clark School</t>
  </si>
  <si>
    <t>NYSARC INC NEW YORK CITY CHAPTER</t>
  </si>
  <si>
    <t>75X017</t>
  </si>
  <si>
    <t>P.S. X017</t>
  </si>
  <si>
    <t>75X168</t>
  </si>
  <si>
    <t>P.S. 168</t>
  </si>
  <si>
    <t>75X176</t>
  </si>
  <si>
    <t>P.S. X176</t>
  </si>
  <si>
    <t>75X186</t>
  </si>
  <si>
    <t>P186X Walter J. Damrosch School</t>
  </si>
  <si>
    <t>75X188</t>
  </si>
  <si>
    <t>P.S. X188</t>
  </si>
  <si>
    <t>75X352</t>
  </si>
  <si>
    <t>The Vida Bogart School for All Children</t>
  </si>
  <si>
    <t>75X469</t>
  </si>
  <si>
    <t>The Bronx School for Continuous Learners</t>
  </si>
  <si>
    <t>75X596</t>
  </si>
  <si>
    <t>P.S. X596</t>
  </si>
  <si>
    <t>75X643</t>
  </si>
  <si>
    <t>P.S. X643</t>
  </si>
  <si>
    <t>75X721</t>
  </si>
  <si>
    <t>P.S. X721 - Stephen McSweeney School</t>
  </si>
  <si>
    <t>75X723</t>
  </si>
  <si>
    <t>P.S. 723</t>
  </si>
  <si>
    <t>75X754</t>
  </si>
  <si>
    <t>J. M. Rapport School Career Development</t>
  </si>
  <si>
    <t>75X811</t>
  </si>
  <si>
    <t>P.S. X811</t>
  </si>
  <si>
    <t>79K925</t>
  </si>
  <si>
    <t>YABC Programs - Brooklyn and Queens</t>
  </si>
  <si>
    <t>YABC</t>
  </si>
  <si>
    <t>na</t>
  </si>
  <si>
    <t>79M331</t>
  </si>
  <si>
    <t>The Judith S. Kaye School - D79</t>
  </si>
  <si>
    <t>Ungraded</t>
  </si>
  <si>
    <t>79M379</t>
  </si>
  <si>
    <t>YABC Programs - Manhattan, Bronx, Staten Island</t>
  </si>
  <si>
    <t>79M645</t>
  </si>
  <si>
    <t>79M973</t>
  </si>
  <si>
    <t>79M984</t>
  </si>
  <si>
    <t>LYFE</t>
  </si>
  <si>
    <t>N/A</t>
  </si>
  <si>
    <t>79Q344</t>
  </si>
  <si>
    <t>East River Academy</t>
  </si>
  <si>
    <t>79Q950</t>
  </si>
  <si>
    <t>79X695</t>
  </si>
  <si>
    <t>Passages Academy</t>
  </si>
  <si>
    <t>88KLC1</t>
  </si>
  <si>
    <t>BROOKLYN ALTERNATE LEARNING CENTER</t>
  </si>
  <si>
    <t>CENTRAL-HQ-CITYWIDE</t>
  </si>
  <si>
    <t>88MLC1</t>
  </si>
  <si>
    <t>MANHATTAN ALTERNATE LEARNING CENTER</t>
  </si>
  <si>
    <t>88QLC1</t>
  </si>
  <si>
    <t>QUEENS ALTERNATE LEARNING CENTER</t>
  </si>
  <si>
    <t>88RLC1</t>
  </si>
  <si>
    <t>BROOKLYN/STATEN ISLAND ALTERNATE LEARNING CENTER</t>
  </si>
  <si>
    <t>88XLC1</t>
  </si>
  <si>
    <t>BRONX ALTERNATE LEARNING CENTER</t>
  </si>
  <si>
    <t>Total</t>
  </si>
  <si>
    <t># Trained thru 2024-25</t>
  </si>
  <si>
    <t>Total Trained</t>
  </si>
  <si>
    <t>New Explorations into Science, Technology and Math High School</t>
  </si>
  <si>
    <t>Cascades High School</t>
  </si>
  <si>
    <t>47 The American Sign Language and English Secondary School</t>
  </si>
  <si>
    <t>The Urban Assembly School for Emergency Management</t>
  </si>
  <si>
    <t>Stephen T. Mather Building Arts &amp; Craftsmanship High School</t>
  </si>
  <si>
    <t>Manhattan Early College School for Advertising</t>
  </si>
  <si>
    <t>Urban Assembly School of Design and Construction, The</t>
  </si>
  <si>
    <t>James Baldwin School, The: A School for Expeditionary Learning</t>
  </si>
  <si>
    <t>Urban Assembly School of Business for Young Women, the</t>
  </si>
  <si>
    <t>Manhattan Business Academy</t>
  </si>
  <si>
    <t>Business Of Sports School</t>
  </si>
  <si>
    <t>A School Without Walls Virtual High School Program</t>
  </si>
  <si>
    <t>High School for Health Professions and Human Services</t>
  </si>
  <si>
    <t>02M473</t>
  </si>
  <si>
    <t>Washington Irving Yabc</t>
  </si>
  <si>
    <t>Life Sciences Secondary School</t>
  </si>
  <si>
    <t>03M299</t>
  </si>
  <si>
    <t>The Maxine Greene HS for Imaginative Inquiry</t>
  </si>
  <si>
    <t>Wadleigh Secondary School for the Performing &amp; Visual Arts</t>
  </si>
  <si>
    <t>Fiorello H. LaGuardia High School of Music &amp; Art and Performing Arts</t>
  </si>
  <si>
    <t>High School for Law, Advocacy and Community Justice</t>
  </si>
  <si>
    <t>Esperanza Preparatory Academy</t>
  </si>
  <si>
    <t>04M610</t>
  </si>
  <si>
    <t>Thurgood Marshall Academy for Learning and Social Change</t>
  </si>
  <si>
    <t>High School for Mathematics, Science and Engineering at City College</t>
  </si>
  <si>
    <t>Inwood Early College for Health and Information Technologies</t>
  </si>
  <si>
    <t>City College Academy of the Arts</t>
  </si>
  <si>
    <t>Gregorio Luperon High School for Science and Mathematics</t>
  </si>
  <si>
    <t>The Laboratory School of Finance and Technology: X223</t>
  </si>
  <si>
    <t>H.E.R.O. High (Health, Education, and Research Occupations High School)</t>
  </si>
  <si>
    <t>Alfred E. Smith Career and Technical Education High School</t>
  </si>
  <si>
    <t>Walkabout Bronx High School</t>
  </si>
  <si>
    <t>Renaissance High School for Musical Theater and the Arts</t>
  </si>
  <si>
    <t>Archimedes Academy for Math, Science and Technology Applications</t>
  </si>
  <si>
    <t>Antonia Pantoja Preparatory Academy: A College Board School</t>
  </si>
  <si>
    <t>Urban Assembly School for Applied Math and Science, The</t>
  </si>
  <si>
    <t>Eximius College Preparatory Academy: A College Board School</t>
  </si>
  <si>
    <t>Bronx Early College Academy for Teaching &amp; Learning</t>
  </si>
  <si>
    <t>09X404</t>
  </si>
  <si>
    <t>School for Excellence</t>
  </si>
  <si>
    <t>Riverdale / Kingsbridge Academy (Middle School / High School 141)</t>
  </si>
  <si>
    <t>The Marie Curie School for Medicine, Nursing, and Health Professions</t>
  </si>
  <si>
    <t>Providing Urban Learners Success In Education High School</t>
  </si>
  <si>
    <t>Knowledge and Power Preparatory Academy International High School (Kappa)</t>
  </si>
  <si>
    <t>English Language Learners and International Support Preparatory Academy (ELLIS)</t>
  </si>
  <si>
    <t>11X253</t>
  </si>
  <si>
    <t>Bronx High School for Writing and Communication Arts</t>
  </si>
  <si>
    <t>Academy for Scholarship and Entrepreneurship: A College Board School</t>
  </si>
  <si>
    <t>Urban Assembly School of Music and Art</t>
  </si>
  <si>
    <t>Science Skills Center High School for Science, Technology and the Creative Arts</t>
  </si>
  <si>
    <t>Urban Assembly Institute of Math and Science for Young Women</t>
  </si>
  <si>
    <t>George Westinghouse Career and Technical Education High School</t>
  </si>
  <si>
    <t>Brooklyn High School for Leadership and Community Service</t>
  </si>
  <si>
    <t>City Polytechnic High School of Engineering, Architecture, and Technology</t>
  </si>
  <si>
    <t>The High School for Enterprise, Business and Technology</t>
  </si>
  <si>
    <t>Williamsburg High School for Architecture and Design</t>
  </si>
  <si>
    <t>Pathways in Technology Early College High School (P-Tech)</t>
  </si>
  <si>
    <t>Academy for College Preparation and Career Exploration: A College Board School</t>
  </si>
  <si>
    <t>17K531</t>
  </si>
  <si>
    <t>School for Human Rights, The</t>
  </si>
  <si>
    <t>High School for Youth and Community Development at Erasmus</t>
  </si>
  <si>
    <t>Science, Technology and Research Early College High School at Erasmus</t>
  </si>
  <si>
    <t>Brooklyn Community High School for Excellence and Equity</t>
  </si>
  <si>
    <t>High School for Innovation in Advertising and Media</t>
  </si>
  <si>
    <t>FDNY - Captain Vernon A. Richard High School for Fire and Life Safety</t>
  </si>
  <si>
    <t>19K504</t>
  </si>
  <si>
    <t>High School for Civil Rights</t>
  </si>
  <si>
    <t>World Academy for Total Community Health High School</t>
  </si>
  <si>
    <t>Transit Tech Career and Technical Education High School</t>
  </si>
  <si>
    <t>W. H. Maxwell Career and Technical Education High School</t>
  </si>
  <si>
    <t>The Urban Assembly School for Collaborative Healthcare</t>
  </si>
  <si>
    <t>High School of Telecommunication Arts and Technology</t>
  </si>
  <si>
    <t>Urban Assembly School for Leadership and Empowerment</t>
  </si>
  <si>
    <t>Life Academy High School for Film and Music</t>
  </si>
  <si>
    <t>William E. Grady Career and Technical Education High School</t>
  </si>
  <si>
    <t>Teachers Preparatory High School</t>
  </si>
  <si>
    <t>Middle College High School at LaGuardia Community College</t>
  </si>
  <si>
    <t>International High School at LaGuardia Community College</t>
  </si>
  <si>
    <t>Robert F. Wagner, Jr. Secondary School for Arts and Technology</t>
  </si>
  <si>
    <t>World Journalism Preparatory: A College Board School</t>
  </si>
  <si>
    <t>Queens High School of Teaching, Liberal Arts and the Sciences</t>
  </si>
  <si>
    <t>Queens High School for Information, Research, and Technology</t>
  </si>
  <si>
    <t>Robert H. Goddard High School of Communication Arts and Technology</t>
  </si>
  <si>
    <t>Academy of Medical Technology: A College Board School</t>
  </si>
  <si>
    <t>Rockaway Park High School for Environmental Sustainability</t>
  </si>
  <si>
    <t>High School for Construction Trades, Engineering and Architecture</t>
  </si>
  <si>
    <t>Thomas A. Edison Career and Technical Education High School</t>
  </si>
  <si>
    <t>Queens High School for the Sciences at York College</t>
  </si>
  <si>
    <t>Institute for Health Professions at Cambria Heights</t>
  </si>
  <si>
    <t>Pathways College Preparatory School: A College Board School</t>
  </si>
  <si>
    <t>George Washington Carver High School for the Sciences</t>
  </si>
  <si>
    <t>Preparatory Academy for Writers: A College Board School</t>
  </si>
  <si>
    <t>Benjamin Franklin High School for Finance &amp; Information Technology</t>
  </si>
  <si>
    <t>Mathematics, Science Research and Technology Magnet High School</t>
  </si>
  <si>
    <t>Humanities &amp; Arts Magnet High School</t>
  </si>
  <si>
    <t>Newcomers High School</t>
  </si>
  <si>
    <t>Ralph R. McKee Career and Technical Education High School</t>
  </si>
  <si>
    <t>Bushwick Leaders High School for Academic Excellence</t>
  </si>
  <si>
    <t>33K891</t>
  </si>
  <si>
    <t>Brooklyn Steam Center</t>
  </si>
  <si>
    <t>79K695</t>
  </si>
  <si>
    <t>Passages Brooklyn</t>
  </si>
  <si>
    <t>Brooklyn &amp; Queens YABCs</t>
  </si>
  <si>
    <t>Bronx, Manhattan &amp; Staten Island YABCs</t>
  </si>
  <si>
    <t>79M585</t>
  </si>
  <si>
    <t>Career Education Center</t>
  </si>
  <si>
    <t>School For Cooperative Technical Education</t>
  </si>
  <si>
    <t>ReStart Academy</t>
  </si>
  <si>
    <t>NYC Dept. of Education LYFE Program</t>
  </si>
  <si>
    <t>EAST RIVER ACADEMY</t>
  </si>
  <si>
    <t>84K356</t>
  </si>
  <si>
    <t>Achievement First Crown Heights Charter School</t>
  </si>
  <si>
    <t>84K358</t>
  </si>
  <si>
    <t>Achievement First East New York Charter School</t>
  </si>
  <si>
    <t>84K417</t>
  </si>
  <si>
    <t>Urban Dove Charter School</t>
  </si>
  <si>
    <t>84K473</t>
  </si>
  <si>
    <t>Williamsburg Charter High School</t>
  </si>
  <si>
    <t>84K486</t>
  </si>
  <si>
    <t>New Dawn Charter High School</t>
  </si>
  <si>
    <t>84K517</t>
  </si>
  <si>
    <t>Leadership Prep Bedford Stuyvesant Uncommon Prep Charter School</t>
  </si>
  <si>
    <t>84K693</t>
  </si>
  <si>
    <t>Northside Charter High School</t>
  </si>
  <si>
    <t>84K733</t>
  </si>
  <si>
    <t>Math, Engineering, and Science Academy Charter High School</t>
  </si>
  <si>
    <t>84K738</t>
  </si>
  <si>
    <t>New Visions Charter High School for Advanced Math and Science III</t>
  </si>
  <si>
    <t>84K739</t>
  </si>
  <si>
    <t>New Visions Charter High School for the Humanities III</t>
  </si>
  <si>
    <t>84K744</t>
  </si>
  <si>
    <t>Coney Island Preparatory Public Charter School</t>
  </si>
  <si>
    <t>84K803</t>
  </si>
  <si>
    <t>Brooklyn LAB Charter School</t>
  </si>
  <si>
    <t>84M336</t>
  </si>
  <si>
    <t>KIPP Infinity Charter School</t>
  </si>
  <si>
    <t>84M353</t>
  </si>
  <si>
    <t>New Heights Academy Charter School</t>
  </si>
  <si>
    <t>84M382</t>
  </si>
  <si>
    <t>DREAM Charter School</t>
  </si>
  <si>
    <t>84M433</t>
  </si>
  <si>
    <t>Renaissance Charter High School for Innovation</t>
  </si>
  <si>
    <t>84M478</t>
  </si>
  <si>
    <t>Inwood Academy for Leadership Charter School</t>
  </si>
  <si>
    <t>84M522</t>
  </si>
  <si>
    <t>Broome Street Academy Charter School</t>
  </si>
  <si>
    <t>84M726</t>
  </si>
  <si>
    <t>KIPP STAR College Prep Charter School</t>
  </si>
  <si>
    <t>84Q320</t>
  </si>
  <si>
    <t>New Visions Charter High School for Advanced Math and Science IV</t>
  </si>
  <si>
    <t>84R067</t>
  </si>
  <si>
    <t>John W. Lavelle Preparatory Charter School</t>
  </si>
  <si>
    <t>84X185</t>
  </si>
  <si>
    <t>Pharos Academy Charter School</t>
  </si>
  <si>
    <t>84X200</t>
  </si>
  <si>
    <t>New Visions A.I.M. Charter High School II</t>
  </si>
  <si>
    <t>84X202</t>
  </si>
  <si>
    <t>New Visions Charter High School for Advanced Math and Science II</t>
  </si>
  <si>
    <t>84X208</t>
  </si>
  <si>
    <t>New Visions Charter High School for the Humanities II</t>
  </si>
  <si>
    <t>84X345</t>
  </si>
  <si>
    <t>Hyde Leadership Charter School</t>
  </si>
  <si>
    <t>84X393</t>
  </si>
  <si>
    <t>University Prep Charter High School</t>
  </si>
  <si>
    <t>84X395</t>
  </si>
  <si>
    <t>NYC Charter High School for Architecture, Engineering and Construction Industries (AECI)</t>
  </si>
  <si>
    <t>84X461</t>
  </si>
  <si>
    <t>Metropolitan Lighthouse Charter School</t>
  </si>
  <si>
    <t>84X488</t>
  </si>
  <si>
    <t>The Equality Charter School</t>
  </si>
  <si>
    <t>84X539</t>
  </si>
  <si>
    <t>New Visions Charter High School for Advanced Math and Science</t>
  </si>
  <si>
    <t>84X553</t>
  </si>
  <si>
    <t>New Visions Charter High School for the Humanities</t>
  </si>
  <si>
    <t>84X610</t>
  </si>
  <si>
    <t>Urban Dove Team Charter School II</t>
  </si>
  <si>
    <t>84X703</t>
  </si>
  <si>
    <t>Bronx Preparatory Charter School</t>
  </si>
  <si>
    <t>84X704</t>
  </si>
  <si>
    <t>KIPP Academy Charter School</t>
  </si>
  <si>
    <t>88K988</t>
  </si>
  <si>
    <t>ALC - Fundamentals Academy</t>
  </si>
  <si>
    <t>88M994</t>
  </si>
  <si>
    <t>ALC - Bowling Green</t>
  </si>
  <si>
    <t>88Q988</t>
  </si>
  <si>
    <t>ALC - R F WAGNER HS</t>
  </si>
  <si>
    <t>88R971</t>
  </si>
  <si>
    <t>ALC- ST. Marks Place</t>
  </si>
  <si>
    <t>2024-25 Demographic Data by School</t>
  </si>
  <si>
    <t>IEP-Recommended Portion of School Day in GE Setting</t>
  </si>
  <si>
    <t>Year</t>
  </si>
  <si>
    <t>Total Enrollment</t>
  </si>
  <si>
    <t>% Female</t>
  </si>
  <si>
    <t>% Male</t>
  </si>
  <si>
    <t>% Neither Male nor Female</t>
  </si>
  <si>
    <t>% Asian</t>
  </si>
  <si>
    <t>% Black</t>
  </si>
  <si>
    <t>% Hispanic</t>
  </si>
  <si>
    <t>% Multiracial</t>
  </si>
  <si>
    <t>% Native American</t>
  </si>
  <si>
    <t>% White</t>
  </si>
  <si>
    <t>% Missing Race/Ethnicity</t>
  </si>
  <si>
    <t>% Students with Disabilities</t>
  </si>
  <si>
    <t>% English Language Learners</t>
  </si>
  <si>
    <t>% Poverty</t>
  </si>
  <si>
    <t>0-39%</t>
  </si>
  <si>
    <t>40-79%</t>
  </si>
  <si>
    <t>80% or greater</t>
  </si>
  <si>
    <t>2024-25</t>
  </si>
  <si>
    <t>03M076</t>
  </si>
  <si>
    <t>09X328</t>
  </si>
  <si>
    <t>11X287</t>
  </si>
  <si>
    <t>16K025</t>
  </si>
  <si>
    <t>The Queens School for Leadership and Excellence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</si>
</sst>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DDEBF7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  <xf numFmtId="9" fontId="1" fillId="0" borderId="0" applyFont="0" applyFill="0" applyBorder="0" applyAlignment="0" applyProtection="0"/>
    <xf numFmtId="0" fontId="22" fillId="0" borderId="0"/>
  </cellStyleXfs>
  <cellXfs count="34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6" fillId="36" borderId="10" xfId="0" applyFont="1" applyFill="1" applyBorder="1" applyAlignment="1">
      <alignment horizontal="center" vertical="center" wrapText="1"/>
    </xf>
    <xf numFmtId="0" fontId="16" fillId="37" borderId="10" xfId="0" applyFont="1" applyFill="1" applyBorder="1" applyAlignment="1">
      <alignment horizontal="center" vertical="center" wrapText="1"/>
    </xf>
    <xf numFmtId="0" fontId="16" fillId="38" borderId="10" xfId="0" applyFont="1" applyFill="1" applyBorder="1"/>
    <xf numFmtId="1" fontId="0" fillId="0" borderId="0" xfId="0" applyNumberFormat="1"/>
    <xf numFmtId="0" fontId="0" fillId="0" borderId="10" xfId="0" applyBorder="1"/>
    <xf numFmtId="1" fontId="0" fillId="0" borderId="10" xfId="0" applyNumberFormat="1" applyBorder="1"/>
    <xf numFmtId="164" fontId="0" fillId="0" borderId="10" xfId="0" applyNumberFormat="1" applyBorder="1"/>
    <xf numFmtId="1" fontId="16" fillId="38" borderId="10" xfId="0" applyNumberFormat="1" applyFont="1" applyFill="1" applyBorder="1"/>
    <xf numFmtId="0" fontId="20" fillId="36" borderId="11" xfId="0" applyFont="1" applyFill="1" applyBorder="1" applyAlignment="1">
      <alignment horizontal="center"/>
    </xf>
    <xf numFmtId="0" fontId="20" fillId="36" borderId="12" xfId="0" applyFont="1" applyFill="1" applyBorder="1" applyAlignment="1">
      <alignment horizontal="center"/>
    </xf>
    <xf numFmtId="0" fontId="21" fillId="0" borderId="13" xfId="0" applyFont="1" applyBorder="1"/>
    <xf numFmtId="0" fontId="21" fillId="0" borderId="10" xfId="0" applyFont="1" applyBorder="1"/>
    <xf numFmtId="0" fontId="20" fillId="36" borderId="14" xfId="42" applyFont="1" applyFill="1" applyBorder="1" applyAlignment="1">
      <alignment horizontal="center"/>
    </xf>
    <xf numFmtId="3" fontId="23" fillId="38" borderId="10" xfId="0" applyNumberFormat="1" applyFont="1" applyFill="1" applyBorder="1"/>
    <xf numFmtId="3" fontId="23" fillId="38" borderId="10" xfId="0" applyNumberFormat="1" applyFont="1" applyFill="1" applyBorder="1" applyAlignment="1">
      <alignment horizontal="center"/>
    </xf>
    <xf numFmtId="0" fontId="25" fillId="40" borderId="10" xfId="44" applyFont="1" applyFill="1" applyBorder="1" applyAlignment="1">
      <alignment horizontal="center" vertical="center" wrapText="1"/>
    </xf>
    <xf numFmtId="165" fontId="16" fillId="40" borderId="10" xfId="43" applyNumberFormat="1" applyFont="1" applyFill="1" applyBorder="1" applyAlignment="1">
      <alignment horizontal="center" vertical="center" wrapText="1"/>
    </xf>
    <xf numFmtId="10" fontId="25" fillId="41" borderId="10" xfId="43" applyNumberFormat="1" applyFont="1" applyFill="1" applyBorder="1" applyAlignment="1">
      <alignment horizontal="center" vertical="center" wrapText="1"/>
    </xf>
    <xf numFmtId="10" fontId="25" fillId="42" borderId="10" xfId="43" applyNumberFormat="1" applyFont="1" applyFill="1" applyBorder="1" applyAlignment="1">
      <alignment horizontal="center" vertical="center" wrapText="1"/>
    </xf>
    <xf numFmtId="165" fontId="0" fillId="0" borderId="10" xfId="43" applyNumberFormat="1" applyFont="1" applyBorder="1"/>
    <xf numFmtId="165" fontId="0" fillId="0" borderId="10" xfId="43" quotePrefix="1" applyNumberFormat="1" applyFont="1" applyBorder="1"/>
    <xf numFmtId="165" fontId="0" fillId="0" borderId="10" xfId="0" applyNumberFormat="1" applyBorder="1"/>
    <xf numFmtId="164" fontId="0" fillId="0" borderId="0" xfId="0" applyNumberFormat="1"/>
    <xf numFmtId="0" fontId="20" fillId="38" borderId="10" xfId="0" applyFont="1" applyFill="1" applyBorder="1" applyAlignment="1">
      <alignment horizontal="center"/>
    </xf>
    <xf numFmtId="0" fontId="24" fillId="39" borderId="15" xfId="44" applyFont="1" applyFill="1" applyBorder="1" applyAlignment="1">
      <alignment horizontal="center" vertical="center" wrapText="1"/>
    </xf>
    <xf numFmtId="0" fontId="24" fillId="39" borderId="16" xfId="44" applyFont="1" applyFill="1" applyBorder="1" applyAlignment="1">
      <alignment horizontal="center" vertical="center" wrapText="1"/>
    </xf>
    <xf numFmtId="0" fontId="24" fillId="39" borderId="17" xfId="44" applyFont="1" applyFill="1" applyBorder="1" applyAlignment="1">
      <alignment horizontal="center" vertical="center" wrapText="1"/>
    </xf>
    <xf numFmtId="165" fontId="16" fillId="39" borderId="15" xfId="43" applyNumberFormat="1" applyFont="1" applyFill="1" applyBorder="1" applyAlignment="1">
      <alignment horizontal="center" vertical="center" wrapText="1"/>
    </xf>
    <xf numFmtId="165" fontId="16" fillId="39" borderId="16" xfId="43" applyNumberFormat="1" applyFont="1" applyFill="1" applyBorder="1" applyAlignment="1">
      <alignment horizontal="center" vertical="center" wrapText="1"/>
    </xf>
    <xf numFmtId="165" fontId="16" fillId="39" borderId="17" xfId="43" applyNumberFormat="1" applyFont="1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8CF7193-D9CC-40ED-859F-B467B6999667}"/>
    <cellStyle name="Normal 3 2" xfId="44" xr:uid="{DF12086F-F1DD-4FB4-9A62-01A7CA61D455}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ENTRAL.NYCED.ORG\DoE$\Assessment%20&amp;%20Accountability\RPSG\REPORTING%20-%20OTHER\Guidance%20Counselor%20Reporting\2025-26%20GC%20Report\Data\SEO\School%20Psychologist%20Mandated%20Services_clean.xlsx" TargetMode="External"/><Relationship Id="rId1" Type="http://schemas.openxmlformats.org/officeDocument/2006/relationships/externalLinkPath" Target="file:///\\CENTRAL.NYCED.ORG\DoE$\Assessment%20&amp;%20Accountability\RPSG\REPORTING%20-%20OTHER\Guidance%20Counselor%20Reporting\2025-26%20GC%20Report\Data\SEO\School%20Psychologist%20Mandated%20Services_cl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dbn (pasted as values)</v>
          </cell>
          <cell r="B1" t="str">
            <v>bn</v>
          </cell>
        </row>
        <row r="2">
          <cell r="A2" t="str">
            <v>75M169</v>
          </cell>
          <cell r="B2" t="str">
            <v>M169</v>
          </cell>
        </row>
        <row r="3">
          <cell r="A3" t="str">
            <v>75K370</v>
          </cell>
          <cell r="B3" t="str">
            <v>K370</v>
          </cell>
        </row>
        <row r="4">
          <cell r="A4" t="str">
            <v>75K231</v>
          </cell>
          <cell r="B4" t="str">
            <v>K231</v>
          </cell>
        </row>
        <row r="5">
          <cell r="A5" t="str">
            <v>75Q233</v>
          </cell>
          <cell r="B5" t="str">
            <v>Q233</v>
          </cell>
        </row>
        <row r="6">
          <cell r="A6" t="str">
            <v>75Q004</v>
          </cell>
          <cell r="B6" t="str">
            <v>Q004</v>
          </cell>
        </row>
        <row r="7">
          <cell r="A7" t="str">
            <v>75K368</v>
          </cell>
          <cell r="B7" t="str">
            <v>K368</v>
          </cell>
        </row>
        <row r="8">
          <cell r="A8" t="str">
            <v>75K373</v>
          </cell>
          <cell r="B8" t="str">
            <v>K373</v>
          </cell>
        </row>
        <row r="9">
          <cell r="A9" t="str">
            <v>75K140</v>
          </cell>
          <cell r="B9" t="str">
            <v>K140</v>
          </cell>
        </row>
        <row r="10">
          <cell r="A10" t="str">
            <v>75X012</v>
          </cell>
          <cell r="B10" t="str">
            <v>X012</v>
          </cell>
        </row>
        <row r="11">
          <cell r="A11" t="str">
            <v>75Q752</v>
          </cell>
          <cell r="B11" t="str">
            <v>Q752</v>
          </cell>
        </row>
        <row r="12">
          <cell r="A12" t="str">
            <v>75K036</v>
          </cell>
          <cell r="B12" t="str">
            <v>K036</v>
          </cell>
        </row>
        <row r="13">
          <cell r="A13" t="str">
            <v>75X010</v>
          </cell>
          <cell r="B13" t="str">
            <v>X010</v>
          </cell>
        </row>
        <row r="14">
          <cell r="A14" t="str">
            <v>75M811</v>
          </cell>
          <cell r="B14" t="str">
            <v>M811</v>
          </cell>
        </row>
        <row r="15">
          <cell r="A15" t="str">
            <v>75X176</v>
          </cell>
          <cell r="B15" t="str">
            <v>X176</v>
          </cell>
        </row>
        <row r="16">
          <cell r="A16" t="str">
            <v>75X168</v>
          </cell>
          <cell r="B16" t="str">
            <v>X168</v>
          </cell>
        </row>
        <row r="17">
          <cell r="A17" t="str">
            <v>75Q277</v>
          </cell>
          <cell r="B17" t="str">
            <v>Q277</v>
          </cell>
        </row>
        <row r="18">
          <cell r="A18" t="str">
            <v>75K373</v>
          </cell>
          <cell r="B18" t="str">
            <v>K373</v>
          </cell>
        </row>
        <row r="19">
          <cell r="A19" t="str">
            <v>75K771</v>
          </cell>
          <cell r="B19" t="str">
            <v>K771</v>
          </cell>
        </row>
        <row r="20">
          <cell r="A20" t="str">
            <v>75M138</v>
          </cell>
          <cell r="B20" t="str">
            <v>M138</v>
          </cell>
        </row>
        <row r="21">
          <cell r="A21" t="str">
            <v>75Q277</v>
          </cell>
          <cell r="B21" t="str">
            <v>Q277</v>
          </cell>
        </row>
        <row r="22">
          <cell r="A22" t="str">
            <v>75X017</v>
          </cell>
          <cell r="B22" t="str">
            <v>X017</v>
          </cell>
        </row>
        <row r="23">
          <cell r="A23" t="str">
            <v>75X168</v>
          </cell>
          <cell r="B23" t="str">
            <v>X168</v>
          </cell>
        </row>
        <row r="24">
          <cell r="A24" t="str">
            <v>75X469</v>
          </cell>
          <cell r="B24" t="str">
            <v>X469</v>
          </cell>
        </row>
        <row r="25">
          <cell r="A25" t="str">
            <v>75X188</v>
          </cell>
          <cell r="B25" t="str">
            <v>X188</v>
          </cell>
        </row>
        <row r="26">
          <cell r="A26" t="str">
            <v>75X754</v>
          </cell>
          <cell r="B26" t="str">
            <v>X754</v>
          </cell>
        </row>
        <row r="27">
          <cell r="A27" t="str">
            <v>75X176</v>
          </cell>
          <cell r="B27" t="str">
            <v>X176</v>
          </cell>
        </row>
        <row r="28">
          <cell r="A28" t="str">
            <v>75K369</v>
          </cell>
          <cell r="B28" t="str">
            <v>K369</v>
          </cell>
        </row>
        <row r="29">
          <cell r="A29" t="str">
            <v>75X168</v>
          </cell>
          <cell r="B29" t="str">
            <v>X168</v>
          </cell>
        </row>
        <row r="30">
          <cell r="A30" t="str">
            <v>75M138</v>
          </cell>
          <cell r="B30" t="str">
            <v>M138</v>
          </cell>
        </row>
        <row r="31">
          <cell r="A31" t="str">
            <v>75X186</v>
          </cell>
          <cell r="B31" t="str">
            <v>X186</v>
          </cell>
        </row>
        <row r="32">
          <cell r="A32" t="str">
            <v>75R025</v>
          </cell>
          <cell r="B32" t="str">
            <v>R025</v>
          </cell>
        </row>
        <row r="33">
          <cell r="A33" t="str">
            <v>75K811</v>
          </cell>
          <cell r="B33" t="str">
            <v>K811</v>
          </cell>
        </row>
        <row r="34">
          <cell r="A34" t="str">
            <v>75Q224</v>
          </cell>
          <cell r="B34" t="str">
            <v>Q224</v>
          </cell>
        </row>
        <row r="35">
          <cell r="A35" t="str">
            <v>75M094</v>
          </cell>
          <cell r="B35" t="str">
            <v>M094</v>
          </cell>
        </row>
        <row r="36">
          <cell r="A36" t="str">
            <v>75X596</v>
          </cell>
          <cell r="B36" t="str">
            <v>X596</v>
          </cell>
        </row>
        <row r="37">
          <cell r="A37" t="str">
            <v>75X176</v>
          </cell>
          <cell r="B37" t="str">
            <v>X176</v>
          </cell>
        </row>
        <row r="38">
          <cell r="A38" t="str">
            <v>75Q721</v>
          </cell>
          <cell r="B38" t="str">
            <v>Q721</v>
          </cell>
        </row>
        <row r="39">
          <cell r="A39" t="str">
            <v>75X186</v>
          </cell>
          <cell r="B39" t="str">
            <v>X186</v>
          </cell>
        </row>
        <row r="40">
          <cell r="A40" t="str">
            <v>75X012</v>
          </cell>
          <cell r="B40" t="str">
            <v>X012</v>
          </cell>
        </row>
        <row r="41">
          <cell r="A41" t="str">
            <v>75K140</v>
          </cell>
          <cell r="B41" t="str">
            <v>K140</v>
          </cell>
        </row>
        <row r="42">
          <cell r="A42" t="str">
            <v>75R037</v>
          </cell>
          <cell r="B42" t="str">
            <v>R037</v>
          </cell>
        </row>
        <row r="43">
          <cell r="A43" t="str">
            <v>75X352</v>
          </cell>
          <cell r="B43" t="str">
            <v>X352</v>
          </cell>
        </row>
        <row r="44">
          <cell r="A44" t="str">
            <v>75K077</v>
          </cell>
          <cell r="B44" t="str">
            <v>K077</v>
          </cell>
        </row>
        <row r="45">
          <cell r="A45" t="str">
            <v>75Q075</v>
          </cell>
          <cell r="B45" t="str">
            <v>Q075</v>
          </cell>
        </row>
        <row r="46">
          <cell r="A46" t="str">
            <v>75K036</v>
          </cell>
          <cell r="B46" t="str">
            <v>K036</v>
          </cell>
        </row>
        <row r="47">
          <cell r="A47" t="str">
            <v>75X017</v>
          </cell>
          <cell r="B47" t="str">
            <v>X017</v>
          </cell>
        </row>
        <row r="48">
          <cell r="A48" t="str">
            <v>75K753</v>
          </cell>
          <cell r="B48" t="str">
            <v>K753</v>
          </cell>
        </row>
        <row r="49">
          <cell r="A49" t="str">
            <v>75M721</v>
          </cell>
          <cell r="B49" t="str">
            <v>M721</v>
          </cell>
        </row>
        <row r="50">
          <cell r="A50" t="str">
            <v>75X176</v>
          </cell>
          <cell r="B50" t="str">
            <v>X176</v>
          </cell>
        </row>
        <row r="51">
          <cell r="A51" t="str">
            <v>75X596</v>
          </cell>
          <cell r="B51" t="str">
            <v>X596</v>
          </cell>
        </row>
        <row r="52">
          <cell r="A52" t="str">
            <v>75Q721</v>
          </cell>
          <cell r="B52" t="str">
            <v>Q721</v>
          </cell>
        </row>
        <row r="53">
          <cell r="A53" t="str">
            <v>75K811</v>
          </cell>
          <cell r="B53" t="str">
            <v>K811</v>
          </cell>
        </row>
        <row r="54">
          <cell r="A54" t="str">
            <v>75Q177</v>
          </cell>
          <cell r="B54" t="str">
            <v>Q177</v>
          </cell>
        </row>
        <row r="55">
          <cell r="A55" t="str">
            <v>75M094</v>
          </cell>
          <cell r="B55" t="str">
            <v>M094</v>
          </cell>
        </row>
        <row r="56">
          <cell r="A56" t="str">
            <v>75Q752</v>
          </cell>
          <cell r="B56" t="str">
            <v>Q752</v>
          </cell>
        </row>
        <row r="57">
          <cell r="A57" t="str">
            <v>75Q721</v>
          </cell>
          <cell r="B57" t="str">
            <v>Q721</v>
          </cell>
        </row>
        <row r="58">
          <cell r="A58" t="str">
            <v>75M094</v>
          </cell>
          <cell r="B58" t="str">
            <v>M094</v>
          </cell>
        </row>
        <row r="59">
          <cell r="A59" t="str">
            <v>75Q009</v>
          </cell>
          <cell r="B59" t="str">
            <v>Q009</v>
          </cell>
        </row>
        <row r="60">
          <cell r="A60" t="str">
            <v>75X352</v>
          </cell>
          <cell r="B60" t="str">
            <v>X352</v>
          </cell>
        </row>
        <row r="61">
          <cell r="A61" t="str">
            <v>75M721</v>
          </cell>
          <cell r="B61" t="str">
            <v>M721</v>
          </cell>
        </row>
        <row r="62">
          <cell r="A62" t="str">
            <v>75X186</v>
          </cell>
          <cell r="B62" t="str">
            <v>X186</v>
          </cell>
        </row>
        <row r="63">
          <cell r="A63" t="str">
            <v>75X176</v>
          </cell>
          <cell r="B63" t="str">
            <v>X176</v>
          </cell>
        </row>
        <row r="64">
          <cell r="A64" t="str">
            <v>75K372</v>
          </cell>
          <cell r="B64" t="str">
            <v>K372</v>
          </cell>
        </row>
        <row r="65">
          <cell r="A65" t="str">
            <v>75Q255</v>
          </cell>
          <cell r="B65" t="str">
            <v>Q255</v>
          </cell>
        </row>
        <row r="66">
          <cell r="A66" t="str">
            <v>75X723</v>
          </cell>
          <cell r="B66" t="str">
            <v>X723</v>
          </cell>
        </row>
        <row r="67">
          <cell r="A67" t="str">
            <v>75K371</v>
          </cell>
          <cell r="B67" t="str">
            <v>K371</v>
          </cell>
        </row>
        <row r="68">
          <cell r="A68" t="str">
            <v>75Q277</v>
          </cell>
          <cell r="B68" t="str">
            <v>Q277</v>
          </cell>
        </row>
        <row r="69">
          <cell r="A69" t="str">
            <v>75M721</v>
          </cell>
          <cell r="B69" t="str">
            <v>M721</v>
          </cell>
        </row>
        <row r="70">
          <cell r="A70" t="str">
            <v>75R025</v>
          </cell>
          <cell r="B70" t="str">
            <v>R025</v>
          </cell>
        </row>
        <row r="71">
          <cell r="A71" t="str">
            <v>75X811</v>
          </cell>
          <cell r="B71" t="str">
            <v>X811</v>
          </cell>
        </row>
        <row r="72">
          <cell r="A72" t="str">
            <v>75K369</v>
          </cell>
          <cell r="B72" t="str">
            <v>K369</v>
          </cell>
        </row>
        <row r="73">
          <cell r="A73" t="str">
            <v>75R025</v>
          </cell>
          <cell r="B73" t="str">
            <v>R025</v>
          </cell>
        </row>
        <row r="74">
          <cell r="A74" t="str">
            <v>75Q811</v>
          </cell>
          <cell r="B74" t="str">
            <v>Q811</v>
          </cell>
        </row>
        <row r="75">
          <cell r="A75" t="str">
            <v>75K077</v>
          </cell>
          <cell r="B75" t="str">
            <v>K077</v>
          </cell>
        </row>
        <row r="76">
          <cell r="A76" t="str">
            <v>75M094</v>
          </cell>
          <cell r="B76" t="str">
            <v>M094</v>
          </cell>
        </row>
        <row r="77">
          <cell r="A77" t="str">
            <v>75R025</v>
          </cell>
          <cell r="B77" t="str">
            <v>R025</v>
          </cell>
        </row>
        <row r="78">
          <cell r="A78" t="str">
            <v>75Q277</v>
          </cell>
          <cell r="B78" t="str">
            <v>Q277</v>
          </cell>
        </row>
        <row r="79">
          <cell r="A79" t="str">
            <v>75R025</v>
          </cell>
          <cell r="B79" t="str">
            <v>R025</v>
          </cell>
        </row>
        <row r="80">
          <cell r="A80" t="str">
            <v>75K368</v>
          </cell>
          <cell r="B80" t="str">
            <v>K368</v>
          </cell>
        </row>
        <row r="81">
          <cell r="A81" t="str">
            <v>75M079</v>
          </cell>
          <cell r="B81" t="str">
            <v>M079</v>
          </cell>
        </row>
        <row r="82">
          <cell r="A82" t="str">
            <v>75K372</v>
          </cell>
          <cell r="B82" t="str">
            <v>K372</v>
          </cell>
        </row>
        <row r="83">
          <cell r="A83" t="str">
            <v>75K036</v>
          </cell>
          <cell r="B83" t="str">
            <v>K036</v>
          </cell>
        </row>
        <row r="84">
          <cell r="A84" t="str">
            <v>75K053</v>
          </cell>
          <cell r="B84" t="str">
            <v>K053</v>
          </cell>
        </row>
        <row r="85">
          <cell r="A85" t="str">
            <v>75K140</v>
          </cell>
          <cell r="B85" t="str">
            <v>K140</v>
          </cell>
        </row>
        <row r="86">
          <cell r="A86" t="str">
            <v>75X811</v>
          </cell>
          <cell r="B86" t="str">
            <v>X811</v>
          </cell>
        </row>
        <row r="87">
          <cell r="A87" t="str">
            <v>75Q177</v>
          </cell>
          <cell r="B87" t="str">
            <v>Q177</v>
          </cell>
        </row>
        <row r="88">
          <cell r="A88" t="str">
            <v>75Q224</v>
          </cell>
          <cell r="B88" t="str">
            <v>Q224</v>
          </cell>
        </row>
        <row r="89">
          <cell r="A89" t="str">
            <v>75Q177</v>
          </cell>
          <cell r="B89" t="str">
            <v>Q177</v>
          </cell>
        </row>
        <row r="90">
          <cell r="A90" t="str">
            <v>75Q993</v>
          </cell>
          <cell r="B90" t="str">
            <v>Q993</v>
          </cell>
        </row>
        <row r="91">
          <cell r="A91" t="str">
            <v>75M138</v>
          </cell>
          <cell r="B91" t="str">
            <v>M138</v>
          </cell>
        </row>
        <row r="92">
          <cell r="A92" t="str">
            <v>75M138</v>
          </cell>
          <cell r="B92" t="str">
            <v>M138</v>
          </cell>
        </row>
        <row r="93">
          <cell r="A93" t="str">
            <v>75Q075</v>
          </cell>
          <cell r="B93" t="str">
            <v>Q075</v>
          </cell>
        </row>
        <row r="94">
          <cell r="A94" t="str">
            <v>75K371</v>
          </cell>
          <cell r="B94" t="str">
            <v>K371</v>
          </cell>
        </row>
        <row r="95">
          <cell r="A95" t="str">
            <v>75Q752</v>
          </cell>
          <cell r="B95" t="str">
            <v>Q752</v>
          </cell>
        </row>
        <row r="96">
          <cell r="A96" t="str">
            <v>75Q752</v>
          </cell>
          <cell r="B96" t="str">
            <v>Q752</v>
          </cell>
        </row>
        <row r="97">
          <cell r="A97" t="str">
            <v>75X017</v>
          </cell>
          <cell r="B97" t="str">
            <v>X017</v>
          </cell>
        </row>
        <row r="98">
          <cell r="A98" t="str">
            <v>75K140</v>
          </cell>
          <cell r="B98" t="str">
            <v>K140</v>
          </cell>
        </row>
        <row r="99">
          <cell r="A99" t="str">
            <v>75M169</v>
          </cell>
          <cell r="B99" t="str">
            <v>M169</v>
          </cell>
        </row>
        <row r="100">
          <cell r="A100" t="str">
            <v>75X017</v>
          </cell>
          <cell r="B100" t="str">
            <v>X017</v>
          </cell>
        </row>
        <row r="101">
          <cell r="A101" t="str">
            <v>75K036</v>
          </cell>
          <cell r="B101" t="str">
            <v>K036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n Quintanilla" id="{43BA84A0-4F15-41B5-B43A-74DEBC0825AB}" userId="S::JQuintanilla5@schools.nyc.gov::05705bf0-0368-4e50-b2d7-63353f789d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1" dT="2025-01-27T15:45:56.09" personId="{43BA84A0-4F15-41B5-B43A-74DEBC0825AB}" id="{FB5EFCB4-2869-4100-9BFC-EE92D1EDF394}">
    <text>Previously 03M505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E360-BFBE-4A0F-8B6D-50624CDA226F}">
  <dimension ref="A1:AB1616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5" x14ac:dyDescent="0.25"/>
  <cols>
    <col min="2" max="2" width="42.85546875" customWidth="1"/>
    <col min="3" max="3" width="30" customWidth="1"/>
    <col min="4" max="4" width="25.7109375" customWidth="1"/>
    <col min="5" max="5" width="9.5703125" customWidth="1"/>
    <col min="6" max="8" width="10.42578125" bestFit="1" customWidth="1"/>
    <col min="9" max="10" width="8.85546875" bestFit="1" customWidth="1"/>
    <col min="11" max="12" width="9.42578125" bestFit="1" customWidth="1"/>
    <col min="13" max="13" width="8.85546875" bestFit="1" customWidth="1"/>
    <col min="14" max="14" width="9.42578125" bestFit="1" customWidth="1"/>
    <col min="18" max="18" width="11.140625" customWidth="1"/>
    <col min="19" max="19" width="11" customWidth="1"/>
    <col min="21" max="21" width="16.7109375" customWidth="1"/>
    <col min="22" max="22" width="12" customWidth="1"/>
    <col min="23" max="23" width="14" customWidth="1"/>
    <col min="24" max="24" width="22.42578125" customWidth="1"/>
    <col min="25" max="25" width="11.5703125" customWidth="1"/>
    <col min="26" max="26" width="9.28515625" bestFit="1" customWidth="1"/>
    <col min="27" max="28" width="9.7109375" bestFit="1" customWidth="1"/>
  </cols>
  <sheetData>
    <row r="1" spans="1:28" ht="156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spans="1:28" x14ac:dyDescent="0.25">
      <c r="A2" s="8" t="s">
        <v>28</v>
      </c>
      <c r="B2" s="8" t="s">
        <v>29</v>
      </c>
      <c r="C2" s="8" t="s">
        <v>30</v>
      </c>
      <c r="D2" s="10">
        <v>1.2</v>
      </c>
      <c r="E2" s="10">
        <v>0</v>
      </c>
      <c r="F2" s="10">
        <v>1.2</v>
      </c>
      <c r="G2" s="10">
        <v>0</v>
      </c>
      <c r="H2" s="10">
        <v>1.2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0.2</v>
      </c>
      <c r="O2" s="8" t="s">
        <v>31</v>
      </c>
      <c r="P2" s="8" t="s">
        <v>31</v>
      </c>
      <c r="Q2" s="8" t="s">
        <v>31</v>
      </c>
      <c r="R2" s="8" t="s">
        <v>31</v>
      </c>
      <c r="S2" s="8" t="s">
        <v>31</v>
      </c>
      <c r="T2" s="8" t="s">
        <v>31</v>
      </c>
      <c r="U2" s="8" t="s">
        <v>31</v>
      </c>
      <c r="V2" s="8" t="s">
        <v>31</v>
      </c>
      <c r="W2" s="8" t="str">
        <f>_xlfn.IFNA(VLOOKUP(A2,[1]Sheet1!$A$1:$B$101,1,FALSE),"na")</f>
        <v>na</v>
      </c>
      <c r="X2" s="8" t="s">
        <v>32</v>
      </c>
      <c r="Y2" s="9">
        <v>159</v>
      </c>
      <c r="Z2" s="9">
        <v>132.5</v>
      </c>
      <c r="AA2" s="9">
        <v>159</v>
      </c>
      <c r="AB2" s="9">
        <v>132.5</v>
      </c>
    </row>
    <row r="3" spans="1:28" x14ac:dyDescent="0.25">
      <c r="A3" s="8" t="s">
        <v>33</v>
      </c>
      <c r="B3" s="8" t="s">
        <v>34</v>
      </c>
      <c r="C3" s="8" t="s">
        <v>30</v>
      </c>
      <c r="D3" s="10">
        <v>2.4000001000000002</v>
      </c>
      <c r="E3" s="10">
        <v>1</v>
      </c>
      <c r="F3" s="10">
        <v>1.4</v>
      </c>
      <c r="G3" s="10">
        <v>1</v>
      </c>
      <c r="H3" s="10">
        <v>1.4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0.40000001000000002</v>
      </c>
      <c r="O3" s="8" t="s">
        <v>31</v>
      </c>
      <c r="P3" s="8" t="s">
        <v>31</v>
      </c>
      <c r="Q3" s="8" t="s">
        <v>31</v>
      </c>
      <c r="R3" s="8" t="s">
        <v>31</v>
      </c>
      <c r="S3" s="8" t="s">
        <v>31</v>
      </c>
      <c r="T3" s="8" t="s">
        <v>31</v>
      </c>
      <c r="U3" s="8" t="s">
        <v>31</v>
      </c>
      <c r="V3" s="8" t="s">
        <v>31</v>
      </c>
      <c r="W3" s="8" t="str">
        <f>_xlfn.IFNA(VLOOKUP(A3,[1]Sheet1!$A$1:$B$101,1,FALSE),"na")</f>
        <v>na</v>
      </c>
      <c r="X3" s="8" t="s">
        <v>35</v>
      </c>
      <c r="Y3" s="9">
        <v>321</v>
      </c>
      <c r="Z3" s="9">
        <v>133.75</v>
      </c>
      <c r="AA3" s="9">
        <v>321</v>
      </c>
      <c r="AB3" s="9">
        <v>229.28572</v>
      </c>
    </row>
    <row r="4" spans="1:28" x14ac:dyDescent="0.25">
      <c r="A4" s="8" t="s">
        <v>36</v>
      </c>
      <c r="B4" s="8" t="s">
        <v>37</v>
      </c>
      <c r="C4" s="8" t="s">
        <v>38</v>
      </c>
      <c r="D4" s="10">
        <v>2.4000001000000002</v>
      </c>
      <c r="E4" s="10">
        <v>2</v>
      </c>
      <c r="F4" s="10">
        <v>0.40000001000000002</v>
      </c>
      <c r="G4" s="10">
        <v>2</v>
      </c>
      <c r="H4" s="10">
        <v>0.40000001000000002</v>
      </c>
      <c r="I4" s="10">
        <v>0</v>
      </c>
      <c r="J4" s="10">
        <v>0</v>
      </c>
      <c r="K4" s="10">
        <v>0</v>
      </c>
      <c r="L4" s="10">
        <v>0.40000001000000002</v>
      </c>
      <c r="M4" s="10">
        <v>0</v>
      </c>
      <c r="N4" s="10">
        <v>0.40000001000000002</v>
      </c>
      <c r="O4" s="8" t="s">
        <v>31</v>
      </c>
      <c r="P4" s="8" t="s">
        <v>31</v>
      </c>
      <c r="Q4" s="8" t="s">
        <v>31</v>
      </c>
      <c r="R4" s="8" t="s">
        <v>31</v>
      </c>
      <c r="S4" s="8" t="s">
        <v>31</v>
      </c>
      <c r="T4" s="8" t="s">
        <v>31</v>
      </c>
      <c r="U4" s="8" t="s">
        <v>31</v>
      </c>
      <c r="V4" s="8" t="s">
        <v>31</v>
      </c>
      <c r="W4" s="8" t="str">
        <f>_xlfn.IFNA(VLOOKUP(A4,[1]Sheet1!$A$1:$B$101,1,FALSE),"na")</f>
        <v>na</v>
      </c>
      <c r="X4" s="8" t="s">
        <v>39</v>
      </c>
      <c r="Y4" s="9">
        <v>192</v>
      </c>
      <c r="Z4" s="9">
        <v>80</v>
      </c>
      <c r="AA4" s="9">
        <v>96</v>
      </c>
      <c r="AB4" s="9">
        <v>192</v>
      </c>
    </row>
    <row r="5" spans="1:28" x14ac:dyDescent="0.25">
      <c r="A5" s="8" t="s">
        <v>40</v>
      </c>
      <c r="B5" s="8" t="s">
        <v>41</v>
      </c>
      <c r="C5" s="8" t="s">
        <v>30</v>
      </c>
      <c r="D5" s="10">
        <v>1.3</v>
      </c>
      <c r="E5" s="10">
        <v>1</v>
      </c>
      <c r="F5" s="10">
        <v>0.30000000999999998</v>
      </c>
      <c r="G5" s="10">
        <v>1</v>
      </c>
      <c r="H5" s="10">
        <v>0.30000000999999998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0.30000000999999998</v>
      </c>
      <c r="O5" s="8" t="s">
        <v>31</v>
      </c>
      <c r="P5" s="8" t="s">
        <v>31</v>
      </c>
      <c r="Q5" s="8" t="s">
        <v>31</v>
      </c>
      <c r="R5" s="8" t="s">
        <v>31</v>
      </c>
      <c r="S5" s="8" t="s">
        <v>31</v>
      </c>
      <c r="T5" s="8" t="s">
        <v>31</v>
      </c>
      <c r="U5" s="8" t="s">
        <v>31</v>
      </c>
      <c r="V5" s="8" t="s">
        <v>31</v>
      </c>
      <c r="W5" s="8" t="str">
        <f>_xlfn.IFNA(VLOOKUP(A5,[1]Sheet1!$A$1:$B$101,1,FALSE),"na")</f>
        <v>na</v>
      </c>
      <c r="X5" s="8" t="s">
        <v>35</v>
      </c>
      <c r="Y5" s="9">
        <v>196</v>
      </c>
      <c r="Z5" s="9">
        <v>150.76924</v>
      </c>
      <c r="AA5" s="9">
        <v>196</v>
      </c>
      <c r="AB5" s="9">
        <v>196</v>
      </c>
    </row>
    <row r="6" spans="1:28" x14ac:dyDescent="0.25">
      <c r="A6" s="8" t="s">
        <v>42</v>
      </c>
      <c r="B6" s="8" t="s">
        <v>43</v>
      </c>
      <c r="C6" s="8" t="s">
        <v>30</v>
      </c>
      <c r="D6" s="10">
        <v>1.3333299999999999</v>
      </c>
      <c r="E6" s="10">
        <v>1</v>
      </c>
      <c r="F6" s="10">
        <v>0.33333001000000001</v>
      </c>
      <c r="G6" s="10">
        <v>1</v>
      </c>
      <c r="H6" s="10">
        <v>0.33333001000000001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0.33333001000000001</v>
      </c>
      <c r="O6" s="8" t="s">
        <v>31</v>
      </c>
      <c r="P6" s="8" t="s">
        <v>31</v>
      </c>
      <c r="Q6" s="8" t="s">
        <v>31</v>
      </c>
      <c r="R6" s="8" t="s">
        <v>31</v>
      </c>
      <c r="S6" s="8" t="s">
        <v>31</v>
      </c>
      <c r="T6" s="8" t="s">
        <v>31</v>
      </c>
      <c r="U6" s="8" t="s">
        <v>31</v>
      </c>
      <c r="V6" s="8" t="s">
        <v>31</v>
      </c>
      <c r="W6" s="8" t="str">
        <f>_xlfn.IFNA(VLOOKUP(A6,[1]Sheet1!$A$1:$B$101,1,FALSE),"na")</f>
        <v>na</v>
      </c>
      <c r="X6" s="8" t="s">
        <v>44</v>
      </c>
      <c r="Y6" s="9">
        <v>149</v>
      </c>
      <c r="Z6" s="9">
        <v>111.75027</v>
      </c>
      <c r="AA6" s="9">
        <v>149</v>
      </c>
      <c r="AB6" s="9">
        <v>149</v>
      </c>
    </row>
    <row r="7" spans="1:28" x14ac:dyDescent="0.25">
      <c r="A7" s="8" t="s">
        <v>45</v>
      </c>
      <c r="B7" s="8" t="s">
        <v>46</v>
      </c>
      <c r="C7" s="8" t="s">
        <v>30</v>
      </c>
      <c r="D7" s="10">
        <v>1.4</v>
      </c>
      <c r="E7" s="10">
        <v>1</v>
      </c>
      <c r="F7" s="10">
        <v>0.40000001000000002</v>
      </c>
      <c r="G7" s="10">
        <v>1</v>
      </c>
      <c r="H7" s="10">
        <v>0.40000001000000002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0.40000001000000002</v>
      </c>
      <c r="O7" s="8" t="s">
        <v>31</v>
      </c>
      <c r="P7" s="8" t="s">
        <v>31</v>
      </c>
      <c r="Q7" s="8" t="s">
        <v>31</v>
      </c>
      <c r="R7" s="8" t="s">
        <v>31</v>
      </c>
      <c r="S7" s="8" t="s">
        <v>31</v>
      </c>
      <c r="T7" s="8" t="s">
        <v>31</v>
      </c>
      <c r="U7" s="8" t="s">
        <v>31</v>
      </c>
      <c r="V7" s="8" t="s">
        <v>31</v>
      </c>
      <c r="W7" s="8" t="str">
        <f>_xlfn.IFNA(VLOOKUP(A7,[1]Sheet1!$A$1:$B$101,1,FALSE),"na")</f>
        <v>na</v>
      </c>
      <c r="X7" s="8" t="s">
        <v>35</v>
      </c>
      <c r="Y7" s="9">
        <v>226</v>
      </c>
      <c r="Z7" s="9">
        <v>161.42857000000001</v>
      </c>
      <c r="AA7" s="9">
        <v>226</v>
      </c>
      <c r="AB7" s="9">
        <v>226</v>
      </c>
    </row>
    <row r="8" spans="1:28" x14ac:dyDescent="0.25">
      <c r="A8" s="8" t="s">
        <v>47</v>
      </c>
      <c r="B8" s="8" t="s">
        <v>48</v>
      </c>
      <c r="C8" s="8" t="s">
        <v>30</v>
      </c>
      <c r="D8" s="10">
        <v>1.6</v>
      </c>
      <c r="E8" s="10">
        <v>1</v>
      </c>
      <c r="F8" s="10">
        <v>0.60000001999999997</v>
      </c>
      <c r="G8" s="10">
        <v>1</v>
      </c>
      <c r="H8" s="10">
        <v>0.60000001999999997</v>
      </c>
      <c r="I8" s="10">
        <v>0</v>
      </c>
      <c r="J8" s="10">
        <v>0</v>
      </c>
      <c r="K8" s="10">
        <v>0</v>
      </c>
      <c r="L8" s="10">
        <v>0.60000001999999997</v>
      </c>
      <c r="M8" s="10">
        <v>0</v>
      </c>
      <c r="N8" s="10">
        <v>0.60000001999999997</v>
      </c>
      <c r="O8" s="8" t="s">
        <v>31</v>
      </c>
      <c r="P8" s="8" t="s">
        <v>31</v>
      </c>
      <c r="Q8" s="8" t="s">
        <v>31</v>
      </c>
      <c r="R8" s="8" t="s">
        <v>31</v>
      </c>
      <c r="S8" s="8" t="s">
        <v>31</v>
      </c>
      <c r="T8" s="8" t="s">
        <v>31</v>
      </c>
      <c r="U8" s="8" t="s">
        <v>31</v>
      </c>
      <c r="V8" s="8" t="s">
        <v>31</v>
      </c>
      <c r="W8" s="8" t="str">
        <f>_xlfn.IFNA(VLOOKUP(A8,[1]Sheet1!$A$1:$B$101,1,FALSE),"na")</f>
        <v>na</v>
      </c>
      <c r="X8" s="8" t="s">
        <v>35</v>
      </c>
      <c r="Y8" s="9">
        <v>162</v>
      </c>
      <c r="Z8" s="9">
        <v>101.25</v>
      </c>
      <c r="AA8" s="9">
        <v>162</v>
      </c>
      <c r="AB8" s="9">
        <v>162</v>
      </c>
    </row>
    <row r="9" spans="1:28" x14ac:dyDescent="0.25">
      <c r="A9" s="8" t="s">
        <v>49</v>
      </c>
      <c r="B9" s="8" t="s">
        <v>50</v>
      </c>
      <c r="C9" s="8" t="s">
        <v>38</v>
      </c>
      <c r="D9" s="10">
        <v>2.2000000000000002</v>
      </c>
      <c r="E9" s="10">
        <v>2</v>
      </c>
      <c r="F9" s="10">
        <v>0.2</v>
      </c>
      <c r="G9" s="10">
        <v>2</v>
      </c>
      <c r="H9" s="10">
        <v>0.2</v>
      </c>
      <c r="I9" s="10">
        <v>0</v>
      </c>
      <c r="J9" s="10">
        <v>0</v>
      </c>
      <c r="K9" s="10">
        <v>0</v>
      </c>
      <c r="L9" s="10">
        <v>0.2</v>
      </c>
      <c r="M9" s="10">
        <v>0</v>
      </c>
      <c r="N9" s="10">
        <v>0.2</v>
      </c>
      <c r="O9" s="8" t="s">
        <v>31</v>
      </c>
      <c r="P9" s="8" t="s">
        <v>31</v>
      </c>
      <c r="Q9" s="8" t="s">
        <v>31</v>
      </c>
      <c r="R9" s="8" t="s">
        <v>31</v>
      </c>
      <c r="S9" s="8" t="s">
        <v>31</v>
      </c>
      <c r="T9" s="8" t="s">
        <v>31</v>
      </c>
      <c r="U9" s="8" t="s">
        <v>31</v>
      </c>
      <c r="V9" s="8" t="s">
        <v>31</v>
      </c>
      <c r="W9" s="8" t="str">
        <f>_xlfn.IFNA(VLOOKUP(A9,[1]Sheet1!$A$1:$B$101,1,FALSE),"na")</f>
        <v>na</v>
      </c>
      <c r="X9" s="8" t="s">
        <v>51</v>
      </c>
      <c r="Y9" s="9">
        <v>364</v>
      </c>
      <c r="Z9" s="9">
        <v>165.45454000000001</v>
      </c>
      <c r="AA9" s="9">
        <v>182</v>
      </c>
      <c r="AB9" s="9">
        <v>364</v>
      </c>
    </row>
    <row r="10" spans="1:28" x14ac:dyDescent="0.25">
      <c r="A10" s="8" t="s">
        <v>52</v>
      </c>
      <c r="B10" s="8" t="s">
        <v>53</v>
      </c>
      <c r="C10" s="8" t="s">
        <v>30</v>
      </c>
      <c r="D10" s="10">
        <v>1.4</v>
      </c>
      <c r="E10" s="10">
        <v>0</v>
      </c>
      <c r="F10" s="10">
        <v>1.4</v>
      </c>
      <c r="G10" s="10">
        <v>0</v>
      </c>
      <c r="H10" s="10">
        <v>1.4</v>
      </c>
      <c r="I10" s="10">
        <v>0</v>
      </c>
      <c r="J10" s="10">
        <v>0</v>
      </c>
      <c r="K10" s="10">
        <v>0</v>
      </c>
      <c r="L10" s="10">
        <v>0.40000001000000002</v>
      </c>
      <c r="M10" s="10">
        <v>0</v>
      </c>
      <c r="N10" s="10">
        <v>0.40000001000000002</v>
      </c>
      <c r="O10" s="8" t="s">
        <v>31</v>
      </c>
      <c r="P10" s="8" t="s">
        <v>31</v>
      </c>
      <c r="Q10" s="8" t="s">
        <v>31</v>
      </c>
      <c r="R10" s="8" t="s">
        <v>31</v>
      </c>
      <c r="S10" s="8" t="s">
        <v>31</v>
      </c>
      <c r="T10" s="8" t="s">
        <v>31</v>
      </c>
      <c r="U10" s="8" t="s">
        <v>31</v>
      </c>
      <c r="V10" s="8" t="s">
        <v>31</v>
      </c>
      <c r="W10" s="8" t="str">
        <f>_xlfn.IFNA(VLOOKUP(A10,[1]Sheet1!$A$1:$B$101,1,FALSE),"na")</f>
        <v>na</v>
      </c>
      <c r="X10" s="8" t="s">
        <v>54</v>
      </c>
      <c r="Y10" s="9">
        <v>365</v>
      </c>
      <c r="Z10" s="9">
        <v>260.71429000000001</v>
      </c>
      <c r="AA10" s="9">
        <v>365</v>
      </c>
      <c r="AB10" s="9">
        <v>260.71429000000001</v>
      </c>
    </row>
    <row r="11" spans="1:28" x14ac:dyDescent="0.25">
      <c r="A11" s="8" t="s">
        <v>55</v>
      </c>
      <c r="B11" s="8" t="s">
        <v>56</v>
      </c>
      <c r="C11" s="8" t="s">
        <v>38</v>
      </c>
      <c r="D11" s="10">
        <v>3.5999998999999998</v>
      </c>
      <c r="E11" s="10">
        <v>2</v>
      </c>
      <c r="F11" s="10">
        <v>1.6</v>
      </c>
      <c r="G11" s="10">
        <v>2</v>
      </c>
      <c r="H11" s="10">
        <v>1.6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0.60000001999999997</v>
      </c>
      <c r="O11" s="8" t="s">
        <v>57</v>
      </c>
      <c r="P11" s="8" t="s">
        <v>31</v>
      </c>
      <c r="Q11" s="8" t="s">
        <v>31</v>
      </c>
      <c r="R11" s="8" t="s">
        <v>31</v>
      </c>
      <c r="S11" s="8" t="s">
        <v>31</v>
      </c>
      <c r="T11" s="8" t="s">
        <v>31</v>
      </c>
      <c r="U11" s="8" t="s">
        <v>31</v>
      </c>
      <c r="V11" s="8" t="s">
        <v>31</v>
      </c>
      <c r="W11" s="8" t="str">
        <f>_xlfn.IFNA(VLOOKUP(A11,[1]Sheet1!$A$1:$B$101,1,FALSE),"na")</f>
        <v>na</v>
      </c>
      <c r="X11" s="8" t="s">
        <v>35</v>
      </c>
      <c r="Y11" s="9">
        <v>767</v>
      </c>
      <c r="Z11" s="9">
        <v>213.05556000000001</v>
      </c>
      <c r="AA11" s="9">
        <v>383.5</v>
      </c>
      <c r="AB11" s="9">
        <v>479.375</v>
      </c>
    </row>
    <row r="12" spans="1:28" x14ac:dyDescent="0.25">
      <c r="A12" s="8" t="s">
        <v>58</v>
      </c>
      <c r="B12" s="8" t="s">
        <v>59</v>
      </c>
      <c r="C12" s="8" t="s">
        <v>38</v>
      </c>
      <c r="D12" s="10">
        <v>2.0999998999999998</v>
      </c>
      <c r="E12" s="10">
        <v>2</v>
      </c>
      <c r="F12" s="10">
        <v>0.1</v>
      </c>
      <c r="G12" s="10">
        <v>2</v>
      </c>
      <c r="H12" s="10">
        <v>0.1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0.1</v>
      </c>
      <c r="O12" s="8" t="s">
        <v>31</v>
      </c>
      <c r="P12" s="8" t="s">
        <v>31</v>
      </c>
      <c r="Q12" s="8" t="s">
        <v>31</v>
      </c>
      <c r="R12" s="8" t="s">
        <v>31</v>
      </c>
      <c r="S12" s="8" t="s">
        <v>31</v>
      </c>
      <c r="T12" s="8" t="s">
        <v>31</v>
      </c>
      <c r="U12" s="8" t="s">
        <v>31</v>
      </c>
      <c r="V12" s="8" t="s">
        <v>31</v>
      </c>
      <c r="W12" s="8" t="str">
        <f>_xlfn.IFNA(VLOOKUP(A12,[1]Sheet1!$A$1:$B$101,1,FALSE),"na")</f>
        <v>na</v>
      </c>
      <c r="X12" s="8" t="s">
        <v>54</v>
      </c>
      <c r="Y12" s="9">
        <v>344</v>
      </c>
      <c r="Z12" s="9">
        <v>163.80951999999999</v>
      </c>
      <c r="AA12" s="9">
        <v>172</v>
      </c>
      <c r="AB12" s="9">
        <v>344</v>
      </c>
    </row>
    <row r="13" spans="1:28" x14ac:dyDescent="0.25">
      <c r="A13" s="8" t="s">
        <v>60</v>
      </c>
      <c r="B13" s="8" t="s">
        <v>61</v>
      </c>
      <c r="C13" s="8" t="s">
        <v>62</v>
      </c>
      <c r="D13" s="10">
        <v>1</v>
      </c>
      <c r="E13" s="10">
        <v>1</v>
      </c>
      <c r="F13" s="10">
        <v>0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8" t="s">
        <v>31</v>
      </c>
      <c r="P13" s="8" t="s">
        <v>31</v>
      </c>
      <c r="Q13" s="8" t="s">
        <v>31</v>
      </c>
      <c r="R13" s="8" t="s">
        <v>31</v>
      </c>
      <c r="S13" s="8" t="s">
        <v>31</v>
      </c>
      <c r="T13" s="8" t="s">
        <v>31</v>
      </c>
      <c r="U13" s="8" t="s">
        <v>31</v>
      </c>
      <c r="V13" s="8" t="s">
        <v>31</v>
      </c>
      <c r="W13" s="8" t="str">
        <f>_xlfn.IFNA(VLOOKUP(A13,[1]Sheet1!$A$1:$B$101,1,FALSE),"na")</f>
        <v>na</v>
      </c>
      <c r="X13" s="8" t="s">
        <v>54</v>
      </c>
      <c r="Y13" s="9">
        <v>258</v>
      </c>
      <c r="Z13" s="9">
        <v>258</v>
      </c>
      <c r="AA13" s="9">
        <v>258</v>
      </c>
      <c r="AB13" s="9">
        <v>258</v>
      </c>
    </row>
    <row r="14" spans="1:28" x14ac:dyDescent="0.25">
      <c r="A14" s="8" t="s">
        <v>63</v>
      </c>
      <c r="B14" s="8" t="s">
        <v>64</v>
      </c>
      <c r="C14" s="8" t="s">
        <v>30</v>
      </c>
      <c r="D14" s="10">
        <v>3.4000001000000002</v>
      </c>
      <c r="E14" s="10">
        <v>2</v>
      </c>
      <c r="F14" s="10">
        <v>1.4</v>
      </c>
      <c r="G14" s="10">
        <v>2</v>
      </c>
      <c r="H14" s="10">
        <v>1.4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0.40000001000000002</v>
      </c>
      <c r="O14" s="8" t="s">
        <v>57</v>
      </c>
      <c r="P14" s="8" t="s">
        <v>31</v>
      </c>
      <c r="Q14" s="8" t="s">
        <v>31</v>
      </c>
      <c r="R14" s="8" t="s">
        <v>31</v>
      </c>
      <c r="S14" s="8" t="s">
        <v>31</v>
      </c>
      <c r="T14" s="8" t="s">
        <v>31</v>
      </c>
      <c r="U14" s="8" t="s">
        <v>31</v>
      </c>
      <c r="V14" s="8" t="s">
        <v>31</v>
      </c>
      <c r="W14" s="8" t="str">
        <f>_xlfn.IFNA(VLOOKUP(A14,[1]Sheet1!$A$1:$B$101,1,FALSE),"na")</f>
        <v>na</v>
      </c>
      <c r="X14" s="8" t="s">
        <v>35</v>
      </c>
      <c r="Y14" s="9">
        <v>484</v>
      </c>
      <c r="Z14" s="9">
        <v>142.35293999999999</v>
      </c>
      <c r="AA14" s="9">
        <v>242</v>
      </c>
      <c r="AB14" s="9">
        <v>345.71429000000001</v>
      </c>
    </row>
    <row r="15" spans="1:28" x14ac:dyDescent="0.25">
      <c r="A15" s="8" t="s">
        <v>65</v>
      </c>
      <c r="B15" s="8" t="s">
        <v>66</v>
      </c>
      <c r="C15" s="8" t="s">
        <v>67</v>
      </c>
      <c r="D15" s="10">
        <v>2</v>
      </c>
      <c r="E15" s="10">
        <v>1</v>
      </c>
      <c r="F15" s="10">
        <v>1</v>
      </c>
      <c r="G15" s="10">
        <v>1</v>
      </c>
      <c r="H15" s="10">
        <v>1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8" t="s">
        <v>31</v>
      </c>
      <c r="P15" s="8" t="s">
        <v>31</v>
      </c>
      <c r="Q15" s="8" t="s">
        <v>31</v>
      </c>
      <c r="R15" s="8" t="s">
        <v>31</v>
      </c>
      <c r="S15" s="8" t="s">
        <v>31</v>
      </c>
      <c r="T15" s="8" t="s">
        <v>31</v>
      </c>
      <c r="U15" s="8" t="s">
        <v>31</v>
      </c>
      <c r="V15" s="8" t="s">
        <v>31</v>
      </c>
      <c r="W15" s="8" t="str">
        <f>_xlfn.IFNA(VLOOKUP(A15,[1]Sheet1!$A$1:$B$101,1,FALSE),"na")</f>
        <v>na</v>
      </c>
      <c r="X15" s="8" t="s">
        <v>54</v>
      </c>
      <c r="Y15" s="9">
        <v>134</v>
      </c>
      <c r="Z15" s="9">
        <v>67</v>
      </c>
      <c r="AA15" s="9">
        <v>134</v>
      </c>
      <c r="AB15" s="9">
        <v>134</v>
      </c>
    </row>
    <row r="16" spans="1:28" x14ac:dyDescent="0.25">
      <c r="A16" s="8" t="s">
        <v>68</v>
      </c>
      <c r="B16" s="8" t="s">
        <v>69</v>
      </c>
      <c r="C16" s="8" t="s">
        <v>30</v>
      </c>
      <c r="D16" s="10">
        <v>1.2</v>
      </c>
      <c r="E16" s="10">
        <v>0</v>
      </c>
      <c r="F16" s="10">
        <v>1.2</v>
      </c>
      <c r="G16" s="10">
        <v>0</v>
      </c>
      <c r="H16" s="10">
        <v>1.2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0.2</v>
      </c>
      <c r="O16" s="8" t="s">
        <v>31</v>
      </c>
      <c r="P16" s="8" t="s">
        <v>31</v>
      </c>
      <c r="Q16" s="8" t="s">
        <v>31</v>
      </c>
      <c r="R16" s="8" t="s">
        <v>31</v>
      </c>
      <c r="S16" s="8" t="s">
        <v>31</v>
      </c>
      <c r="T16" s="8" t="s">
        <v>31</v>
      </c>
      <c r="U16" s="8" t="s">
        <v>31</v>
      </c>
      <c r="V16" s="8" t="s">
        <v>31</v>
      </c>
      <c r="W16" s="8" t="str">
        <f>_xlfn.IFNA(VLOOKUP(A16,[1]Sheet1!$A$1:$B$101,1,FALSE),"na")</f>
        <v>na</v>
      </c>
      <c r="X16" s="8" t="s">
        <v>35</v>
      </c>
      <c r="Y16" s="9">
        <v>274</v>
      </c>
      <c r="Z16" s="9">
        <v>228.33332999999999</v>
      </c>
      <c r="AA16" s="9">
        <v>274</v>
      </c>
      <c r="AB16" s="9">
        <v>228.33332999999999</v>
      </c>
    </row>
    <row r="17" spans="1:28" x14ac:dyDescent="0.25">
      <c r="A17" s="8" t="s">
        <v>70</v>
      </c>
      <c r="B17" s="8" t="s">
        <v>71</v>
      </c>
      <c r="C17" s="8" t="s">
        <v>30</v>
      </c>
      <c r="D17" s="10">
        <v>2.2999999999999998</v>
      </c>
      <c r="E17" s="10">
        <v>1</v>
      </c>
      <c r="F17" s="10">
        <v>1.3</v>
      </c>
      <c r="G17" s="10">
        <v>1</v>
      </c>
      <c r="H17" s="10">
        <v>1.3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0.30000000999999998</v>
      </c>
      <c r="O17" s="8" t="s">
        <v>31</v>
      </c>
      <c r="P17" s="8" t="s">
        <v>31</v>
      </c>
      <c r="Q17" s="8" t="s">
        <v>31</v>
      </c>
      <c r="R17" s="8" t="s">
        <v>31</v>
      </c>
      <c r="S17" s="8" t="s">
        <v>31</v>
      </c>
      <c r="T17" s="8" t="s">
        <v>31</v>
      </c>
      <c r="U17" s="8" t="s">
        <v>31</v>
      </c>
      <c r="V17" s="8" t="s">
        <v>31</v>
      </c>
      <c r="W17" s="8" t="str">
        <f>_xlfn.IFNA(VLOOKUP(A17,[1]Sheet1!$A$1:$B$101,1,FALSE),"na")</f>
        <v>na</v>
      </c>
      <c r="X17" s="8" t="s">
        <v>35</v>
      </c>
      <c r="Y17" s="9">
        <v>213</v>
      </c>
      <c r="Z17" s="9">
        <v>92.608695999999995</v>
      </c>
      <c r="AA17" s="9">
        <v>213</v>
      </c>
      <c r="AB17" s="9">
        <v>163.84616</v>
      </c>
    </row>
    <row r="18" spans="1:28" x14ac:dyDescent="0.25">
      <c r="A18" s="8" t="s">
        <v>72</v>
      </c>
      <c r="B18" s="8" t="s">
        <v>73</v>
      </c>
      <c r="C18" s="8" t="s">
        <v>30</v>
      </c>
      <c r="D18" s="10">
        <v>1.3333299999999999</v>
      </c>
      <c r="E18" s="10">
        <v>1</v>
      </c>
      <c r="F18" s="10">
        <v>0.33333001000000001</v>
      </c>
      <c r="G18" s="10">
        <v>1</v>
      </c>
      <c r="H18" s="10">
        <v>0.33333001000000001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0.33333001000000001</v>
      </c>
      <c r="O18" s="8" t="s">
        <v>31</v>
      </c>
      <c r="P18" s="8" t="s">
        <v>31</v>
      </c>
      <c r="Q18" s="8" t="s">
        <v>31</v>
      </c>
      <c r="R18" s="8" t="s">
        <v>31</v>
      </c>
      <c r="S18" s="8" t="s">
        <v>31</v>
      </c>
      <c r="T18" s="8" t="s">
        <v>31</v>
      </c>
      <c r="U18" s="8" t="s">
        <v>31</v>
      </c>
      <c r="V18" s="8" t="s">
        <v>31</v>
      </c>
      <c r="W18" s="8" t="str">
        <f>_xlfn.IFNA(VLOOKUP(A18,[1]Sheet1!$A$1:$B$101,1,FALSE),"na")</f>
        <v>na</v>
      </c>
      <c r="X18" s="8" t="s">
        <v>35</v>
      </c>
      <c r="Y18" s="9">
        <v>176</v>
      </c>
      <c r="Z18" s="9">
        <v>132.00031999999999</v>
      </c>
      <c r="AA18" s="9">
        <v>176</v>
      </c>
      <c r="AB18" s="9">
        <v>176</v>
      </c>
    </row>
    <row r="19" spans="1:28" x14ac:dyDescent="0.25">
      <c r="A19" s="8" t="s">
        <v>74</v>
      </c>
      <c r="B19" s="8" t="s">
        <v>75</v>
      </c>
      <c r="C19" s="8" t="s">
        <v>67</v>
      </c>
      <c r="D19" s="10">
        <v>2</v>
      </c>
      <c r="E19" s="10">
        <v>1</v>
      </c>
      <c r="F19" s="10">
        <v>1</v>
      </c>
      <c r="G19" s="10">
        <v>1</v>
      </c>
      <c r="H19" s="10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8" t="s">
        <v>31</v>
      </c>
      <c r="P19" s="8" t="s">
        <v>31</v>
      </c>
      <c r="Q19" s="8" t="s">
        <v>31</v>
      </c>
      <c r="R19" s="8" t="s">
        <v>57</v>
      </c>
      <c r="S19" s="8" t="s">
        <v>31</v>
      </c>
      <c r="T19" s="8" t="s">
        <v>31</v>
      </c>
      <c r="U19" s="8" t="s">
        <v>31</v>
      </c>
      <c r="V19" s="8" t="s">
        <v>31</v>
      </c>
      <c r="W19" s="8" t="str">
        <f>_xlfn.IFNA(VLOOKUP(A19,[1]Sheet1!$A$1:$B$101,1,FALSE),"na")</f>
        <v>na</v>
      </c>
      <c r="X19" s="8" t="s">
        <v>35</v>
      </c>
      <c r="Y19" s="9">
        <v>152</v>
      </c>
      <c r="Z19" s="9">
        <v>76</v>
      </c>
      <c r="AA19" s="9">
        <v>152</v>
      </c>
      <c r="AB19" s="9">
        <v>152</v>
      </c>
    </row>
    <row r="20" spans="1:28" x14ac:dyDescent="0.25">
      <c r="A20" s="8" t="s">
        <v>76</v>
      </c>
      <c r="B20" s="8" t="s">
        <v>77</v>
      </c>
      <c r="C20" s="8" t="s">
        <v>62</v>
      </c>
      <c r="D20" s="10">
        <v>5</v>
      </c>
      <c r="E20" s="10">
        <v>3</v>
      </c>
      <c r="F20" s="10">
        <v>2</v>
      </c>
      <c r="G20" s="10">
        <v>3</v>
      </c>
      <c r="H20" s="10">
        <v>2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8" t="s">
        <v>57</v>
      </c>
      <c r="P20" s="8" t="s">
        <v>31</v>
      </c>
      <c r="Q20" s="8" t="s">
        <v>31</v>
      </c>
      <c r="R20" s="8" t="s">
        <v>31</v>
      </c>
      <c r="S20" s="8" t="s">
        <v>31</v>
      </c>
      <c r="T20" s="8" t="s">
        <v>31</v>
      </c>
      <c r="U20" s="8" t="s">
        <v>31</v>
      </c>
      <c r="V20" s="8" t="s">
        <v>31</v>
      </c>
      <c r="W20" s="8" t="str">
        <f>_xlfn.IFNA(VLOOKUP(A20,[1]Sheet1!$A$1:$B$101,1,FALSE),"na")</f>
        <v>na</v>
      </c>
      <c r="X20" s="8" t="s">
        <v>35</v>
      </c>
      <c r="Y20" s="9">
        <v>476</v>
      </c>
      <c r="Z20" s="9">
        <v>95.199996999999996</v>
      </c>
      <c r="AA20" s="9">
        <v>158.66667000000001</v>
      </c>
      <c r="AB20" s="9">
        <v>238</v>
      </c>
    </row>
    <row r="21" spans="1:28" x14ac:dyDescent="0.25">
      <c r="A21" s="8" t="s">
        <v>78</v>
      </c>
      <c r="B21" s="8" t="s">
        <v>79</v>
      </c>
      <c r="C21" s="8" t="s">
        <v>80</v>
      </c>
      <c r="D21" s="10">
        <v>5.4000000999999997</v>
      </c>
      <c r="E21" s="10">
        <v>2</v>
      </c>
      <c r="F21" s="10">
        <v>3.4000001000000002</v>
      </c>
      <c r="G21" s="10">
        <v>2</v>
      </c>
      <c r="H21" s="10">
        <v>3.4000001000000002</v>
      </c>
      <c r="I21" s="10">
        <v>0</v>
      </c>
      <c r="J21" s="10">
        <v>0</v>
      </c>
      <c r="K21" s="10">
        <v>0</v>
      </c>
      <c r="L21" s="10">
        <v>1.4</v>
      </c>
      <c r="M21" s="10">
        <v>0</v>
      </c>
      <c r="N21" s="10">
        <v>0.40000001000000002</v>
      </c>
      <c r="O21" s="8" t="s">
        <v>31</v>
      </c>
      <c r="P21" s="8" t="s">
        <v>31</v>
      </c>
      <c r="Q21" s="8" t="s">
        <v>31</v>
      </c>
      <c r="R21" s="8" t="s">
        <v>31</v>
      </c>
      <c r="S21" s="8" t="s">
        <v>31</v>
      </c>
      <c r="T21" s="8" t="s">
        <v>31</v>
      </c>
      <c r="U21" s="8" t="s">
        <v>31</v>
      </c>
      <c r="V21" s="8" t="s">
        <v>31</v>
      </c>
      <c r="W21" s="8" t="str">
        <f>_xlfn.IFNA(VLOOKUP(A21,[1]Sheet1!$A$1:$B$101,1,FALSE),"na")</f>
        <v>na</v>
      </c>
      <c r="X21" s="8" t="s">
        <v>35</v>
      </c>
      <c r="Y21" s="9">
        <v>697</v>
      </c>
      <c r="Z21" s="9">
        <v>129.07407000000001</v>
      </c>
      <c r="AA21" s="9">
        <v>348.5</v>
      </c>
      <c r="AB21" s="9">
        <v>205</v>
      </c>
    </row>
    <row r="22" spans="1:28" x14ac:dyDescent="0.25">
      <c r="A22" s="8" t="s">
        <v>81</v>
      </c>
      <c r="B22" s="8" t="s">
        <v>82</v>
      </c>
      <c r="C22" s="8" t="s">
        <v>62</v>
      </c>
      <c r="D22" s="10">
        <v>4</v>
      </c>
      <c r="E22" s="10">
        <v>2</v>
      </c>
      <c r="F22" s="10">
        <v>2</v>
      </c>
      <c r="G22" s="10">
        <v>2</v>
      </c>
      <c r="H22" s="10">
        <v>2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8" t="s">
        <v>31</v>
      </c>
      <c r="P22" s="8" t="s">
        <v>31</v>
      </c>
      <c r="Q22" s="8" t="s">
        <v>31</v>
      </c>
      <c r="R22" s="8" t="s">
        <v>31</v>
      </c>
      <c r="S22" s="8" t="s">
        <v>31</v>
      </c>
      <c r="T22" s="8" t="s">
        <v>57</v>
      </c>
      <c r="U22" s="8" t="s">
        <v>31</v>
      </c>
      <c r="V22" s="8" t="s">
        <v>31</v>
      </c>
      <c r="W22" s="8" t="str">
        <f>_xlfn.IFNA(VLOOKUP(A22,[1]Sheet1!$A$1:$B$101,1,FALSE),"na")</f>
        <v>na</v>
      </c>
      <c r="X22" s="8" t="s">
        <v>83</v>
      </c>
      <c r="Y22" s="9">
        <v>180</v>
      </c>
      <c r="Z22" s="9">
        <v>45</v>
      </c>
      <c r="AA22" s="9">
        <v>90</v>
      </c>
      <c r="AB22" s="9">
        <v>90</v>
      </c>
    </row>
    <row r="23" spans="1:28" x14ac:dyDescent="0.25">
      <c r="A23" s="8" t="s">
        <v>84</v>
      </c>
      <c r="B23" s="8" t="s">
        <v>85</v>
      </c>
      <c r="C23" s="8" t="s">
        <v>62</v>
      </c>
      <c r="D23" s="10">
        <v>5</v>
      </c>
      <c r="E23" s="10">
        <v>4</v>
      </c>
      <c r="F23" s="10">
        <v>1</v>
      </c>
      <c r="G23" s="10">
        <v>4</v>
      </c>
      <c r="H23" s="10">
        <v>1</v>
      </c>
      <c r="I23" s="10">
        <v>0</v>
      </c>
      <c r="J23" s="10">
        <v>0</v>
      </c>
      <c r="K23" s="10">
        <v>1</v>
      </c>
      <c r="L23" s="10">
        <v>0</v>
      </c>
      <c r="M23" s="10">
        <v>0</v>
      </c>
      <c r="N23" s="10">
        <v>0</v>
      </c>
      <c r="O23" s="8" t="s">
        <v>57</v>
      </c>
      <c r="P23" s="8" t="s">
        <v>31</v>
      </c>
      <c r="Q23" s="8" t="s">
        <v>31</v>
      </c>
      <c r="R23" s="8" t="s">
        <v>31</v>
      </c>
      <c r="S23" s="8" t="s">
        <v>31</v>
      </c>
      <c r="T23" s="8" t="s">
        <v>31</v>
      </c>
      <c r="U23" s="8" t="s">
        <v>31</v>
      </c>
      <c r="V23" s="8" t="s">
        <v>31</v>
      </c>
      <c r="W23" s="8" t="str">
        <f>_xlfn.IFNA(VLOOKUP(A23,[1]Sheet1!$A$1:$B$101,1,FALSE),"na")</f>
        <v>na</v>
      </c>
      <c r="X23" s="8" t="s">
        <v>86</v>
      </c>
      <c r="Y23" s="9">
        <v>564</v>
      </c>
      <c r="Z23" s="9">
        <v>112.8</v>
      </c>
      <c r="AA23" s="9">
        <v>141</v>
      </c>
      <c r="AB23" s="9">
        <v>564</v>
      </c>
    </row>
    <row r="24" spans="1:28" x14ac:dyDescent="0.25">
      <c r="A24" s="8" t="s">
        <v>87</v>
      </c>
      <c r="B24" s="8" t="s">
        <v>88</v>
      </c>
      <c r="C24" s="8" t="s">
        <v>89</v>
      </c>
      <c r="D24" s="10">
        <v>7.5999999000000003</v>
      </c>
      <c r="E24" s="10">
        <v>6</v>
      </c>
      <c r="F24" s="10">
        <v>1.6</v>
      </c>
      <c r="G24" s="10">
        <v>6</v>
      </c>
      <c r="H24" s="10">
        <v>1.6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0.60000001999999997</v>
      </c>
      <c r="O24" s="8" t="s">
        <v>57</v>
      </c>
      <c r="P24" s="8" t="s">
        <v>31</v>
      </c>
      <c r="Q24" s="8" t="s">
        <v>31</v>
      </c>
      <c r="R24" s="8" t="s">
        <v>31</v>
      </c>
      <c r="S24" s="8" t="s">
        <v>31</v>
      </c>
      <c r="T24" s="8" t="s">
        <v>31</v>
      </c>
      <c r="U24" s="8" t="s">
        <v>31</v>
      </c>
      <c r="V24" s="8" t="s">
        <v>31</v>
      </c>
      <c r="W24" s="8" t="str">
        <f>_xlfn.IFNA(VLOOKUP(A24,[1]Sheet1!$A$1:$B$101,1,FALSE),"na")</f>
        <v>na</v>
      </c>
      <c r="X24" s="8" t="s">
        <v>35</v>
      </c>
      <c r="Y24" s="9">
        <v>1617</v>
      </c>
      <c r="Z24" s="9">
        <v>212.76315</v>
      </c>
      <c r="AA24" s="9">
        <v>269.5</v>
      </c>
      <c r="AB24" s="9">
        <v>1010.625</v>
      </c>
    </row>
    <row r="25" spans="1:28" x14ac:dyDescent="0.25">
      <c r="A25" s="8" t="s">
        <v>90</v>
      </c>
      <c r="B25" s="8" t="s">
        <v>91</v>
      </c>
      <c r="C25" s="8" t="s">
        <v>62</v>
      </c>
      <c r="D25" s="10">
        <v>2</v>
      </c>
      <c r="E25" s="10">
        <v>1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1</v>
      </c>
      <c r="L25" s="10">
        <v>0</v>
      </c>
      <c r="M25" s="10">
        <v>0</v>
      </c>
      <c r="N25" s="10">
        <v>0</v>
      </c>
      <c r="O25" s="8" t="s">
        <v>31</v>
      </c>
      <c r="P25" s="8" t="s">
        <v>31</v>
      </c>
      <c r="Q25" s="8" t="s">
        <v>31</v>
      </c>
      <c r="R25" s="8" t="s">
        <v>31</v>
      </c>
      <c r="S25" s="8" t="s">
        <v>31</v>
      </c>
      <c r="T25" s="8" t="s">
        <v>31</v>
      </c>
      <c r="U25" s="8" t="s">
        <v>31</v>
      </c>
      <c r="V25" s="8" t="s">
        <v>31</v>
      </c>
      <c r="W25" s="8" t="str">
        <f>_xlfn.IFNA(VLOOKUP(A25,[1]Sheet1!$A$1:$B$101,1,FALSE),"na")</f>
        <v>na</v>
      </c>
      <c r="X25" s="8" t="s">
        <v>35</v>
      </c>
      <c r="Y25" s="9">
        <v>148</v>
      </c>
      <c r="Z25" s="9">
        <v>74</v>
      </c>
      <c r="AA25" s="9">
        <v>148</v>
      </c>
      <c r="AB25" s="9">
        <v>148</v>
      </c>
    </row>
    <row r="26" spans="1:28" x14ac:dyDescent="0.25">
      <c r="A26" s="8" t="s">
        <v>92</v>
      </c>
      <c r="B26" s="8" t="s">
        <v>93</v>
      </c>
      <c r="C26" s="8" t="s">
        <v>62</v>
      </c>
      <c r="D26" s="10">
        <v>4</v>
      </c>
      <c r="E26" s="10">
        <v>3</v>
      </c>
      <c r="F26" s="10">
        <v>1</v>
      </c>
      <c r="G26" s="10">
        <v>3</v>
      </c>
      <c r="H26" s="10">
        <v>1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8" t="s">
        <v>57</v>
      </c>
      <c r="P26" s="8" t="s">
        <v>31</v>
      </c>
      <c r="Q26" s="8" t="s">
        <v>31</v>
      </c>
      <c r="R26" s="8" t="s">
        <v>31</v>
      </c>
      <c r="S26" s="8" t="s">
        <v>31</v>
      </c>
      <c r="T26" s="8" t="s">
        <v>31</v>
      </c>
      <c r="U26" s="8" t="s">
        <v>31</v>
      </c>
      <c r="V26" s="8" t="s">
        <v>31</v>
      </c>
      <c r="W26" s="8" t="str">
        <f>_xlfn.IFNA(VLOOKUP(A26,[1]Sheet1!$A$1:$B$101,1,FALSE),"na")</f>
        <v>na</v>
      </c>
      <c r="X26" s="8" t="s">
        <v>35</v>
      </c>
      <c r="Y26" s="9">
        <v>570</v>
      </c>
      <c r="Z26" s="9">
        <v>142.5</v>
      </c>
      <c r="AA26" s="9">
        <v>190</v>
      </c>
      <c r="AB26" s="9">
        <v>570</v>
      </c>
    </row>
    <row r="27" spans="1:28" x14ac:dyDescent="0.25">
      <c r="A27" s="8" t="s">
        <v>94</v>
      </c>
      <c r="B27" s="8" t="s">
        <v>95</v>
      </c>
      <c r="C27" s="8" t="s">
        <v>67</v>
      </c>
      <c r="D27" s="10">
        <v>1.3333299999999999</v>
      </c>
      <c r="E27" s="10">
        <v>1</v>
      </c>
      <c r="F27" s="10">
        <v>0.33333001000000001</v>
      </c>
      <c r="G27" s="10">
        <v>1</v>
      </c>
      <c r="H27" s="10">
        <v>0.33333001000000001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0.33333001000000001</v>
      </c>
      <c r="O27" s="8" t="s">
        <v>31</v>
      </c>
      <c r="P27" s="8" t="s">
        <v>31</v>
      </c>
      <c r="Q27" s="8" t="s">
        <v>31</v>
      </c>
      <c r="R27" s="8" t="s">
        <v>31</v>
      </c>
      <c r="S27" s="8" t="s">
        <v>31</v>
      </c>
      <c r="T27" s="8" t="s">
        <v>31</v>
      </c>
      <c r="U27" s="8" t="s">
        <v>31</v>
      </c>
      <c r="V27" s="8" t="s">
        <v>31</v>
      </c>
      <c r="W27" s="8" t="str">
        <f>_xlfn.IFNA(VLOOKUP(A27,[1]Sheet1!$A$1:$B$101,1,FALSE),"na")</f>
        <v>na</v>
      </c>
      <c r="X27" s="8" t="s">
        <v>44</v>
      </c>
      <c r="Y27" s="9">
        <v>293</v>
      </c>
      <c r="Z27" s="9">
        <v>219.75055</v>
      </c>
      <c r="AA27" s="9">
        <v>293</v>
      </c>
      <c r="AB27" s="9">
        <v>293</v>
      </c>
    </row>
    <row r="28" spans="1:28" x14ac:dyDescent="0.25">
      <c r="A28" s="8" t="s">
        <v>96</v>
      </c>
      <c r="B28" s="8" t="s">
        <v>97</v>
      </c>
      <c r="C28" s="8" t="s">
        <v>30</v>
      </c>
      <c r="D28" s="10">
        <v>1.4</v>
      </c>
      <c r="E28" s="10">
        <v>0</v>
      </c>
      <c r="F28" s="10">
        <v>1.4</v>
      </c>
      <c r="G28" s="10">
        <v>0</v>
      </c>
      <c r="H28" s="10">
        <v>1.4</v>
      </c>
      <c r="I28" s="10">
        <v>0</v>
      </c>
      <c r="J28" s="10">
        <v>0</v>
      </c>
      <c r="K28" s="10">
        <v>0</v>
      </c>
      <c r="L28" s="10">
        <v>0.40000001000000002</v>
      </c>
      <c r="M28" s="10">
        <v>0</v>
      </c>
      <c r="N28" s="10">
        <v>0.40000001000000002</v>
      </c>
      <c r="O28" s="8" t="s">
        <v>31</v>
      </c>
      <c r="P28" s="8" t="s">
        <v>31</v>
      </c>
      <c r="Q28" s="8" t="s">
        <v>31</v>
      </c>
      <c r="R28" s="8" t="s">
        <v>31</v>
      </c>
      <c r="S28" s="8" t="s">
        <v>31</v>
      </c>
      <c r="T28" s="8" t="s">
        <v>31</v>
      </c>
      <c r="U28" s="8" t="s">
        <v>31</v>
      </c>
      <c r="V28" s="8" t="s">
        <v>31</v>
      </c>
      <c r="W28" s="8" t="str">
        <f>_xlfn.IFNA(VLOOKUP(A28,[1]Sheet1!$A$1:$B$101,1,FALSE),"na")</f>
        <v>na</v>
      </c>
      <c r="X28" s="8" t="s">
        <v>35</v>
      </c>
      <c r="Y28" s="9">
        <v>213</v>
      </c>
      <c r="Z28" s="9">
        <v>152.14285000000001</v>
      </c>
      <c r="AA28" s="9">
        <v>213</v>
      </c>
      <c r="AB28" s="9">
        <v>152.14285000000001</v>
      </c>
    </row>
    <row r="29" spans="1:28" x14ac:dyDescent="0.25">
      <c r="A29" s="8" t="s">
        <v>98</v>
      </c>
      <c r="B29" s="8" t="s">
        <v>99</v>
      </c>
      <c r="C29" s="8" t="s">
        <v>30</v>
      </c>
      <c r="D29" s="10">
        <v>2.8</v>
      </c>
      <c r="E29" s="10">
        <v>1</v>
      </c>
      <c r="F29" s="10">
        <v>1.8</v>
      </c>
      <c r="G29" s="10">
        <v>1</v>
      </c>
      <c r="H29" s="10">
        <v>1.8</v>
      </c>
      <c r="I29" s="10">
        <v>0</v>
      </c>
      <c r="J29" s="10">
        <v>0</v>
      </c>
      <c r="K29" s="10">
        <v>0</v>
      </c>
      <c r="L29" s="10">
        <v>0.40000001000000002</v>
      </c>
      <c r="M29" s="10">
        <v>0</v>
      </c>
      <c r="N29" s="10">
        <v>0.80000000999999998</v>
      </c>
      <c r="O29" s="8" t="s">
        <v>57</v>
      </c>
      <c r="P29" s="8" t="s">
        <v>31</v>
      </c>
      <c r="Q29" s="8" t="s">
        <v>31</v>
      </c>
      <c r="R29" s="8" t="s">
        <v>31</v>
      </c>
      <c r="S29" s="8" t="s">
        <v>31</v>
      </c>
      <c r="T29" s="8" t="s">
        <v>31</v>
      </c>
      <c r="U29" s="8" t="s">
        <v>31</v>
      </c>
      <c r="V29" s="8" t="s">
        <v>31</v>
      </c>
      <c r="W29" s="8" t="str">
        <f>_xlfn.IFNA(VLOOKUP(A29,[1]Sheet1!$A$1:$B$101,1,FALSE),"na")</f>
        <v>na</v>
      </c>
      <c r="X29" s="8" t="s">
        <v>35</v>
      </c>
      <c r="Y29" s="9">
        <v>339</v>
      </c>
      <c r="Z29" s="9">
        <v>121.07143000000001</v>
      </c>
      <c r="AA29" s="9">
        <v>339</v>
      </c>
      <c r="AB29" s="9">
        <v>188.33333999999999</v>
      </c>
    </row>
    <row r="30" spans="1:28" x14ac:dyDescent="0.25">
      <c r="A30" s="8" t="s">
        <v>100</v>
      </c>
      <c r="B30" s="8" t="s">
        <v>101</v>
      </c>
      <c r="C30" s="8" t="s">
        <v>30</v>
      </c>
      <c r="D30" s="10">
        <v>3.5999998999999998</v>
      </c>
      <c r="E30" s="10">
        <v>2</v>
      </c>
      <c r="F30" s="10">
        <v>1.6</v>
      </c>
      <c r="G30" s="10">
        <v>2</v>
      </c>
      <c r="H30" s="10">
        <v>1.6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0.60000001999999997</v>
      </c>
      <c r="O30" s="8" t="s">
        <v>31</v>
      </c>
      <c r="P30" s="8" t="s">
        <v>31</v>
      </c>
      <c r="Q30" s="8" t="s">
        <v>31</v>
      </c>
      <c r="R30" s="8" t="s">
        <v>31</v>
      </c>
      <c r="S30" s="8" t="s">
        <v>31</v>
      </c>
      <c r="T30" s="8" t="s">
        <v>31</v>
      </c>
      <c r="U30" s="8" t="s">
        <v>31</v>
      </c>
      <c r="V30" s="8" t="s">
        <v>31</v>
      </c>
      <c r="W30" s="8" t="str">
        <f>_xlfn.IFNA(VLOOKUP(A30,[1]Sheet1!$A$1:$B$101,1,FALSE),"na")</f>
        <v>na</v>
      </c>
      <c r="X30" s="8" t="s">
        <v>35</v>
      </c>
      <c r="Y30" s="9">
        <v>565</v>
      </c>
      <c r="Z30" s="9">
        <v>156.94443999999999</v>
      </c>
      <c r="AA30" s="9">
        <v>282.5</v>
      </c>
      <c r="AB30" s="9">
        <v>353.125</v>
      </c>
    </row>
    <row r="31" spans="1:28" x14ac:dyDescent="0.25">
      <c r="A31" s="8" t="s">
        <v>102</v>
      </c>
      <c r="B31" s="8" t="s">
        <v>103</v>
      </c>
      <c r="C31" s="8" t="s">
        <v>30</v>
      </c>
      <c r="D31" s="10">
        <v>1.8</v>
      </c>
      <c r="E31" s="10">
        <v>0.80000000999999998</v>
      </c>
      <c r="F31" s="10">
        <v>1</v>
      </c>
      <c r="G31" s="10">
        <v>0</v>
      </c>
      <c r="H31" s="10">
        <v>1</v>
      </c>
      <c r="I31" s="10">
        <v>0.80000000999999998</v>
      </c>
      <c r="J31" s="10">
        <v>0</v>
      </c>
      <c r="K31" s="10">
        <v>0</v>
      </c>
      <c r="L31" s="10">
        <v>0</v>
      </c>
      <c r="M31" s="10">
        <v>0</v>
      </c>
      <c r="N31" s="10">
        <v>1</v>
      </c>
      <c r="O31" s="8" t="s">
        <v>31</v>
      </c>
      <c r="P31" s="8" t="s">
        <v>31</v>
      </c>
      <c r="Q31" s="8" t="s">
        <v>31</v>
      </c>
      <c r="R31" s="8" t="s">
        <v>31</v>
      </c>
      <c r="S31" s="8" t="s">
        <v>31</v>
      </c>
      <c r="T31" s="8" t="s">
        <v>31</v>
      </c>
      <c r="U31" s="8" t="s">
        <v>31</v>
      </c>
      <c r="V31" s="8" t="s">
        <v>31</v>
      </c>
      <c r="W31" s="8" t="str">
        <f>_xlfn.IFNA(VLOOKUP(A31,[1]Sheet1!$A$1:$B$101,1,FALSE),"na")</f>
        <v>na</v>
      </c>
      <c r="X31" s="8" t="s">
        <v>35</v>
      </c>
      <c r="Y31" s="9">
        <v>656</v>
      </c>
      <c r="Z31" s="9">
        <v>364.44445999999999</v>
      </c>
      <c r="AA31" s="9">
        <v>656</v>
      </c>
      <c r="AB31" s="9">
        <v>656</v>
      </c>
    </row>
    <row r="32" spans="1:28" x14ac:dyDescent="0.25">
      <c r="A32" s="8" t="s">
        <v>104</v>
      </c>
      <c r="B32" s="8" t="s">
        <v>105</v>
      </c>
      <c r="C32" s="8" t="s">
        <v>30</v>
      </c>
      <c r="D32" s="10">
        <v>1.6</v>
      </c>
      <c r="E32" s="10">
        <v>1</v>
      </c>
      <c r="F32" s="10">
        <v>0.60000001999999997</v>
      </c>
      <c r="G32" s="10">
        <v>1</v>
      </c>
      <c r="H32" s="10">
        <v>0.60000001999999997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0.60000001999999997</v>
      </c>
      <c r="O32" s="8" t="s">
        <v>31</v>
      </c>
      <c r="P32" s="8" t="s">
        <v>31</v>
      </c>
      <c r="Q32" s="8" t="s">
        <v>31</v>
      </c>
      <c r="R32" s="8" t="s">
        <v>31</v>
      </c>
      <c r="S32" s="8" t="s">
        <v>31</v>
      </c>
      <c r="T32" s="8" t="s">
        <v>31</v>
      </c>
      <c r="U32" s="8" t="s">
        <v>31</v>
      </c>
      <c r="V32" s="8" t="s">
        <v>31</v>
      </c>
      <c r="W32" s="8" t="str">
        <f>_xlfn.IFNA(VLOOKUP(A32,[1]Sheet1!$A$1:$B$101,1,FALSE),"na")</f>
        <v>na</v>
      </c>
      <c r="X32" s="8" t="s">
        <v>35</v>
      </c>
      <c r="Y32" s="9">
        <v>677</v>
      </c>
      <c r="Z32" s="9">
        <v>423.125</v>
      </c>
      <c r="AA32" s="9">
        <v>677</v>
      </c>
      <c r="AB32" s="9">
        <v>677</v>
      </c>
    </row>
    <row r="33" spans="1:28" x14ac:dyDescent="0.25">
      <c r="A33" s="8" t="s">
        <v>106</v>
      </c>
      <c r="B33" s="8" t="s">
        <v>107</v>
      </c>
      <c r="C33" s="8" t="s">
        <v>30</v>
      </c>
      <c r="D33" s="10">
        <v>1.3</v>
      </c>
      <c r="E33" s="10">
        <v>1</v>
      </c>
      <c r="F33" s="10">
        <v>0.30000000999999998</v>
      </c>
      <c r="G33" s="10">
        <v>1</v>
      </c>
      <c r="H33" s="10">
        <v>0.30000000999999998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0.30000000999999998</v>
      </c>
      <c r="O33" s="8" t="s">
        <v>31</v>
      </c>
      <c r="P33" s="8" t="s">
        <v>31</v>
      </c>
      <c r="Q33" s="8" t="s">
        <v>31</v>
      </c>
      <c r="R33" s="8" t="s">
        <v>31</v>
      </c>
      <c r="S33" s="8" t="s">
        <v>31</v>
      </c>
      <c r="T33" s="8" t="s">
        <v>31</v>
      </c>
      <c r="U33" s="8" t="s">
        <v>31</v>
      </c>
      <c r="V33" s="8" t="s">
        <v>31</v>
      </c>
      <c r="W33" s="8" t="str">
        <f>_xlfn.IFNA(VLOOKUP(A33,[1]Sheet1!$A$1:$B$101,1,FALSE),"na")</f>
        <v>na</v>
      </c>
      <c r="X33" s="8" t="s">
        <v>35</v>
      </c>
      <c r="Y33" s="9">
        <v>605</v>
      </c>
      <c r="Z33" s="9">
        <v>465.38463999999999</v>
      </c>
      <c r="AA33" s="9">
        <v>605</v>
      </c>
      <c r="AB33" s="9">
        <v>605</v>
      </c>
    </row>
    <row r="34" spans="1:28" x14ac:dyDescent="0.25">
      <c r="A34" s="8" t="s">
        <v>108</v>
      </c>
      <c r="B34" s="8" t="s">
        <v>109</v>
      </c>
      <c r="C34" s="8" t="s">
        <v>30</v>
      </c>
      <c r="D34" s="10">
        <v>1.5</v>
      </c>
      <c r="E34" s="10">
        <v>0</v>
      </c>
      <c r="F34" s="10">
        <v>1.5</v>
      </c>
      <c r="G34" s="10">
        <v>0</v>
      </c>
      <c r="H34" s="10">
        <v>1.5</v>
      </c>
      <c r="I34" s="10">
        <v>0</v>
      </c>
      <c r="J34" s="10">
        <v>0</v>
      </c>
      <c r="K34" s="10">
        <v>0</v>
      </c>
      <c r="L34" s="10">
        <v>1.2</v>
      </c>
      <c r="M34" s="10">
        <v>0</v>
      </c>
      <c r="N34" s="10">
        <v>0.5</v>
      </c>
      <c r="O34" s="8" t="s">
        <v>31</v>
      </c>
      <c r="P34" s="8" t="s">
        <v>31</v>
      </c>
      <c r="Q34" s="8" t="s">
        <v>31</v>
      </c>
      <c r="R34" s="8" t="s">
        <v>31</v>
      </c>
      <c r="S34" s="8" t="s">
        <v>31</v>
      </c>
      <c r="T34" s="8" t="s">
        <v>31</v>
      </c>
      <c r="U34" s="8" t="s">
        <v>31</v>
      </c>
      <c r="V34" s="8" t="s">
        <v>31</v>
      </c>
      <c r="W34" s="8" t="str">
        <f>_xlfn.IFNA(VLOOKUP(A34,[1]Sheet1!$A$1:$B$101,1,FALSE),"na")</f>
        <v>na</v>
      </c>
      <c r="X34" s="8" t="s">
        <v>35</v>
      </c>
      <c r="Y34" s="9">
        <v>538</v>
      </c>
      <c r="Z34" s="9">
        <v>358.66665999999998</v>
      </c>
      <c r="AA34" s="9">
        <v>538</v>
      </c>
      <c r="AB34" s="9">
        <v>358.66665999999998</v>
      </c>
    </row>
    <row r="35" spans="1:28" x14ac:dyDescent="0.25">
      <c r="A35" s="8" t="s">
        <v>110</v>
      </c>
      <c r="B35" s="8" t="s">
        <v>111</v>
      </c>
      <c r="C35" s="8" t="s">
        <v>30</v>
      </c>
      <c r="D35" s="10">
        <v>2.5999998999999998</v>
      </c>
      <c r="E35" s="10">
        <v>2</v>
      </c>
      <c r="F35" s="10">
        <v>0.60000001999999997</v>
      </c>
      <c r="G35" s="10">
        <v>2</v>
      </c>
      <c r="H35" s="10">
        <v>0.60000001999999997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0.60000001999999997</v>
      </c>
      <c r="O35" s="8" t="s">
        <v>31</v>
      </c>
      <c r="P35" s="8" t="s">
        <v>31</v>
      </c>
      <c r="Q35" s="8" t="s">
        <v>31</v>
      </c>
      <c r="R35" s="8" t="s">
        <v>31</v>
      </c>
      <c r="S35" s="8" t="s">
        <v>31</v>
      </c>
      <c r="T35" s="8" t="s">
        <v>31</v>
      </c>
      <c r="U35" s="8" t="s">
        <v>31</v>
      </c>
      <c r="V35" s="8" t="s">
        <v>31</v>
      </c>
      <c r="W35" s="8" t="str">
        <f>_xlfn.IFNA(VLOOKUP(A35,[1]Sheet1!$A$1:$B$101,1,FALSE),"na")</f>
        <v>na</v>
      </c>
      <c r="X35" s="8" t="s">
        <v>35</v>
      </c>
      <c r="Y35" s="9">
        <v>479</v>
      </c>
      <c r="Z35" s="9">
        <v>184.23077000000001</v>
      </c>
      <c r="AA35" s="9">
        <v>239.5</v>
      </c>
      <c r="AB35" s="9">
        <v>479</v>
      </c>
    </row>
    <row r="36" spans="1:28" x14ac:dyDescent="0.25">
      <c r="A36" s="8" t="s">
        <v>112</v>
      </c>
      <c r="B36" s="8" t="s">
        <v>113</v>
      </c>
      <c r="C36" s="8" t="s">
        <v>30</v>
      </c>
      <c r="D36" s="10">
        <v>2.5999998999999998</v>
      </c>
      <c r="E36" s="10">
        <v>1</v>
      </c>
      <c r="F36" s="10">
        <v>1.6</v>
      </c>
      <c r="G36" s="10">
        <v>1</v>
      </c>
      <c r="H36" s="10">
        <v>1.6</v>
      </c>
      <c r="I36" s="10">
        <v>0</v>
      </c>
      <c r="J36" s="10">
        <v>0</v>
      </c>
      <c r="K36" s="10">
        <v>1</v>
      </c>
      <c r="L36" s="10">
        <v>0.60000001999999997</v>
      </c>
      <c r="M36" s="10">
        <v>0</v>
      </c>
      <c r="N36" s="10">
        <v>0.60000001999999997</v>
      </c>
      <c r="O36" s="8" t="s">
        <v>31</v>
      </c>
      <c r="P36" s="8" t="s">
        <v>31</v>
      </c>
      <c r="Q36" s="8" t="s">
        <v>31</v>
      </c>
      <c r="R36" s="8" t="s">
        <v>31</v>
      </c>
      <c r="S36" s="8" t="s">
        <v>31</v>
      </c>
      <c r="T36" s="8" t="s">
        <v>31</v>
      </c>
      <c r="U36" s="8" t="s">
        <v>31</v>
      </c>
      <c r="V36" s="8" t="s">
        <v>31</v>
      </c>
      <c r="W36" s="8" t="str">
        <f>_xlfn.IFNA(VLOOKUP(A36,[1]Sheet1!$A$1:$B$101,1,FALSE),"na")</f>
        <v>na</v>
      </c>
      <c r="X36" s="8" t="s">
        <v>35</v>
      </c>
      <c r="Y36" s="9">
        <v>478</v>
      </c>
      <c r="Z36" s="9">
        <v>183.84616</v>
      </c>
      <c r="AA36" s="9">
        <v>478</v>
      </c>
      <c r="AB36" s="9">
        <v>298.75</v>
      </c>
    </row>
    <row r="37" spans="1:28" x14ac:dyDescent="0.25">
      <c r="A37" s="8" t="s">
        <v>114</v>
      </c>
      <c r="B37" s="8" t="s">
        <v>115</v>
      </c>
      <c r="C37" s="8" t="s">
        <v>62</v>
      </c>
      <c r="D37" s="10">
        <v>2.2000000000000002</v>
      </c>
      <c r="E37" s="10">
        <v>1</v>
      </c>
      <c r="F37" s="10">
        <v>1.2</v>
      </c>
      <c r="G37" s="10">
        <v>1</v>
      </c>
      <c r="H37" s="10">
        <v>1.2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0.2</v>
      </c>
      <c r="O37" s="8" t="s">
        <v>31</v>
      </c>
      <c r="P37" s="8" t="s">
        <v>31</v>
      </c>
      <c r="Q37" s="8" t="s">
        <v>31</v>
      </c>
      <c r="R37" s="8" t="s">
        <v>31</v>
      </c>
      <c r="S37" s="8" t="s">
        <v>31</v>
      </c>
      <c r="T37" s="8" t="s">
        <v>31</v>
      </c>
      <c r="U37" s="8" t="s">
        <v>31</v>
      </c>
      <c r="V37" s="8" t="s">
        <v>31</v>
      </c>
      <c r="W37" s="8" t="str">
        <f>_xlfn.IFNA(VLOOKUP(A37,[1]Sheet1!$A$1:$B$101,1,FALSE),"na")</f>
        <v>na</v>
      </c>
      <c r="X37" s="8"/>
      <c r="Y37" s="9">
        <v>148</v>
      </c>
      <c r="Z37" s="9">
        <v>67.272728000000001</v>
      </c>
      <c r="AA37" s="9">
        <v>148</v>
      </c>
      <c r="AB37" s="9">
        <v>123.33333</v>
      </c>
    </row>
    <row r="38" spans="1:28" x14ac:dyDescent="0.25">
      <c r="A38" s="8" t="s">
        <v>116</v>
      </c>
      <c r="B38" s="8" t="s">
        <v>117</v>
      </c>
      <c r="C38" s="8" t="s">
        <v>30</v>
      </c>
      <c r="D38" s="10">
        <v>2.2000000000000002</v>
      </c>
      <c r="E38" s="10">
        <v>1</v>
      </c>
      <c r="F38" s="10">
        <v>1.2</v>
      </c>
      <c r="G38" s="10">
        <v>1</v>
      </c>
      <c r="H38" s="10">
        <v>1.2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0.2</v>
      </c>
      <c r="O38" s="8" t="s">
        <v>31</v>
      </c>
      <c r="P38" s="8" t="s">
        <v>31</v>
      </c>
      <c r="Q38" s="8" t="s">
        <v>57</v>
      </c>
      <c r="R38" s="8" t="s">
        <v>31</v>
      </c>
      <c r="S38" s="8" t="s">
        <v>31</v>
      </c>
      <c r="T38" s="8" t="s">
        <v>31</v>
      </c>
      <c r="U38" s="8" t="s">
        <v>31</v>
      </c>
      <c r="V38" s="8" t="s">
        <v>31</v>
      </c>
      <c r="W38" s="8" t="str">
        <f>_xlfn.IFNA(VLOOKUP(A38,[1]Sheet1!$A$1:$B$101,1,FALSE),"na")</f>
        <v>na</v>
      </c>
      <c r="X38" s="8" t="s">
        <v>35</v>
      </c>
      <c r="Y38" s="9">
        <v>444</v>
      </c>
      <c r="Z38" s="9">
        <v>201.81818000000001</v>
      </c>
      <c r="AA38" s="9">
        <v>444</v>
      </c>
      <c r="AB38" s="9">
        <v>370</v>
      </c>
    </row>
    <row r="39" spans="1:28" x14ac:dyDescent="0.25">
      <c r="A39" s="8" t="s">
        <v>118</v>
      </c>
      <c r="B39" s="8" t="s">
        <v>119</v>
      </c>
      <c r="C39" s="8" t="s">
        <v>30</v>
      </c>
      <c r="D39" s="10">
        <v>1.4</v>
      </c>
      <c r="E39" s="10">
        <v>1</v>
      </c>
      <c r="F39" s="10">
        <v>0.40000001000000002</v>
      </c>
      <c r="G39" s="10">
        <v>1</v>
      </c>
      <c r="H39" s="10">
        <v>0.40000001000000002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0.40000001000000002</v>
      </c>
      <c r="O39" s="8" t="s">
        <v>31</v>
      </c>
      <c r="P39" s="8" t="s">
        <v>31</v>
      </c>
      <c r="Q39" s="8" t="s">
        <v>31</v>
      </c>
      <c r="R39" s="8" t="s">
        <v>31</v>
      </c>
      <c r="S39" s="8" t="s">
        <v>31</v>
      </c>
      <c r="T39" s="8" t="s">
        <v>31</v>
      </c>
      <c r="U39" s="8" t="s">
        <v>31</v>
      </c>
      <c r="V39" s="8" t="s">
        <v>31</v>
      </c>
      <c r="W39" s="8" t="str">
        <f>_xlfn.IFNA(VLOOKUP(A39,[1]Sheet1!$A$1:$B$101,1,FALSE),"na")</f>
        <v>na</v>
      </c>
      <c r="X39" s="8" t="s">
        <v>35</v>
      </c>
      <c r="Y39" s="9">
        <v>535</v>
      </c>
      <c r="Z39" s="9">
        <v>382.14285000000001</v>
      </c>
      <c r="AA39" s="9">
        <v>535</v>
      </c>
      <c r="AB39" s="9">
        <v>535</v>
      </c>
    </row>
    <row r="40" spans="1:28" x14ac:dyDescent="0.25">
      <c r="A40" s="8" t="s">
        <v>120</v>
      </c>
      <c r="B40" s="8" t="s">
        <v>121</v>
      </c>
      <c r="C40" s="8" t="s">
        <v>30</v>
      </c>
      <c r="D40" s="10">
        <v>2.4000001000000002</v>
      </c>
      <c r="E40" s="10">
        <v>1</v>
      </c>
      <c r="F40" s="10">
        <v>1.4</v>
      </c>
      <c r="G40" s="10">
        <v>1</v>
      </c>
      <c r="H40" s="10">
        <v>1.4</v>
      </c>
      <c r="I40" s="10">
        <v>0</v>
      </c>
      <c r="J40" s="10">
        <v>0</v>
      </c>
      <c r="K40" s="10">
        <v>0</v>
      </c>
      <c r="L40" s="10">
        <v>0.40000001000000002</v>
      </c>
      <c r="M40" s="10">
        <v>0</v>
      </c>
      <c r="N40" s="10">
        <v>0.40000001000000002</v>
      </c>
      <c r="O40" s="8" t="s">
        <v>57</v>
      </c>
      <c r="P40" s="8" t="s">
        <v>31</v>
      </c>
      <c r="Q40" s="8" t="s">
        <v>31</v>
      </c>
      <c r="R40" s="8" t="s">
        <v>31</v>
      </c>
      <c r="S40" s="8" t="s">
        <v>31</v>
      </c>
      <c r="T40" s="8" t="s">
        <v>31</v>
      </c>
      <c r="U40" s="8" t="s">
        <v>31</v>
      </c>
      <c r="V40" s="8" t="s">
        <v>31</v>
      </c>
      <c r="W40" s="8" t="str">
        <f>_xlfn.IFNA(VLOOKUP(A40,[1]Sheet1!$A$1:$B$101,1,FALSE),"na")</f>
        <v>na</v>
      </c>
      <c r="X40" s="8" t="s">
        <v>35</v>
      </c>
      <c r="Y40" s="9">
        <v>364</v>
      </c>
      <c r="Z40" s="9">
        <v>151.66666000000001</v>
      </c>
      <c r="AA40" s="9">
        <v>364</v>
      </c>
      <c r="AB40" s="9">
        <v>260</v>
      </c>
    </row>
    <row r="41" spans="1:28" x14ac:dyDescent="0.25">
      <c r="A41" s="8" t="s">
        <v>122</v>
      </c>
      <c r="B41" s="8" t="s">
        <v>123</v>
      </c>
      <c r="C41" s="8" t="s">
        <v>30</v>
      </c>
      <c r="D41" s="10">
        <v>1.3</v>
      </c>
      <c r="E41" s="10">
        <v>1</v>
      </c>
      <c r="F41" s="10">
        <v>0.30000000999999998</v>
      </c>
      <c r="G41" s="10">
        <v>1</v>
      </c>
      <c r="H41" s="10">
        <v>0.30000000999999998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0.30000000999999998</v>
      </c>
      <c r="O41" s="8" t="s">
        <v>31</v>
      </c>
      <c r="P41" s="8" t="s">
        <v>31</v>
      </c>
      <c r="Q41" s="8" t="s">
        <v>31</v>
      </c>
      <c r="R41" s="8" t="s">
        <v>31</v>
      </c>
      <c r="S41" s="8" t="s">
        <v>31</v>
      </c>
      <c r="T41" s="8" t="s">
        <v>31</v>
      </c>
      <c r="U41" s="8" t="s">
        <v>31</v>
      </c>
      <c r="V41" s="8" t="s">
        <v>31</v>
      </c>
      <c r="W41" s="8" t="str">
        <f>_xlfn.IFNA(VLOOKUP(A41,[1]Sheet1!$A$1:$B$101,1,FALSE),"na")</f>
        <v>na</v>
      </c>
      <c r="X41" s="8" t="s">
        <v>35</v>
      </c>
      <c r="Y41" s="9">
        <v>340</v>
      </c>
      <c r="Z41" s="9">
        <v>261.53847999999999</v>
      </c>
      <c r="AA41" s="9">
        <v>340</v>
      </c>
      <c r="AB41" s="9">
        <v>340</v>
      </c>
    </row>
    <row r="42" spans="1:28" x14ac:dyDescent="0.25">
      <c r="A42" s="8" t="s">
        <v>124</v>
      </c>
      <c r="B42" s="8" t="s">
        <v>125</v>
      </c>
      <c r="C42" s="8" t="s">
        <v>67</v>
      </c>
      <c r="D42" s="10">
        <v>5.4000000999999997</v>
      </c>
      <c r="E42" s="10">
        <v>4</v>
      </c>
      <c r="F42" s="10">
        <v>1.4</v>
      </c>
      <c r="G42" s="10">
        <v>4</v>
      </c>
      <c r="H42" s="10">
        <v>1.4</v>
      </c>
      <c r="I42" s="10">
        <v>0</v>
      </c>
      <c r="J42" s="10">
        <v>0</v>
      </c>
      <c r="K42" s="10">
        <v>0</v>
      </c>
      <c r="L42" s="10">
        <v>1</v>
      </c>
      <c r="M42" s="10">
        <v>0</v>
      </c>
      <c r="N42" s="10">
        <v>0.40000001000000002</v>
      </c>
      <c r="O42" s="8" t="s">
        <v>57</v>
      </c>
      <c r="P42" s="8" t="s">
        <v>31</v>
      </c>
      <c r="Q42" s="8" t="s">
        <v>31</v>
      </c>
      <c r="R42" s="8" t="s">
        <v>31</v>
      </c>
      <c r="S42" s="8" t="s">
        <v>31</v>
      </c>
      <c r="T42" s="8" t="s">
        <v>31</v>
      </c>
      <c r="U42" s="8" t="s">
        <v>31</v>
      </c>
      <c r="V42" s="8" t="s">
        <v>31</v>
      </c>
      <c r="W42" s="8" t="str">
        <f>_xlfn.IFNA(VLOOKUP(A42,[1]Sheet1!$A$1:$B$101,1,FALSE),"na")</f>
        <v>na</v>
      </c>
      <c r="X42" s="8" t="s">
        <v>35</v>
      </c>
      <c r="Y42" s="9">
        <v>1030</v>
      </c>
      <c r="Z42" s="9">
        <v>190.74073999999999</v>
      </c>
      <c r="AA42" s="9">
        <v>257.5</v>
      </c>
      <c r="AB42" s="9">
        <v>735.71429000000001</v>
      </c>
    </row>
    <row r="43" spans="1:28" x14ac:dyDescent="0.25">
      <c r="A43" s="8" t="s">
        <v>126</v>
      </c>
      <c r="B43" s="8" t="s">
        <v>127</v>
      </c>
      <c r="C43" s="8" t="s">
        <v>30</v>
      </c>
      <c r="D43" s="10">
        <v>2.5999998999999998</v>
      </c>
      <c r="E43" s="10">
        <v>1</v>
      </c>
      <c r="F43" s="10">
        <v>1.6</v>
      </c>
      <c r="G43" s="10">
        <v>1</v>
      </c>
      <c r="H43" s="10">
        <v>1.6</v>
      </c>
      <c r="I43" s="10">
        <v>0</v>
      </c>
      <c r="J43" s="10">
        <v>0</v>
      </c>
      <c r="K43" s="10">
        <v>0</v>
      </c>
      <c r="L43" s="10">
        <v>0.60000001999999997</v>
      </c>
      <c r="M43" s="10">
        <v>0</v>
      </c>
      <c r="N43" s="10">
        <v>0.60000001999999997</v>
      </c>
      <c r="O43" s="8" t="s">
        <v>31</v>
      </c>
      <c r="P43" s="8" t="s">
        <v>31</v>
      </c>
      <c r="Q43" s="8" t="s">
        <v>57</v>
      </c>
      <c r="R43" s="8" t="s">
        <v>31</v>
      </c>
      <c r="S43" s="8" t="s">
        <v>31</v>
      </c>
      <c r="T43" s="8" t="s">
        <v>31</v>
      </c>
      <c r="U43" s="8" t="s">
        <v>31</v>
      </c>
      <c r="V43" s="8" t="s">
        <v>31</v>
      </c>
      <c r="W43" s="8" t="str">
        <f>_xlfn.IFNA(VLOOKUP(A43,[1]Sheet1!$A$1:$B$101,1,FALSE),"na")</f>
        <v>na</v>
      </c>
      <c r="X43" s="8" t="s">
        <v>35</v>
      </c>
      <c r="Y43" s="9">
        <v>402</v>
      </c>
      <c r="Z43" s="9">
        <v>154.61538999999999</v>
      </c>
      <c r="AA43" s="9">
        <v>402</v>
      </c>
      <c r="AB43" s="9">
        <v>251.25</v>
      </c>
    </row>
    <row r="44" spans="1:28" x14ac:dyDescent="0.25">
      <c r="A44" s="8" t="s">
        <v>128</v>
      </c>
      <c r="B44" s="8" t="s">
        <v>129</v>
      </c>
      <c r="C44" s="8" t="s">
        <v>67</v>
      </c>
      <c r="D44" s="10">
        <v>2</v>
      </c>
      <c r="E44" s="10">
        <v>1</v>
      </c>
      <c r="F44" s="10">
        <v>1</v>
      </c>
      <c r="G44" s="10">
        <v>1</v>
      </c>
      <c r="H44" s="10">
        <v>1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8" t="s">
        <v>57</v>
      </c>
      <c r="P44" s="8" t="s">
        <v>31</v>
      </c>
      <c r="Q44" s="8" t="s">
        <v>31</v>
      </c>
      <c r="R44" s="8" t="s">
        <v>31</v>
      </c>
      <c r="S44" s="8" t="s">
        <v>31</v>
      </c>
      <c r="T44" s="8" t="s">
        <v>31</v>
      </c>
      <c r="U44" s="8" t="s">
        <v>31</v>
      </c>
      <c r="V44" s="8" t="s">
        <v>31</v>
      </c>
      <c r="W44" s="8" t="str">
        <f>_xlfn.IFNA(VLOOKUP(A44,[1]Sheet1!$A$1:$B$101,1,FALSE),"na")</f>
        <v>na</v>
      </c>
      <c r="X44" s="8" t="s">
        <v>35</v>
      </c>
      <c r="Y44" s="9">
        <v>425</v>
      </c>
      <c r="Z44" s="9">
        <v>212.5</v>
      </c>
      <c r="AA44" s="9">
        <v>425</v>
      </c>
      <c r="AB44" s="9">
        <v>425</v>
      </c>
    </row>
    <row r="45" spans="1:28" x14ac:dyDescent="0.25">
      <c r="A45" s="8" t="s">
        <v>130</v>
      </c>
      <c r="B45" s="8" t="s">
        <v>131</v>
      </c>
      <c r="C45" s="8" t="s">
        <v>30</v>
      </c>
      <c r="D45" s="10">
        <v>2.5999998999999998</v>
      </c>
      <c r="E45" s="10">
        <v>1</v>
      </c>
      <c r="F45" s="10">
        <v>1.6</v>
      </c>
      <c r="G45" s="10">
        <v>1</v>
      </c>
      <c r="H45" s="10">
        <v>1.6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0.60000001999999997</v>
      </c>
      <c r="O45" s="8" t="s">
        <v>31</v>
      </c>
      <c r="P45" s="8" t="s">
        <v>31</v>
      </c>
      <c r="Q45" s="8" t="s">
        <v>57</v>
      </c>
      <c r="R45" s="8" t="s">
        <v>31</v>
      </c>
      <c r="S45" s="8" t="s">
        <v>31</v>
      </c>
      <c r="T45" s="8" t="s">
        <v>31</v>
      </c>
      <c r="U45" s="8" t="s">
        <v>31</v>
      </c>
      <c r="V45" s="8" t="s">
        <v>31</v>
      </c>
      <c r="W45" s="8" t="str">
        <f>_xlfn.IFNA(VLOOKUP(A45,[1]Sheet1!$A$1:$B$101,1,FALSE),"na")</f>
        <v>na</v>
      </c>
      <c r="X45" s="8" t="s">
        <v>35</v>
      </c>
      <c r="Y45" s="9">
        <v>437</v>
      </c>
      <c r="Z45" s="9">
        <v>168.07693</v>
      </c>
      <c r="AA45" s="9">
        <v>437</v>
      </c>
      <c r="AB45" s="9">
        <v>273.125</v>
      </c>
    </row>
    <row r="46" spans="1:28" x14ac:dyDescent="0.25">
      <c r="A46" s="8" t="s">
        <v>132</v>
      </c>
      <c r="B46" s="8" t="s">
        <v>133</v>
      </c>
      <c r="C46" s="8" t="s">
        <v>30</v>
      </c>
      <c r="D46" s="10">
        <v>1.4</v>
      </c>
      <c r="E46" s="10">
        <v>0</v>
      </c>
      <c r="F46" s="10">
        <v>1.4</v>
      </c>
      <c r="G46" s="10">
        <v>0</v>
      </c>
      <c r="H46" s="10">
        <v>1.4</v>
      </c>
      <c r="I46" s="10">
        <v>0</v>
      </c>
      <c r="J46" s="10">
        <v>0</v>
      </c>
      <c r="K46" s="10">
        <v>0</v>
      </c>
      <c r="L46" s="10">
        <v>0.40000001000000002</v>
      </c>
      <c r="M46" s="10">
        <v>0</v>
      </c>
      <c r="N46" s="10">
        <v>0.40000001000000002</v>
      </c>
      <c r="O46" s="8" t="s">
        <v>31</v>
      </c>
      <c r="P46" s="8" t="s">
        <v>31</v>
      </c>
      <c r="Q46" s="8" t="s">
        <v>31</v>
      </c>
      <c r="R46" s="8" t="s">
        <v>31</v>
      </c>
      <c r="S46" s="8" t="s">
        <v>31</v>
      </c>
      <c r="T46" s="8" t="s">
        <v>31</v>
      </c>
      <c r="U46" s="8" t="s">
        <v>31</v>
      </c>
      <c r="V46" s="8" t="s">
        <v>31</v>
      </c>
      <c r="W46" s="8" t="str">
        <f>_xlfn.IFNA(VLOOKUP(A46,[1]Sheet1!$A$1:$B$101,1,FALSE),"na")</f>
        <v>na</v>
      </c>
      <c r="X46" s="8" t="s">
        <v>35</v>
      </c>
      <c r="Y46" s="9">
        <v>456</v>
      </c>
      <c r="Z46" s="9">
        <v>325.71429000000001</v>
      </c>
      <c r="AA46" s="9">
        <v>456</v>
      </c>
      <c r="AB46" s="9">
        <v>325.71429000000001</v>
      </c>
    </row>
    <row r="47" spans="1:28" x14ac:dyDescent="0.25">
      <c r="A47" s="8" t="s">
        <v>134</v>
      </c>
      <c r="B47" s="8" t="s">
        <v>135</v>
      </c>
      <c r="C47" s="8" t="s">
        <v>38</v>
      </c>
      <c r="D47" s="10">
        <v>2.2999999999999998</v>
      </c>
      <c r="E47" s="10">
        <v>1</v>
      </c>
      <c r="F47" s="10">
        <v>1.3</v>
      </c>
      <c r="G47" s="10">
        <v>1</v>
      </c>
      <c r="H47" s="10">
        <v>1.3</v>
      </c>
      <c r="I47" s="10">
        <v>0</v>
      </c>
      <c r="J47" s="10">
        <v>0</v>
      </c>
      <c r="K47" s="10">
        <v>0</v>
      </c>
      <c r="L47" s="10">
        <v>0.30000000999999998</v>
      </c>
      <c r="M47" s="10">
        <v>0</v>
      </c>
      <c r="N47" s="10">
        <v>0.30000000999999998</v>
      </c>
      <c r="O47" s="8" t="s">
        <v>31</v>
      </c>
      <c r="P47" s="8" t="s">
        <v>31</v>
      </c>
      <c r="Q47" s="8" t="s">
        <v>31</v>
      </c>
      <c r="R47" s="8" t="s">
        <v>31</v>
      </c>
      <c r="S47" s="8" t="s">
        <v>31</v>
      </c>
      <c r="T47" s="8" t="s">
        <v>31</v>
      </c>
      <c r="U47" s="8" t="s">
        <v>31</v>
      </c>
      <c r="V47" s="8" t="s">
        <v>31</v>
      </c>
      <c r="W47" s="8" t="str">
        <f>_xlfn.IFNA(VLOOKUP(A47,[1]Sheet1!$A$1:$B$101,1,FALSE),"na")</f>
        <v>na</v>
      </c>
      <c r="X47" s="8" t="s">
        <v>35</v>
      </c>
      <c r="Y47" s="9">
        <v>573</v>
      </c>
      <c r="Z47" s="9">
        <v>249.13045</v>
      </c>
      <c r="AA47" s="9">
        <v>573</v>
      </c>
      <c r="AB47" s="9">
        <v>440.76925999999997</v>
      </c>
    </row>
    <row r="48" spans="1:28" x14ac:dyDescent="0.25">
      <c r="A48" s="8" t="s">
        <v>136</v>
      </c>
      <c r="B48" s="8" t="s">
        <v>137</v>
      </c>
      <c r="C48" s="8" t="s">
        <v>30</v>
      </c>
      <c r="D48" s="10">
        <v>1.6</v>
      </c>
      <c r="E48" s="10">
        <v>1</v>
      </c>
      <c r="F48" s="10">
        <v>0.60000001999999997</v>
      </c>
      <c r="G48" s="10">
        <v>1</v>
      </c>
      <c r="H48" s="10">
        <v>0.60000001999999997</v>
      </c>
      <c r="I48" s="10">
        <v>0</v>
      </c>
      <c r="J48" s="10">
        <v>0</v>
      </c>
      <c r="K48" s="10">
        <v>0</v>
      </c>
      <c r="L48" s="10">
        <v>0.60000001999999997</v>
      </c>
      <c r="M48" s="10">
        <v>0</v>
      </c>
      <c r="N48" s="10">
        <v>0.60000001999999997</v>
      </c>
      <c r="O48" s="8" t="s">
        <v>31</v>
      </c>
      <c r="P48" s="8" t="s">
        <v>31</v>
      </c>
      <c r="Q48" s="8" t="s">
        <v>31</v>
      </c>
      <c r="R48" s="8" t="s">
        <v>31</v>
      </c>
      <c r="S48" s="8" t="s">
        <v>31</v>
      </c>
      <c r="T48" s="8" t="s">
        <v>31</v>
      </c>
      <c r="U48" s="8" t="s">
        <v>31</v>
      </c>
      <c r="V48" s="8" t="s">
        <v>31</v>
      </c>
      <c r="W48" s="8" t="str">
        <f>_xlfn.IFNA(VLOOKUP(A48,[1]Sheet1!$A$1:$B$101,1,FALSE),"na")</f>
        <v>na</v>
      </c>
      <c r="X48" s="8" t="s">
        <v>35</v>
      </c>
      <c r="Y48" s="9">
        <v>534</v>
      </c>
      <c r="Z48" s="9">
        <v>333.75</v>
      </c>
      <c r="AA48" s="9">
        <v>534</v>
      </c>
      <c r="AB48" s="9">
        <v>534</v>
      </c>
    </row>
    <row r="49" spans="1:28" x14ac:dyDescent="0.25">
      <c r="A49" s="8" t="s">
        <v>138</v>
      </c>
      <c r="B49" s="8" t="s">
        <v>139</v>
      </c>
      <c r="C49" s="8" t="s">
        <v>67</v>
      </c>
      <c r="D49" s="10">
        <v>2</v>
      </c>
      <c r="E49" s="10">
        <v>1</v>
      </c>
      <c r="F49" s="10">
        <v>1</v>
      </c>
      <c r="G49" s="10">
        <v>1</v>
      </c>
      <c r="H49" s="10">
        <v>1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8" t="s">
        <v>31</v>
      </c>
      <c r="P49" s="8" t="s">
        <v>31</v>
      </c>
      <c r="Q49" s="8" t="s">
        <v>31</v>
      </c>
      <c r="R49" s="8" t="s">
        <v>31</v>
      </c>
      <c r="S49" s="8" t="s">
        <v>31</v>
      </c>
      <c r="T49" s="8" t="s">
        <v>31</v>
      </c>
      <c r="U49" s="8" t="s">
        <v>31</v>
      </c>
      <c r="V49" s="8" t="s">
        <v>31</v>
      </c>
      <c r="W49" s="8" t="str">
        <f>_xlfn.IFNA(VLOOKUP(A49,[1]Sheet1!$A$1:$B$101,1,FALSE),"na")</f>
        <v>na</v>
      </c>
      <c r="X49" s="8" t="s">
        <v>35</v>
      </c>
      <c r="Y49" s="9">
        <v>261</v>
      </c>
      <c r="Z49" s="9">
        <v>130.5</v>
      </c>
      <c r="AA49" s="9">
        <v>261</v>
      </c>
      <c r="AB49" s="9">
        <v>261</v>
      </c>
    </row>
    <row r="50" spans="1:28" x14ac:dyDescent="0.25">
      <c r="A50" s="8" t="s">
        <v>140</v>
      </c>
      <c r="B50" s="8" t="s">
        <v>141</v>
      </c>
      <c r="C50" s="8" t="s">
        <v>62</v>
      </c>
      <c r="D50" s="10">
        <v>4.0999999000000003</v>
      </c>
      <c r="E50" s="10">
        <v>3</v>
      </c>
      <c r="F50" s="10">
        <v>1.1000000000000001</v>
      </c>
      <c r="G50" s="10">
        <v>3</v>
      </c>
      <c r="H50" s="10">
        <v>1.1000000000000001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0.1</v>
      </c>
      <c r="O50" s="8" t="s">
        <v>31</v>
      </c>
      <c r="P50" s="8" t="s">
        <v>31</v>
      </c>
      <c r="Q50" s="8" t="s">
        <v>31</v>
      </c>
      <c r="R50" s="8" t="s">
        <v>31</v>
      </c>
      <c r="S50" s="8" t="s">
        <v>31</v>
      </c>
      <c r="T50" s="8" t="s">
        <v>57</v>
      </c>
      <c r="U50" s="8" t="s">
        <v>31</v>
      </c>
      <c r="V50" s="8" t="s">
        <v>31</v>
      </c>
      <c r="W50" s="8" t="str">
        <f>_xlfn.IFNA(VLOOKUP(A50,[1]Sheet1!$A$1:$B$101,1,FALSE),"na")</f>
        <v>na</v>
      </c>
      <c r="X50" s="8" t="s">
        <v>35</v>
      </c>
      <c r="Y50" s="9">
        <v>360</v>
      </c>
      <c r="Z50" s="9">
        <v>87.804878000000002</v>
      </c>
      <c r="AA50" s="9">
        <v>120</v>
      </c>
      <c r="AB50" s="9">
        <v>327.27271000000002</v>
      </c>
    </row>
    <row r="51" spans="1:28" x14ac:dyDescent="0.25">
      <c r="A51" s="8" t="s">
        <v>142</v>
      </c>
      <c r="B51" s="8" t="s">
        <v>143</v>
      </c>
      <c r="C51" s="8" t="s">
        <v>62</v>
      </c>
      <c r="D51" s="10">
        <v>3.1333300999999998</v>
      </c>
      <c r="E51" s="10">
        <v>1</v>
      </c>
      <c r="F51" s="10">
        <v>2.1333300999999998</v>
      </c>
      <c r="G51" s="10">
        <v>1</v>
      </c>
      <c r="H51" s="10">
        <v>2.1333300999999998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0.13333</v>
      </c>
      <c r="O51" s="8" t="s">
        <v>31</v>
      </c>
      <c r="P51" s="8" t="s">
        <v>31</v>
      </c>
      <c r="Q51" s="8" t="s">
        <v>31</v>
      </c>
      <c r="R51" s="8" t="s">
        <v>31</v>
      </c>
      <c r="S51" s="8" t="s">
        <v>31</v>
      </c>
      <c r="T51" s="8" t="s">
        <v>31</v>
      </c>
      <c r="U51" s="8" t="s">
        <v>31</v>
      </c>
      <c r="V51" s="8" t="s">
        <v>31</v>
      </c>
      <c r="W51" s="8" t="str">
        <f>_xlfn.IFNA(VLOOKUP(A51,[1]Sheet1!$A$1:$B$101,1,FALSE),"na")</f>
        <v>na</v>
      </c>
      <c r="X51" s="8" t="s">
        <v>35</v>
      </c>
      <c r="Y51" s="9">
        <v>339</v>
      </c>
      <c r="Z51" s="9">
        <v>108.19159999999999</v>
      </c>
      <c r="AA51" s="9">
        <v>339</v>
      </c>
      <c r="AB51" s="9">
        <v>158.90648999999999</v>
      </c>
    </row>
    <row r="52" spans="1:28" x14ac:dyDescent="0.25">
      <c r="A52" s="8" t="s">
        <v>144</v>
      </c>
      <c r="B52" s="8" t="s">
        <v>145</v>
      </c>
      <c r="C52" s="8" t="s">
        <v>30</v>
      </c>
      <c r="D52" s="10">
        <v>3.2</v>
      </c>
      <c r="E52" s="10">
        <v>2</v>
      </c>
      <c r="F52" s="10">
        <v>1.2</v>
      </c>
      <c r="G52" s="10">
        <v>2</v>
      </c>
      <c r="H52" s="10">
        <v>1.2</v>
      </c>
      <c r="I52" s="10">
        <v>0</v>
      </c>
      <c r="J52" s="10">
        <v>0</v>
      </c>
      <c r="K52" s="10">
        <v>0</v>
      </c>
      <c r="L52" s="10">
        <v>0.2</v>
      </c>
      <c r="M52" s="10">
        <v>0</v>
      </c>
      <c r="N52" s="10">
        <v>0.2</v>
      </c>
      <c r="O52" s="8" t="s">
        <v>57</v>
      </c>
      <c r="P52" s="8" t="s">
        <v>31</v>
      </c>
      <c r="Q52" s="8" t="s">
        <v>31</v>
      </c>
      <c r="R52" s="8" t="s">
        <v>31</v>
      </c>
      <c r="S52" s="8" t="s">
        <v>31</v>
      </c>
      <c r="T52" s="8" t="s">
        <v>31</v>
      </c>
      <c r="U52" s="8" t="s">
        <v>31</v>
      </c>
      <c r="V52" s="8" t="s">
        <v>31</v>
      </c>
      <c r="W52" s="8" t="str">
        <f>_xlfn.IFNA(VLOOKUP(A52,[1]Sheet1!$A$1:$B$101,1,FALSE),"na")</f>
        <v>na</v>
      </c>
      <c r="X52" s="8" t="s">
        <v>35</v>
      </c>
      <c r="Y52" s="9">
        <v>288</v>
      </c>
      <c r="Z52" s="9">
        <v>90</v>
      </c>
      <c r="AA52" s="9">
        <v>144</v>
      </c>
      <c r="AB52" s="9">
        <v>239.99997999999999</v>
      </c>
    </row>
    <row r="53" spans="1:28" x14ac:dyDescent="0.25">
      <c r="A53" s="8" t="s">
        <v>146</v>
      </c>
      <c r="B53" s="8" t="s">
        <v>147</v>
      </c>
      <c r="C53" s="8" t="s">
        <v>30</v>
      </c>
      <c r="D53" s="10">
        <v>1.6</v>
      </c>
      <c r="E53" s="10">
        <v>1</v>
      </c>
      <c r="F53" s="10">
        <v>0.60000001999999997</v>
      </c>
      <c r="G53" s="10">
        <v>1</v>
      </c>
      <c r="H53" s="10">
        <v>0.60000001999999997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0.60000001999999997</v>
      </c>
      <c r="O53" s="8" t="s">
        <v>31</v>
      </c>
      <c r="P53" s="8" t="s">
        <v>31</v>
      </c>
      <c r="Q53" s="8" t="s">
        <v>31</v>
      </c>
      <c r="R53" s="8" t="s">
        <v>31</v>
      </c>
      <c r="S53" s="8" t="s">
        <v>31</v>
      </c>
      <c r="T53" s="8" t="s">
        <v>31</v>
      </c>
      <c r="U53" s="8" t="s">
        <v>31</v>
      </c>
      <c r="V53" s="8" t="s">
        <v>31</v>
      </c>
      <c r="W53" s="8" t="str">
        <f>_xlfn.IFNA(VLOOKUP(A53,[1]Sheet1!$A$1:$B$101,1,FALSE),"na")</f>
        <v>na</v>
      </c>
      <c r="X53" s="8" t="s">
        <v>35</v>
      </c>
      <c r="Y53" s="9">
        <v>319</v>
      </c>
      <c r="Z53" s="9">
        <v>199.375</v>
      </c>
      <c r="AA53" s="9">
        <v>319</v>
      </c>
      <c r="AB53" s="9">
        <v>319</v>
      </c>
    </row>
    <row r="54" spans="1:28" x14ac:dyDescent="0.25">
      <c r="A54" s="8" t="s">
        <v>148</v>
      </c>
      <c r="B54" s="8" t="s">
        <v>149</v>
      </c>
      <c r="C54" s="8" t="s">
        <v>30</v>
      </c>
      <c r="D54" s="10">
        <v>1.3</v>
      </c>
      <c r="E54" s="10">
        <v>1</v>
      </c>
      <c r="F54" s="10">
        <v>0.30000000999999998</v>
      </c>
      <c r="G54" s="10">
        <v>1</v>
      </c>
      <c r="H54" s="10">
        <v>0.30000000999999998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0.30000000999999998</v>
      </c>
      <c r="O54" s="8" t="s">
        <v>31</v>
      </c>
      <c r="P54" s="8" t="s">
        <v>31</v>
      </c>
      <c r="Q54" s="8" t="s">
        <v>31</v>
      </c>
      <c r="R54" s="8" t="s">
        <v>31</v>
      </c>
      <c r="S54" s="8" t="s">
        <v>31</v>
      </c>
      <c r="T54" s="8" t="s">
        <v>31</v>
      </c>
      <c r="U54" s="8" t="s">
        <v>31</v>
      </c>
      <c r="V54" s="8" t="s">
        <v>31</v>
      </c>
      <c r="W54" s="8" t="str">
        <f>_xlfn.IFNA(VLOOKUP(A54,[1]Sheet1!$A$1:$B$101,1,FALSE),"na")</f>
        <v>na</v>
      </c>
      <c r="X54" s="8" t="s">
        <v>35</v>
      </c>
      <c r="Y54" s="9">
        <v>604</v>
      </c>
      <c r="Z54" s="9">
        <v>464.61538999999999</v>
      </c>
      <c r="AA54" s="9">
        <v>604</v>
      </c>
      <c r="AB54" s="9">
        <v>604</v>
      </c>
    </row>
    <row r="55" spans="1:28" x14ac:dyDescent="0.25">
      <c r="A55" s="8" t="s">
        <v>150</v>
      </c>
      <c r="B55" s="8" t="s">
        <v>151</v>
      </c>
      <c r="C55" s="8" t="s">
        <v>67</v>
      </c>
      <c r="D55" s="10">
        <v>5.1999997999999996</v>
      </c>
      <c r="E55" s="10">
        <v>5</v>
      </c>
      <c r="F55" s="10">
        <v>0.2</v>
      </c>
      <c r="G55" s="10">
        <v>5</v>
      </c>
      <c r="H55" s="10">
        <v>0.2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0.2</v>
      </c>
      <c r="O55" s="8" t="s">
        <v>31</v>
      </c>
      <c r="P55" s="8" t="s">
        <v>31</v>
      </c>
      <c r="Q55" s="8" t="s">
        <v>31</v>
      </c>
      <c r="R55" s="8" t="s">
        <v>31</v>
      </c>
      <c r="S55" s="8" t="s">
        <v>31</v>
      </c>
      <c r="T55" s="8" t="s">
        <v>31</v>
      </c>
      <c r="U55" s="8" t="s">
        <v>31</v>
      </c>
      <c r="V55" s="8" t="s">
        <v>31</v>
      </c>
      <c r="W55" s="8" t="str">
        <f>_xlfn.IFNA(VLOOKUP(A55,[1]Sheet1!$A$1:$B$101,1,FALSE),"na")</f>
        <v>na</v>
      </c>
      <c r="X55" s="8" t="s">
        <v>35</v>
      </c>
      <c r="Y55" s="9">
        <v>943</v>
      </c>
      <c r="Z55" s="9">
        <v>181.34616</v>
      </c>
      <c r="AA55" s="9">
        <v>188.60001</v>
      </c>
      <c r="AB55" s="9">
        <v>943</v>
      </c>
    </row>
    <row r="56" spans="1:28" x14ac:dyDescent="0.25">
      <c r="A56" s="8" t="s">
        <v>152</v>
      </c>
      <c r="B56" s="8" t="s">
        <v>153</v>
      </c>
      <c r="C56" s="8" t="s">
        <v>67</v>
      </c>
      <c r="D56" s="10">
        <v>2.2999999999999998</v>
      </c>
      <c r="E56" s="10">
        <v>1</v>
      </c>
      <c r="F56" s="10">
        <v>1.3</v>
      </c>
      <c r="G56" s="10">
        <v>1</v>
      </c>
      <c r="H56" s="10">
        <v>1.3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0.30000000999999998</v>
      </c>
      <c r="O56" s="8" t="s">
        <v>57</v>
      </c>
      <c r="P56" s="8" t="s">
        <v>31</v>
      </c>
      <c r="Q56" s="8" t="s">
        <v>31</v>
      </c>
      <c r="R56" s="8" t="s">
        <v>31</v>
      </c>
      <c r="S56" s="8" t="s">
        <v>31</v>
      </c>
      <c r="T56" s="8" t="s">
        <v>31</v>
      </c>
      <c r="U56" s="8" t="s">
        <v>31</v>
      </c>
      <c r="V56" s="8" t="s">
        <v>31</v>
      </c>
      <c r="W56" s="8" t="str">
        <f>_xlfn.IFNA(VLOOKUP(A56,[1]Sheet1!$A$1:$B$101,1,FALSE),"na")</f>
        <v>na</v>
      </c>
      <c r="X56" s="8" t="s">
        <v>35</v>
      </c>
      <c r="Y56" s="9">
        <v>250</v>
      </c>
      <c r="Z56" s="9">
        <v>108.69566</v>
      </c>
      <c r="AA56" s="9">
        <v>250</v>
      </c>
      <c r="AB56" s="9">
        <v>192.30769000000001</v>
      </c>
    </row>
    <row r="57" spans="1:28" x14ac:dyDescent="0.25">
      <c r="A57" s="8" t="s">
        <v>154</v>
      </c>
      <c r="B57" s="8" t="s">
        <v>155</v>
      </c>
      <c r="C57" s="8" t="s">
        <v>30</v>
      </c>
      <c r="D57" s="10">
        <v>2</v>
      </c>
      <c r="E57" s="10">
        <v>1</v>
      </c>
      <c r="F57" s="10">
        <v>1</v>
      </c>
      <c r="G57" s="10">
        <v>1</v>
      </c>
      <c r="H57" s="10">
        <v>1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8" t="s">
        <v>31</v>
      </c>
      <c r="P57" s="8" t="s">
        <v>31</v>
      </c>
      <c r="Q57" s="8" t="s">
        <v>31</v>
      </c>
      <c r="R57" s="8" t="s">
        <v>31</v>
      </c>
      <c r="S57" s="8" t="s">
        <v>31</v>
      </c>
      <c r="T57" s="8" t="s">
        <v>31</v>
      </c>
      <c r="U57" s="8" t="s">
        <v>31</v>
      </c>
      <c r="V57" s="8" t="s">
        <v>31</v>
      </c>
      <c r="W57" s="8" t="str">
        <f>_xlfn.IFNA(VLOOKUP(A57,[1]Sheet1!$A$1:$B$101,1,FALSE),"na")</f>
        <v>na</v>
      </c>
      <c r="X57" s="8" t="s">
        <v>35</v>
      </c>
      <c r="Y57" s="9">
        <v>541</v>
      </c>
      <c r="Z57" s="9">
        <v>270.5</v>
      </c>
      <c r="AA57" s="9">
        <v>541</v>
      </c>
      <c r="AB57" s="9">
        <v>541</v>
      </c>
    </row>
    <row r="58" spans="1:28" x14ac:dyDescent="0.25">
      <c r="A58" s="8" t="s">
        <v>156</v>
      </c>
      <c r="B58" s="8" t="s">
        <v>157</v>
      </c>
      <c r="C58" s="8" t="s">
        <v>30</v>
      </c>
      <c r="D58" s="10">
        <v>2.4000001000000002</v>
      </c>
      <c r="E58" s="10">
        <v>2</v>
      </c>
      <c r="F58" s="10">
        <v>0.40000001000000002</v>
      </c>
      <c r="G58" s="10">
        <v>2</v>
      </c>
      <c r="H58" s="10">
        <v>0.40000001000000002</v>
      </c>
      <c r="I58" s="10">
        <v>0</v>
      </c>
      <c r="J58" s="10">
        <v>0</v>
      </c>
      <c r="K58" s="10">
        <v>0</v>
      </c>
      <c r="L58" s="10">
        <v>0.40000001000000002</v>
      </c>
      <c r="M58" s="10">
        <v>0</v>
      </c>
      <c r="N58" s="10">
        <v>0.40000001000000002</v>
      </c>
      <c r="O58" s="8" t="s">
        <v>31</v>
      </c>
      <c r="P58" s="8" t="s">
        <v>31</v>
      </c>
      <c r="Q58" s="8" t="s">
        <v>31</v>
      </c>
      <c r="R58" s="8" t="s">
        <v>31</v>
      </c>
      <c r="S58" s="8" t="s">
        <v>31</v>
      </c>
      <c r="T58" s="8" t="s">
        <v>31</v>
      </c>
      <c r="U58" s="8" t="s">
        <v>31</v>
      </c>
      <c r="V58" s="8" t="s">
        <v>31</v>
      </c>
      <c r="W58" s="8" t="str">
        <f>_xlfn.IFNA(VLOOKUP(A58,[1]Sheet1!$A$1:$B$101,1,FALSE),"na")</f>
        <v>na</v>
      </c>
      <c r="X58" s="8" t="s">
        <v>35</v>
      </c>
      <c r="Y58" s="9">
        <v>515</v>
      </c>
      <c r="Z58" s="9">
        <v>214.58332999999999</v>
      </c>
      <c r="AA58" s="9">
        <v>257.5</v>
      </c>
      <c r="AB58" s="9">
        <v>515</v>
      </c>
    </row>
    <row r="59" spans="1:28" x14ac:dyDescent="0.25">
      <c r="A59" s="8" t="s">
        <v>158</v>
      </c>
      <c r="B59" s="8" t="s">
        <v>159</v>
      </c>
      <c r="C59" s="8" t="s">
        <v>30</v>
      </c>
      <c r="D59" s="10">
        <v>1.2</v>
      </c>
      <c r="E59" s="10">
        <v>0</v>
      </c>
      <c r="F59" s="10">
        <v>1.2</v>
      </c>
      <c r="G59" s="10">
        <v>0</v>
      </c>
      <c r="H59" s="10">
        <v>1.2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0.2</v>
      </c>
      <c r="O59" s="8" t="s">
        <v>57</v>
      </c>
      <c r="P59" s="8" t="s">
        <v>31</v>
      </c>
      <c r="Q59" s="8" t="s">
        <v>31</v>
      </c>
      <c r="R59" s="8" t="s">
        <v>31</v>
      </c>
      <c r="S59" s="8" t="s">
        <v>31</v>
      </c>
      <c r="T59" s="8" t="s">
        <v>31</v>
      </c>
      <c r="U59" s="8" t="s">
        <v>31</v>
      </c>
      <c r="V59" s="8" t="s">
        <v>31</v>
      </c>
      <c r="W59" s="8" t="str">
        <f>_xlfn.IFNA(VLOOKUP(A59,[1]Sheet1!$A$1:$B$101,1,FALSE),"na")</f>
        <v>na</v>
      </c>
      <c r="X59" s="8" t="s">
        <v>35</v>
      </c>
      <c r="Y59" s="9">
        <v>314</v>
      </c>
      <c r="Z59" s="9">
        <v>261.66665999999998</v>
      </c>
      <c r="AA59" s="9">
        <v>314</v>
      </c>
      <c r="AB59" s="9">
        <v>261.66665999999998</v>
      </c>
    </row>
    <row r="60" spans="1:28" x14ac:dyDescent="0.25">
      <c r="A60" s="8" t="s">
        <v>160</v>
      </c>
      <c r="B60" s="8" t="s">
        <v>161</v>
      </c>
      <c r="C60" s="8" t="s">
        <v>38</v>
      </c>
      <c r="D60" s="10">
        <v>3.4000001000000002</v>
      </c>
      <c r="E60" s="10">
        <v>2.4000001000000002</v>
      </c>
      <c r="F60" s="10">
        <v>1</v>
      </c>
      <c r="G60" s="10">
        <v>2</v>
      </c>
      <c r="H60" s="10">
        <v>1</v>
      </c>
      <c r="I60" s="10">
        <v>0.40000001000000002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8" t="s">
        <v>57</v>
      </c>
      <c r="P60" s="8" t="s">
        <v>57</v>
      </c>
      <c r="Q60" s="8" t="s">
        <v>31</v>
      </c>
      <c r="R60" s="8" t="s">
        <v>31</v>
      </c>
      <c r="S60" s="8" t="s">
        <v>31</v>
      </c>
      <c r="T60" s="8" t="s">
        <v>31</v>
      </c>
      <c r="U60" s="8" t="s">
        <v>31</v>
      </c>
      <c r="V60" s="8" t="s">
        <v>31</v>
      </c>
      <c r="W60" s="8" t="str">
        <f>_xlfn.IFNA(VLOOKUP(A60,[1]Sheet1!$A$1:$B$101,1,FALSE),"na")</f>
        <v>na</v>
      </c>
      <c r="X60" s="8" t="s">
        <v>35</v>
      </c>
      <c r="Y60" s="9">
        <v>688</v>
      </c>
      <c r="Z60" s="9">
        <v>202.35293999999999</v>
      </c>
      <c r="AA60" s="9">
        <v>286.66665999999998</v>
      </c>
      <c r="AB60" s="9">
        <v>688</v>
      </c>
    </row>
    <row r="61" spans="1:28" x14ac:dyDescent="0.25">
      <c r="A61" s="8" t="s">
        <v>162</v>
      </c>
      <c r="B61" s="8" t="s">
        <v>163</v>
      </c>
      <c r="C61" s="8" t="s">
        <v>38</v>
      </c>
      <c r="D61" s="10">
        <v>2.0999998999999998</v>
      </c>
      <c r="E61" s="10">
        <v>1</v>
      </c>
      <c r="F61" s="10">
        <v>1.1000000000000001</v>
      </c>
      <c r="G61" s="10">
        <v>1</v>
      </c>
      <c r="H61" s="10">
        <v>1.1000000000000001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0.1</v>
      </c>
      <c r="O61" s="8" t="s">
        <v>57</v>
      </c>
      <c r="P61" s="8" t="s">
        <v>31</v>
      </c>
      <c r="Q61" s="8" t="s">
        <v>31</v>
      </c>
      <c r="R61" s="8" t="s">
        <v>31</v>
      </c>
      <c r="S61" s="8" t="s">
        <v>31</v>
      </c>
      <c r="T61" s="8" t="s">
        <v>31</v>
      </c>
      <c r="U61" s="8" t="s">
        <v>31</v>
      </c>
      <c r="V61" s="8" t="s">
        <v>31</v>
      </c>
      <c r="W61" s="8" t="str">
        <f>_xlfn.IFNA(VLOOKUP(A61,[1]Sheet1!$A$1:$B$101,1,FALSE),"na")</f>
        <v>na</v>
      </c>
      <c r="X61" s="8" t="s">
        <v>35</v>
      </c>
      <c r="Y61" s="9">
        <v>335</v>
      </c>
      <c r="Z61" s="9">
        <v>159.52382</v>
      </c>
      <c r="AA61" s="9">
        <v>335</v>
      </c>
      <c r="AB61" s="9">
        <v>304.54543999999999</v>
      </c>
    </row>
    <row r="62" spans="1:28" x14ac:dyDescent="0.25">
      <c r="A62" s="8" t="s">
        <v>164</v>
      </c>
      <c r="B62" s="8" t="s">
        <v>165</v>
      </c>
      <c r="C62" s="8" t="s">
        <v>30</v>
      </c>
      <c r="D62" s="10">
        <v>1.8</v>
      </c>
      <c r="E62" s="10">
        <v>0</v>
      </c>
      <c r="F62" s="10">
        <v>1.8</v>
      </c>
      <c r="G62" s="10">
        <v>0</v>
      </c>
      <c r="H62" s="10">
        <v>1.8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0.80000000999999998</v>
      </c>
      <c r="O62" s="8" t="s">
        <v>31</v>
      </c>
      <c r="P62" s="8" t="s">
        <v>31</v>
      </c>
      <c r="Q62" s="8" t="s">
        <v>31</v>
      </c>
      <c r="R62" s="8" t="s">
        <v>31</v>
      </c>
      <c r="S62" s="8" t="s">
        <v>31</v>
      </c>
      <c r="T62" s="8" t="s">
        <v>31</v>
      </c>
      <c r="U62" s="8" t="s">
        <v>31</v>
      </c>
      <c r="V62" s="8" t="s">
        <v>31</v>
      </c>
      <c r="W62" s="8" t="str">
        <f>_xlfn.IFNA(VLOOKUP(A62,[1]Sheet1!$A$1:$B$101,1,FALSE),"na")</f>
        <v>na</v>
      </c>
      <c r="X62" s="8" t="s">
        <v>35</v>
      </c>
      <c r="Y62" s="9">
        <v>461</v>
      </c>
      <c r="Z62" s="9">
        <v>256.11111</v>
      </c>
      <c r="AA62" s="9">
        <v>461</v>
      </c>
      <c r="AB62" s="9">
        <v>256.11111</v>
      </c>
    </row>
    <row r="63" spans="1:28" x14ac:dyDescent="0.25">
      <c r="A63" s="8" t="s">
        <v>166</v>
      </c>
      <c r="B63" s="8" t="s">
        <v>167</v>
      </c>
      <c r="C63" s="8" t="s">
        <v>67</v>
      </c>
      <c r="D63" s="10">
        <v>2.2999999999999998</v>
      </c>
      <c r="E63" s="10">
        <v>1</v>
      </c>
      <c r="F63" s="10">
        <v>1.3</v>
      </c>
      <c r="G63" s="10">
        <v>1</v>
      </c>
      <c r="H63" s="10">
        <v>1.3</v>
      </c>
      <c r="I63" s="10">
        <v>0</v>
      </c>
      <c r="J63" s="10">
        <v>0</v>
      </c>
      <c r="K63" s="10">
        <v>0</v>
      </c>
      <c r="L63" s="10">
        <v>1</v>
      </c>
      <c r="M63" s="10">
        <v>0</v>
      </c>
      <c r="N63" s="10">
        <v>0.30000000999999998</v>
      </c>
      <c r="O63" s="8" t="s">
        <v>57</v>
      </c>
      <c r="P63" s="8" t="s">
        <v>31</v>
      </c>
      <c r="Q63" s="8" t="s">
        <v>31</v>
      </c>
      <c r="R63" s="8" t="s">
        <v>31</v>
      </c>
      <c r="S63" s="8" t="s">
        <v>31</v>
      </c>
      <c r="T63" s="8" t="s">
        <v>31</v>
      </c>
      <c r="U63" s="8" t="s">
        <v>31</v>
      </c>
      <c r="V63" s="8" t="s">
        <v>31</v>
      </c>
      <c r="W63" s="8" t="str">
        <f>_xlfn.IFNA(VLOOKUP(A63,[1]Sheet1!$A$1:$B$101,1,FALSE),"na")</f>
        <v>na</v>
      </c>
      <c r="X63" s="8" t="s">
        <v>35</v>
      </c>
      <c r="Y63" s="9">
        <v>378</v>
      </c>
      <c r="Z63" s="9">
        <v>164.34782000000001</v>
      </c>
      <c r="AA63" s="9">
        <v>378</v>
      </c>
      <c r="AB63" s="9">
        <v>290.76925999999997</v>
      </c>
    </row>
    <row r="64" spans="1:28" x14ac:dyDescent="0.25">
      <c r="A64" s="8" t="s">
        <v>168</v>
      </c>
      <c r="B64" s="8" t="s">
        <v>169</v>
      </c>
      <c r="C64" s="8" t="s">
        <v>80</v>
      </c>
      <c r="D64" s="10">
        <v>5.1999997999999996</v>
      </c>
      <c r="E64" s="10">
        <v>4</v>
      </c>
      <c r="F64" s="10">
        <v>1.2</v>
      </c>
      <c r="G64" s="10">
        <v>4</v>
      </c>
      <c r="H64" s="10">
        <v>1.2</v>
      </c>
      <c r="I64" s="10">
        <v>0</v>
      </c>
      <c r="J64" s="10">
        <v>0</v>
      </c>
      <c r="K64" s="10">
        <v>1</v>
      </c>
      <c r="L64" s="10">
        <v>0.2</v>
      </c>
      <c r="M64" s="10">
        <v>0</v>
      </c>
      <c r="N64" s="10">
        <v>0.2</v>
      </c>
      <c r="O64" s="8" t="s">
        <v>57</v>
      </c>
      <c r="P64" s="8" t="s">
        <v>31</v>
      </c>
      <c r="Q64" s="8" t="s">
        <v>31</v>
      </c>
      <c r="R64" s="8" t="s">
        <v>31</v>
      </c>
      <c r="S64" s="8" t="s">
        <v>31</v>
      </c>
      <c r="T64" s="8" t="s">
        <v>31</v>
      </c>
      <c r="U64" s="8" t="s">
        <v>31</v>
      </c>
      <c r="V64" s="8" t="s">
        <v>31</v>
      </c>
      <c r="W64" s="8" t="str">
        <f>_xlfn.IFNA(VLOOKUP(A64,[1]Sheet1!$A$1:$B$101,1,FALSE),"na")</f>
        <v>na</v>
      </c>
      <c r="X64" s="8" t="s">
        <v>35</v>
      </c>
      <c r="Y64" s="9">
        <v>849</v>
      </c>
      <c r="Z64" s="9">
        <v>163.26924</v>
      </c>
      <c r="AA64" s="9">
        <v>212.25</v>
      </c>
      <c r="AB64" s="9">
        <v>707.5</v>
      </c>
    </row>
    <row r="65" spans="1:28" x14ac:dyDescent="0.25">
      <c r="A65" s="8" t="s">
        <v>170</v>
      </c>
      <c r="B65" s="8" t="s">
        <v>171</v>
      </c>
      <c r="C65" s="8" t="s">
        <v>30</v>
      </c>
      <c r="D65" s="10">
        <v>1.4</v>
      </c>
      <c r="E65" s="10">
        <v>0</v>
      </c>
      <c r="F65" s="10">
        <v>1.4</v>
      </c>
      <c r="G65" s="10">
        <v>0</v>
      </c>
      <c r="H65" s="10">
        <v>1.4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0.40000001000000002</v>
      </c>
      <c r="O65" s="8" t="s">
        <v>31</v>
      </c>
      <c r="P65" s="8" t="s">
        <v>31</v>
      </c>
      <c r="Q65" s="8" t="s">
        <v>31</v>
      </c>
      <c r="R65" s="8" t="s">
        <v>31</v>
      </c>
      <c r="S65" s="8" t="s">
        <v>31</v>
      </c>
      <c r="T65" s="8" t="s">
        <v>31</v>
      </c>
      <c r="U65" s="8" t="s">
        <v>31</v>
      </c>
      <c r="V65" s="8" t="s">
        <v>31</v>
      </c>
      <c r="W65" s="8" t="str">
        <f>_xlfn.IFNA(VLOOKUP(A65,[1]Sheet1!$A$1:$B$101,1,FALSE),"na")</f>
        <v>na</v>
      </c>
      <c r="X65" s="8" t="s">
        <v>35</v>
      </c>
      <c r="Y65" s="9">
        <v>350</v>
      </c>
      <c r="Z65" s="9">
        <v>250</v>
      </c>
      <c r="AA65" s="9">
        <v>350</v>
      </c>
      <c r="AB65" s="9">
        <v>250</v>
      </c>
    </row>
    <row r="66" spans="1:28" x14ac:dyDescent="0.25">
      <c r="A66" s="8" t="s">
        <v>172</v>
      </c>
      <c r="B66" s="8" t="s">
        <v>173</v>
      </c>
      <c r="C66" s="8" t="s">
        <v>38</v>
      </c>
      <c r="D66" s="10">
        <v>2.9000001000000002</v>
      </c>
      <c r="E66" s="10">
        <v>2</v>
      </c>
      <c r="F66" s="10">
        <v>0.89999998000000003</v>
      </c>
      <c r="G66" s="10">
        <v>2</v>
      </c>
      <c r="H66" s="10">
        <v>0.40000001000000002</v>
      </c>
      <c r="I66" s="10">
        <v>0</v>
      </c>
      <c r="J66" s="10">
        <v>0.5</v>
      </c>
      <c r="K66" s="10">
        <v>0</v>
      </c>
      <c r="L66" s="10">
        <v>0</v>
      </c>
      <c r="M66" s="10">
        <v>0</v>
      </c>
      <c r="N66" s="10">
        <v>0.40000001000000002</v>
      </c>
      <c r="O66" s="8" t="s">
        <v>31</v>
      </c>
      <c r="P66" s="8" t="s">
        <v>31</v>
      </c>
      <c r="Q66" s="8" t="s">
        <v>31</v>
      </c>
      <c r="R66" s="8" t="s">
        <v>31</v>
      </c>
      <c r="S66" s="8" t="s">
        <v>31</v>
      </c>
      <c r="T66" s="8" t="s">
        <v>31</v>
      </c>
      <c r="U66" s="8" t="s">
        <v>31</v>
      </c>
      <c r="V66" s="8" t="s">
        <v>31</v>
      </c>
      <c r="W66" s="8" t="str">
        <f>_xlfn.IFNA(VLOOKUP(A66,[1]Sheet1!$A$1:$B$101,1,FALSE),"na")</f>
        <v>na</v>
      </c>
      <c r="X66" s="8" t="s">
        <v>35</v>
      </c>
      <c r="Y66" s="9">
        <v>792</v>
      </c>
      <c r="Z66" s="9">
        <v>273.10342000000003</v>
      </c>
      <c r="AA66" s="9">
        <v>396</v>
      </c>
      <c r="AB66" s="9">
        <v>792</v>
      </c>
    </row>
    <row r="67" spans="1:28" x14ac:dyDescent="0.25">
      <c r="A67" s="8" t="s">
        <v>174</v>
      </c>
      <c r="B67" s="8" t="s">
        <v>175</v>
      </c>
      <c r="C67" s="8" t="s">
        <v>62</v>
      </c>
      <c r="D67" s="10">
        <v>3.0999998999999998</v>
      </c>
      <c r="E67" s="10">
        <v>2</v>
      </c>
      <c r="F67" s="10">
        <v>1.1000000000000001</v>
      </c>
      <c r="G67" s="10">
        <v>2</v>
      </c>
      <c r="H67" s="10">
        <v>1.1000000000000001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0.1</v>
      </c>
      <c r="O67" s="8" t="s">
        <v>31</v>
      </c>
      <c r="P67" s="8" t="s">
        <v>57</v>
      </c>
      <c r="Q67" s="8" t="s">
        <v>31</v>
      </c>
      <c r="R67" s="8" t="s">
        <v>31</v>
      </c>
      <c r="S67" s="8" t="s">
        <v>31</v>
      </c>
      <c r="T67" s="8" t="s">
        <v>31</v>
      </c>
      <c r="U67" s="8" t="s">
        <v>31</v>
      </c>
      <c r="V67" s="8" t="s">
        <v>31</v>
      </c>
      <c r="W67" s="8" t="str">
        <f>_xlfn.IFNA(VLOOKUP(A67,[1]Sheet1!$A$1:$B$101,1,FALSE),"na")</f>
        <v>na</v>
      </c>
      <c r="X67" s="8" t="s">
        <v>35</v>
      </c>
      <c r="Y67" s="9">
        <v>389</v>
      </c>
      <c r="Z67" s="9">
        <v>125.48387</v>
      </c>
      <c r="AA67" s="9">
        <v>194.5</v>
      </c>
      <c r="AB67" s="9">
        <v>353.63634999999999</v>
      </c>
    </row>
    <row r="68" spans="1:28" x14ac:dyDescent="0.25">
      <c r="A68" s="8" t="s">
        <v>176</v>
      </c>
      <c r="B68" s="8" t="s">
        <v>177</v>
      </c>
      <c r="C68" s="8" t="s">
        <v>30</v>
      </c>
      <c r="D68" s="10">
        <v>1.2</v>
      </c>
      <c r="E68" s="10">
        <v>0</v>
      </c>
      <c r="F68" s="10">
        <v>1.2</v>
      </c>
      <c r="G68" s="10">
        <v>0</v>
      </c>
      <c r="H68" s="10">
        <v>1.2</v>
      </c>
      <c r="I68" s="10">
        <v>0</v>
      </c>
      <c r="J68" s="10">
        <v>0</v>
      </c>
      <c r="K68" s="10">
        <v>0</v>
      </c>
      <c r="L68" s="10">
        <v>0.1</v>
      </c>
      <c r="M68" s="10">
        <v>0</v>
      </c>
      <c r="N68" s="10">
        <v>0.2</v>
      </c>
      <c r="O68" s="8" t="s">
        <v>31</v>
      </c>
      <c r="P68" s="8" t="s">
        <v>31</v>
      </c>
      <c r="Q68" s="8" t="s">
        <v>31</v>
      </c>
      <c r="R68" s="8" t="s">
        <v>31</v>
      </c>
      <c r="S68" s="8" t="s">
        <v>31</v>
      </c>
      <c r="T68" s="8" t="s">
        <v>31</v>
      </c>
      <c r="U68" s="8" t="s">
        <v>31</v>
      </c>
      <c r="V68" s="8" t="s">
        <v>31</v>
      </c>
      <c r="W68" s="8" t="str">
        <f>_xlfn.IFNA(VLOOKUP(A68,[1]Sheet1!$A$1:$B$101,1,FALSE),"na")</f>
        <v>na</v>
      </c>
      <c r="X68" s="8" t="s">
        <v>35</v>
      </c>
      <c r="Y68" s="9">
        <v>503</v>
      </c>
      <c r="Z68" s="9">
        <v>419.16665999999998</v>
      </c>
      <c r="AA68" s="9">
        <v>503</v>
      </c>
      <c r="AB68" s="9">
        <v>419.16665999999998</v>
      </c>
    </row>
    <row r="69" spans="1:28" x14ac:dyDescent="0.25">
      <c r="A69" s="8" t="s">
        <v>178</v>
      </c>
      <c r="B69" s="8" t="s">
        <v>179</v>
      </c>
      <c r="C69" s="8" t="s">
        <v>62</v>
      </c>
      <c r="D69" s="10">
        <v>4.0999999000000003</v>
      </c>
      <c r="E69" s="10">
        <v>2</v>
      </c>
      <c r="F69" s="10">
        <v>2.0999998999999998</v>
      </c>
      <c r="G69" s="10">
        <v>2</v>
      </c>
      <c r="H69" s="10">
        <v>2.0999998999999998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0.1</v>
      </c>
      <c r="O69" s="8" t="s">
        <v>31</v>
      </c>
      <c r="P69" s="8" t="s">
        <v>31</v>
      </c>
      <c r="Q69" s="8" t="s">
        <v>31</v>
      </c>
      <c r="R69" s="8" t="s">
        <v>31</v>
      </c>
      <c r="S69" s="8" t="s">
        <v>31</v>
      </c>
      <c r="T69" s="8" t="s">
        <v>31</v>
      </c>
      <c r="U69" s="8" t="s">
        <v>31</v>
      </c>
      <c r="V69" s="8" t="s">
        <v>31</v>
      </c>
      <c r="W69" s="8" t="str">
        <f>_xlfn.IFNA(VLOOKUP(A69,[1]Sheet1!$A$1:$B$101,1,FALSE),"na")</f>
        <v>na</v>
      </c>
      <c r="X69" s="8" t="s">
        <v>35</v>
      </c>
      <c r="Y69" s="9">
        <v>537</v>
      </c>
      <c r="Z69" s="9">
        <v>130.97561999999999</v>
      </c>
      <c r="AA69" s="9">
        <v>268.5</v>
      </c>
      <c r="AB69" s="9">
        <v>255.71429000000001</v>
      </c>
    </row>
    <row r="70" spans="1:28" x14ac:dyDescent="0.25">
      <c r="A70" s="8" t="s">
        <v>180</v>
      </c>
      <c r="B70" s="8" t="s">
        <v>181</v>
      </c>
      <c r="C70" s="8" t="s">
        <v>62</v>
      </c>
      <c r="D70" s="10">
        <v>6.0285701999999999</v>
      </c>
      <c r="E70" s="10">
        <v>4</v>
      </c>
      <c r="F70" s="10">
        <v>2.0285698999999999</v>
      </c>
      <c r="G70" s="10">
        <v>4</v>
      </c>
      <c r="H70" s="10">
        <v>2.0285698999999999</v>
      </c>
      <c r="I70" s="10">
        <v>0</v>
      </c>
      <c r="J70" s="10">
        <v>0</v>
      </c>
      <c r="K70" s="10">
        <v>0</v>
      </c>
      <c r="L70" s="10">
        <v>1.0285701</v>
      </c>
      <c r="M70" s="10">
        <v>0</v>
      </c>
      <c r="N70" s="10">
        <v>2.8570000000000002E-2</v>
      </c>
      <c r="O70" s="8" t="s">
        <v>57</v>
      </c>
      <c r="P70" s="8" t="s">
        <v>31</v>
      </c>
      <c r="Q70" s="8" t="s">
        <v>31</v>
      </c>
      <c r="R70" s="8" t="s">
        <v>31</v>
      </c>
      <c r="S70" s="8" t="s">
        <v>31</v>
      </c>
      <c r="T70" s="8" t="s">
        <v>57</v>
      </c>
      <c r="U70" s="8" t="s">
        <v>31</v>
      </c>
      <c r="V70" s="8" t="s">
        <v>31</v>
      </c>
      <c r="W70" s="8" t="str">
        <f>_xlfn.IFNA(VLOOKUP(A70,[1]Sheet1!$A$1:$B$101,1,FALSE),"na")</f>
        <v>na</v>
      </c>
      <c r="X70" s="8" t="s">
        <v>35</v>
      </c>
      <c r="Y70" s="9">
        <v>485</v>
      </c>
      <c r="Z70" s="9">
        <v>80.450255999999996</v>
      </c>
      <c r="AA70" s="9">
        <v>121.25</v>
      </c>
      <c r="AB70" s="9">
        <v>239.08468999999999</v>
      </c>
    </row>
    <row r="71" spans="1:28" x14ac:dyDescent="0.25">
      <c r="A71" s="8" t="s">
        <v>182</v>
      </c>
      <c r="B71" s="8" t="s">
        <v>183</v>
      </c>
      <c r="C71" s="8" t="s">
        <v>67</v>
      </c>
      <c r="D71" s="10">
        <v>2.2999999999999998</v>
      </c>
      <c r="E71" s="10">
        <v>1</v>
      </c>
      <c r="F71" s="10">
        <v>1.3</v>
      </c>
      <c r="G71" s="10">
        <v>1</v>
      </c>
      <c r="H71" s="10">
        <v>1.3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0.30000000999999998</v>
      </c>
      <c r="O71" s="8" t="s">
        <v>57</v>
      </c>
      <c r="P71" s="8" t="s">
        <v>31</v>
      </c>
      <c r="Q71" s="8" t="s">
        <v>31</v>
      </c>
      <c r="R71" s="8" t="s">
        <v>31</v>
      </c>
      <c r="S71" s="8" t="s">
        <v>31</v>
      </c>
      <c r="T71" s="8" t="s">
        <v>31</v>
      </c>
      <c r="U71" s="8" t="s">
        <v>31</v>
      </c>
      <c r="V71" s="8" t="s">
        <v>31</v>
      </c>
      <c r="W71" s="8" t="str">
        <f>_xlfn.IFNA(VLOOKUP(A71,[1]Sheet1!$A$1:$B$101,1,FALSE),"na")</f>
        <v>na</v>
      </c>
      <c r="X71" s="8" t="s">
        <v>35</v>
      </c>
      <c r="Y71" s="9">
        <v>255</v>
      </c>
      <c r="Z71" s="9">
        <v>110.86957</v>
      </c>
      <c r="AA71" s="9">
        <v>255</v>
      </c>
      <c r="AB71" s="9">
        <v>196.15385000000001</v>
      </c>
    </row>
    <row r="72" spans="1:28" x14ac:dyDescent="0.25">
      <c r="A72" s="8" t="s">
        <v>184</v>
      </c>
      <c r="B72" s="8" t="s">
        <v>185</v>
      </c>
      <c r="C72" s="8" t="s">
        <v>30</v>
      </c>
      <c r="D72" s="10">
        <v>1.6</v>
      </c>
      <c r="E72" s="10">
        <v>1</v>
      </c>
      <c r="F72" s="10">
        <v>0.60000001999999997</v>
      </c>
      <c r="G72" s="10">
        <v>1</v>
      </c>
      <c r="H72" s="10">
        <v>0.60000001999999997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0.60000001999999997</v>
      </c>
      <c r="O72" s="8" t="s">
        <v>31</v>
      </c>
      <c r="P72" s="8" t="s">
        <v>31</v>
      </c>
      <c r="Q72" s="8" t="s">
        <v>31</v>
      </c>
      <c r="R72" s="8" t="s">
        <v>31</v>
      </c>
      <c r="S72" s="8" t="s">
        <v>31</v>
      </c>
      <c r="T72" s="8" t="s">
        <v>31</v>
      </c>
      <c r="U72" s="8" t="s">
        <v>31</v>
      </c>
      <c r="V72" s="8" t="s">
        <v>31</v>
      </c>
      <c r="W72" s="8" t="str">
        <f>_xlfn.IFNA(VLOOKUP(A72,[1]Sheet1!$A$1:$B$101,1,FALSE),"na")</f>
        <v>na</v>
      </c>
      <c r="X72" s="8" t="s">
        <v>35</v>
      </c>
      <c r="Y72" s="9">
        <v>445</v>
      </c>
      <c r="Z72" s="9">
        <v>278.125</v>
      </c>
      <c r="AA72" s="9">
        <v>445</v>
      </c>
      <c r="AB72" s="9">
        <v>445</v>
      </c>
    </row>
    <row r="73" spans="1:28" x14ac:dyDescent="0.25">
      <c r="A73" s="8" t="s">
        <v>186</v>
      </c>
      <c r="B73" s="8" t="s">
        <v>187</v>
      </c>
      <c r="C73" s="8" t="s">
        <v>62</v>
      </c>
      <c r="D73" s="10">
        <v>3.1199998999999998</v>
      </c>
      <c r="E73" s="10">
        <v>0</v>
      </c>
      <c r="F73" s="10">
        <v>3.1199998999999998</v>
      </c>
      <c r="G73" s="10">
        <v>0</v>
      </c>
      <c r="H73" s="10">
        <v>3.1199998999999998</v>
      </c>
      <c r="I73" s="10">
        <v>0</v>
      </c>
      <c r="J73" s="10">
        <v>0</v>
      </c>
      <c r="K73" s="10">
        <v>0</v>
      </c>
      <c r="L73" s="10">
        <v>0.12</v>
      </c>
      <c r="M73" s="10">
        <v>0</v>
      </c>
      <c r="N73" s="10">
        <v>0.12</v>
      </c>
      <c r="O73" s="8" t="s">
        <v>31</v>
      </c>
      <c r="P73" s="8" t="s">
        <v>31</v>
      </c>
      <c r="Q73" s="8" t="s">
        <v>31</v>
      </c>
      <c r="R73" s="8" t="s">
        <v>31</v>
      </c>
      <c r="S73" s="8" t="s">
        <v>31</v>
      </c>
      <c r="T73" s="8" t="s">
        <v>57</v>
      </c>
      <c r="U73" s="8" t="s">
        <v>31</v>
      </c>
      <c r="V73" s="8" t="s">
        <v>31</v>
      </c>
      <c r="W73" s="8" t="str">
        <f>_xlfn.IFNA(VLOOKUP(A73,[1]Sheet1!$A$1:$B$101,1,FALSE),"na")</f>
        <v>na</v>
      </c>
      <c r="X73" s="8" t="s">
        <v>35</v>
      </c>
      <c r="Y73" s="9">
        <v>367</v>
      </c>
      <c r="Z73" s="9">
        <v>117.62821</v>
      </c>
      <c r="AA73" s="9">
        <v>367</v>
      </c>
      <c r="AB73" s="9">
        <v>117.62821</v>
      </c>
    </row>
    <row r="74" spans="1:28" x14ac:dyDescent="0.25">
      <c r="A74" s="8" t="s">
        <v>188</v>
      </c>
      <c r="B74" s="8" t="s">
        <v>189</v>
      </c>
      <c r="C74" s="8" t="s">
        <v>62</v>
      </c>
      <c r="D74" s="10">
        <v>2.0285698999999999</v>
      </c>
      <c r="E74" s="10">
        <v>2</v>
      </c>
      <c r="F74" s="10">
        <v>2.8570000000000002E-2</v>
      </c>
      <c r="G74" s="10">
        <v>2</v>
      </c>
      <c r="H74" s="10">
        <v>2.8570000000000002E-2</v>
      </c>
      <c r="I74" s="10">
        <v>0</v>
      </c>
      <c r="J74" s="10">
        <v>0</v>
      </c>
      <c r="K74" s="10">
        <v>0</v>
      </c>
      <c r="L74" s="10">
        <v>2.8570000000000002E-2</v>
      </c>
      <c r="M74" s="10">
        <v>0</v>
      </c>
      <c r="N74" s="10">
        <v>2.8570000000000002E-2</v>
      </c>
      <c r="O74" s="8" t="s">
        <v>31</v>
      </c>
      <c r="P74" s="8" t="s">
        <v>31</v>
      </c>
      <c r="Q74" s="8" t="s">
        <v>31</v>
      </c>
      <c r="R74" s="8" t="s">
        <v>31</v>
      </c>
      <c r="S74" s="8" t="s">
        <v>31</v>
      </c>
      <c r="T74" s="8" t="s">
        <v>57</v>
      </c>
      <c r="U74" s="8" t="s">
        <v>57</v>
      </c>
      <c r="V74" s="8" t="s">
        <v>57</v>
      </c>
      <c r="W74" s="8" t="str">
        <f>_xlfn.IFNA(VLOOKUP(A74,[1]Sheet1!$A$1:$B$101,1,FALSE),"na")</f>
        <v>na</v>
      </c>
      <c r="X74" s="8" t="s">
        <v>51</v>
      </c>
      <c r="Y74" s="9">
        <v>235</v>
      </c>
      <c r="Z74" s="9">
        <v>115.84515</v>
      </c>
      <c r="AA74" s="9">
        <v>117.5</v>
      </c>
      <c r="AB74" s="9">
        <v>235</v>
      </c>
    </row>
    <row r="75" spans="1:28" x14ac:dyDescent="0.25">
      <c r="A75" s="8" t="s">
        <v>190</v>
      </c>
      <c r="B75" s="8" t="s">
        <v>191</v>
      </c>
      <c r="C75" s="8" t="s">
        <v>67</v>
      </c>
      <c r="D75" s="10">
        <v>3.2</v>
      </c>
      <c r="E75" s="10">
        <v>2</v>
      </c>
      <c r="F75" s="10">
        <v>1.2</v>
      </c>
      <c r="G75" s="10">
        <v>2</v>
      </c>
      <c r="H75" s="10">
        <v>1.2</v>
      </c>
      <c r="I75" s="10">
        <v>0</v>
      </c>
      <c r="J75" s="10">
        <v>0</v>
      </c>
      <c r="K75" s="10">
        <v>0</v>
      </c>
      <c r="L75" s="10">
        <v>0.2</v>
      </c>
      <c r="M75" s="10">
        <v>0</v>
      </c>
      <c r="N75" s="10">
        <v>0.2</v>
      </c>
      <c r="O75" s="8" t="s">
        <v>57</v>
      </c>
      <c r="P75" s="8" t="s">
        <v>31</v>
      </c>
      <c r="Q75" s="8" t="s">
        <v>31</v>
      </c>
      <c r="R75" s="8" t="s">
        <v>31</v>
      </c>
      <c r="S75" s="8" t="s">
        <v>31</v>
      </c>
      <c r="T75" s="8" t="s">
        <v>31</v>
      </c>
      <c r="U75" s="8" t="s">
        <v>31</v>
      </c>
      <c r="V75" s="8" t="s">
        <v>31</v>
      </c>
      <c r="W75" s="8" t="str">
        <f>_xlfn.IFNA(VLOOKUP(A75,[1]Sheet1!$A$1:$B$101,1,FALSE),"na")</f>
        <v>na</v>
      </c>
      <c r="X75" s="8" t="s">
        <v>35</v>
      </c>
      <c r="Y75" s="9">
        <v>297</v>
      </c>
      <c r="Z75" s="9">
        <v>92.8125</v>
      </c>
      <c r="AA75" s="9">
        <v>148.5</v>
      </c>
      <c r="AB75" s="9">
        <v>247.49997999999999</v>
      </c>
    </row>
    <row r="76" spans="1:28" x14ac:dyDescent="0.25">
      <c r="A76" s="8" t="s">
        <v>192</v>
      </c>
      <c r="B76" s="8" t="s">
        <v>193</v>
      </c>
      <c r="C76" s="8" t="s">
        <v>62</v>
      </c>
      <c r="D76" s="10">
        <v>5</v>
      </c>
      <c r="E76" s="10">
        <v>3</v>
      </c>
      <c r="F76" s="10">
        <v>2</v>
      </c>
      <c r="G76" s="10">
        <v>3</v>
      </c>
      <c r="H76" s="10">
        <v>2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8" t="s">
        <v>31</v>
      </c>
      <c r="P76" s="8" t="s">
        <v>31</v>
      </c>
      <c r="Q76" s="8" t="s">
        <v>31</v>
      </c>
      <c r="R76" s="8" t="s">
        <v>31</v>
      </c>
      <c r="S76" s="8" t="s">
        <v>31</v>
      </c>
      <c r="T76" s="8" t="s">
        <v>31</v>
      </c>
      <c r="U76" s="8" t="s">
        <v>31</v>
      </c>
      <c r="V76" s="8" t="s">
        <v>31</v>
      </c>
      <c r="W76" s="8" t="str">
        <f>_xlfn.IFNA(VLOOKUP(A76,[1]Sheet1!$A$1:$B$101,1,FALSE),"na")</f>
        <v>na</v>
      </c>
      <c r="X76" s="8" t="s">
        <v>35</v>
      </c>
      <c r="Y76" s="9">
        <v>498</v>
      </c>
      <c r="Z76" s="9">
        <v>99.599997999999999</v>
      </c>
      <c r="AA76" s="9">
        <v>166</v>
      </c>
      <c r="AB76" s="9">
        <v>249</v>
      </c>
    </row>
    <row r="77" spans="1:28" x14ac:dyDescent="0.25">
      <c r="A77" s="8" t="s">
        <v>194</v>
      </c>
      <c r="B77" s="8" t="s">
        <v>195</v>
      </c>
      <c r="C77" s="8" t="s">
        <v>62</v>
      </c>
      <c r="D77" s="10">
        <v>3.0285698999999999</v>
      </c>
      <c r="E77" s="10">
        <v>2</v>
      </c>
      <c r="F77" s="10">
        <v>1.0285701</v>
      </c>
      <c r="G77" s="10">
        <v>2</v>
      </c>
      <c r="H77" s="10">
        <v>1.0285701</v>
      </c>
      <c r="I77" s="10">
        <v>0</v>
      </c>
      <c r="J77" s="10">
        <v>0</v>
      </c>
      <c r="K77" s="10">
        <v>0</v>
      </c>
      <c r="L77" s="10">
        <v>2.8570000000000002E-2</v>
      </c>
      <c r="M77" s="10">
        <v>0</v>
      </c>
      <c r="N77" s="10">
        <v>2.8570000000000002E-2</v>
      </c>
      <c r="O77" s="8" t="s">
        <v>31</v>
      </c>
      <c r="P77" s="8" t="s">
        <v>31</v>
      </c>
      <c r="Q77" s="8" t="s">
        <v>31</v>
      </c>
      <c r="R77" s="8" t="s">
        <v>31</v>
      </c>
      <c r="S77" s="8" t="s">
        <v>31</v>
      </c>
      <c r="T77" s="8" t="s">
        <v>31</v>
      </c>
      <c r="U77" s="8" t="s">
        <v>31</v>
      </c>
      <c r="V77" s="8" t="s">
        <v>31</v>
      </c>
      <c r="W77" s="8" t="str">
        <f>_xlfn.IFNA(VLOOKUP(A77,[1]Sheet1!$A$1:$B$101,1,FALSE),"na")</f>
        <v>na</v>
      </c>
      <c r="X77" s="8" t="s">
        <v>35</v>
      </c>
      <c r="Y77" s="9">
        <v>199</v>
      </c>
      <c r="Z77" s="9">
        <v>65.707581000000005</v>
      </c>
      <c r="AA77" s="9">
        <v>99.5</v>
      </c>
      <c r="AB77" s="9">
        <v>193.47246999999999</v>
      </c>
    </row>
    <row r="78" spans="1:28" x14ac:dyDescent="0.25">
      <c r="A78" s="8" t="s">
        <v>196</v>
      </c>
      <c r="B78" s="8" t="s">
        <v>197</v>
      </c>
      <c r="C78" s="8" t="s">
        <v>80</v>
      </c>
      <c r="D78" s="10">
        <v>5.0285701999999999</v>
      </c>
      <c r="E78" s="10">
        <v>2</v>
      </c>
      <c r="F78" s="10">
        <v>3.0285698999999999</v>
      </c>
      <c r="G78" s="10">
        <v>2</v>
      </c>
      <c r="H78" s="10">
        <v>3.0285698999999999</v>
      </c>
      <c r="I78" s="10">
        <v>0</v>
      </c>
      <c r="J78" s="10">
        <v>0</v>
      </c>
      <c r="K78" s="10">
        <v>0</v>
      </c>
      <c r="L78" s="10">
        <v>2.8570000000000002E-2</v>
      </c>
      <c r="M78" s="10">
        <v>0</v>
      </c>
      <c r="N78" s="10">
        <v>2.8570000000000002E-2</v>
      </c>
      <c r="O78" s="8" t="s">
        <v>31</v>
      </c>
      <c r="P78" s="8" t="s">
        <v>57</v>
      </c>
      <c r="Q78" s="8" t="s">
        <v>31</v>
      </c>
      <c r="R78" s="8" t="s">
        <v>31</v>
      </c>
      <c r="S78" s="8" t="s">
        <v>31</v>
      </c>
      <c r="T78" s="8" t="s">
        <v>31</v>
      </c>
      <c r="U78" s="8" t="s">
        <v>31</v>
      </c>
      <c r="V78" s="8" t="s">
        <v>31</v>
      </c>
      <c r="W78" s="8" t="str">
        <f>_xlfn.IFNA(VLOOKUP(A78,[1]Sheet1!$A$1:$B$101,1,FALSE),"na")</f>
        <v>na</v>
      </c>
      <c r="X78" s="8" t="s">
        <v>35</v>
      </c>
      <c r="Y78" s="9">
        <v>393</v>
      </c>
      <c r="Z78" s="9">
        <v>78.153426999999994</v>
      </c>
      <c r="AA78" s="9">
        <v>196.5</v>
      </c>
      <c r="AB78" s="9">
        <v>129.76421999999999</v>
      </c>
    </row>
    <row r="79" spans="1:28" x14ac:dyDescent="0.25">
      <c r="A79" s="8" t="s">
        <v>198</v>
      </c>
      <c r="B79" s="8" t="s">
        <v>199</v>
      </c>
      <c r="C79" s="8" t="s">
        <v>62</v>
      </c>
      <c r="D79" s="10">
        <v>2.1199998999999998</v>
      </c>
      <c r="E79" s="10">
        <v>1</v>
      </c>
      <c r="F79" s="10">
        <v>1.1200000000000001</v>
      </c>
      <c r="G79" s="10">
        <v>1</v>
      </c>
      <c r="H79" s="10">
        <v>1.1200000000000001</v>
      </c>
      <c r="I79" s="10">
        <v>0</v>
      </c>
      <c r="J79" s="10">
        <v>0</v>
      </c>
      <c r="K79" s="10">
        <v>0</v>
      </c>
      <c r="L79" s="10">
        <v>0.12</v>
      </c>
      <c r="M79" s="10">
        <v>0</v>
      </c>
      <c r="N79" s="10">
        <v>0.12</v>
      </c>
      <c r="O79" s="8" t="s">
        <v>31</v>
      </c>
      <c r="P79" s="8" t="s">
        <v>31</v>
      </c>
      <c r="Q79" s="8" t="s">
        <v>31</v>
      </c>
      <c r="R79" s="8" t="s">
        <v>31</v>
      </c>
      <c r="S79" s="8" t="s">
        <v>31</v>
      </c>
      <c r="T79" s="8" t="s">
        <v>57</v>
      </c>
      <c r="U79" s="8" t="s">
        <v>31</v>
      </c>
      <c r="V79" s="8" t="s">
        <v>31</v>
      </c>
      <c r="W79" s="8" t="str">
        <f>_xlfn.IFNA(VLOOKUP(A79,[1]Sheet1!$A$1:$B$101,1,FALSE),"na")</f>
        <v>na</v>
      </c>
      <c r="X79" s="8" t="s">
        <v>35</v>
      </c>
      <c r="Y79" s="9">
        <v>258</v>
      </c>
      <c r="Z79" s="9">
        <v>121.69812</v>
      </c>
      <c r="AA79" s="9">
        <v>258</v>
      </c>
      <c r="AB79" s="9">
        <v>230.35714999999999</v>
      </c>
    </row>
    <row r="80" spans="1:28" x14ac:dyDescent="0.25">
      <c r="A80" s="8" t="s">
        <v>200</v>
      </c>
      <c r="B80" s="8" t="s">
        <v>201</v>
      </c>
      <c r="C80" s="8" t="s">
        <v>62</v>
      </c>
      <c r="D80" s="10">
        <v>3.1199998999999998</v>
      </c>
      <c r="E80" s="10">
        <v>2</v>
      </c>
      <c r="F80" s="10">
        <v>1.1200000000000001</v>
      </c>
      <c r="G80" s="10">
        <v>2</v>
      </c>
      <c r="H80" s="10">
        <v>1.1200000000000001</v>
      </c>
      <c r="I80" s="10">
        <v>0</v>
      </c>
      <c r="J80" s="10">
        <v>0</v>
      </c>
      <c r="K80" s="10">
        <v>1</v>
      </c>
      <c r="L80" s="10">
        <v>0.12</v>
      </c>
      <c r="M80" s="10">
        <v>0</v>
      </c>
      <c r="N80" s="10">
        <v>0.12</v>
      </c>
      <c r="O80" s="8" t="s">
        <v>57</v>
      </c>
      <c r="P80" s="8" t="s">
        <v>31</v>
      </c>
      <c r="Q80" s="8" t="s">
        <v>31</v>
      </c>
      <c r="R80" s="8" t="s">
        <v>31</v>
      </c>
      <c r="S80" s="8" t="s">
        <v>31</v>
      </c>
      <c r="T80" s="8" t="s">
        <v>31</v>
      </c>
      <c r="U80" s="8" t="s">
        <v>31</v>
      </c>
      <c r="V80" s="8" t="s">
        <v>31</v>
      </c>
      <c r="W80" s="8" t="str">
        <f>_xlfn.IFNA(VLOOKUP(A80,[1]Sheet1!$A$1:$B$101,1,FALSE),"na")</f>
        <v>na</v>
      </c>
      <c r="X80" s="8" t="s">
        <v>35</v>
      </c>
      <c r="Y80" s="9">
        <v>263</v>
      </c>
      <c r="Z80" s="9">
        <v>84.294876000000002</v>
      </c>
      <c r="AA80" s="9">
        <v>131.5</v>
      </c>
      <c r="AB80" s="9">
        <v>234.82142999999999</v>
      </c>
    </row>
    <row r="81" spans="1:28" x14ac:dyDescent="0.25">
      <c r="A81" s="8" t="s">
        <v>202</v>
      </c>
      <c r="B81" s="8" t="s">
        <v>203</v>
      </c>
      <c r="C81" s="8" t="s">
        <v>67</v>
      </c>
      <c r="D81" s="10">
        <v>4.1999997999999996</v>
      </c>
      <c r="E81" s="10">
        <v>2</v>
      </c>
      <c r="F81" s="10">
        <v>2.2000000000000002</v>
      </c>
      <c r="G81" s="10">
        <v>2</v>
      </c>
      <c r="H81" s="10">
        <v>2.2000000000000002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0.2</v>
      </c>
      <c r="O81" s="8" t="s">
        <v>57</v>
      </c>
      <c r="P81" s="8" t="s">
        <v>31</v>
      </c>
      <c r="Q81" s="8" t="s">
        <v>31</v>
      </c>
      <c r="R81" s="8" t="s">
        <v>31</v>
      </c>
      <c r="S81" s="8" t="s">
        <v>31</v>
      </c>
      <c r="T81" s="8" t="s">
        <v>31</v>
      </c>
      <c r="U81" s="8" t="s">
        <v>31</v>
      </c>
      <c r="V81" s="8" t="s">
        <v>31</v>
      </c>
      <c r="W81" s="8" t="str">
        <f>_xlfn.IFNA(VLOOKUP(A81,[1]Sheet1!$A$1:$B$101,1,FALSE),"na")</f>
        <v>na</v>
      </c>
      <c r="X81" s="8" t="s">
        <v>35</v>
      </c>
      <c r="Y81" s="9">
        <v>543</v>
      </c>
      <c r="Z81" s="9">
        <v>129.28572</v>
      </c>
      <c r="AA81" s="9">
        <v>271.5</v>
      </c>
      <c r="AB81" s="9">
        <v>246.81818000000001</v>
      </c>
    </row>
    <row r="82" spans="1:28" x14ac:dyDescent="0.25">
      <c r="A82" s="8" t="s">
        <v>204</v>
      </c>
      <c r="B82" s="8" t="s">
        <v>205</v>
      </c>
      <c r="C82" s="8" t="s">
        <v>62</v>
      </c>
      <c r="D82" s="10">
        <v>3.1666701000000002</v>
      </c>
      <c r="E82" s="10">
        <v>1</v>
      </c>
      <c r="F82" s="10">
        <v>2.1666701000000002</v>
      </c>
      <c r="G82" s="10">
        <v>1</v>
      </c>
      <c r="H82" s="10">
        <v>2.1666701000000002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0.16666998999999999</v>
      </c>
      <c r="O82" s="8" t="s">
        <v>31</v>
      </c>
      <c r="P82" s="8" t="s">
        <v>31</v>
      </c>
      <c r="Q82" s="8" t="s">
        <v>31</v>
      </c>
      <c r="R82" s="8" t="s">
        <v>31</v>
      </c>
      <c r="S82" s="8" t="s">
        <v>31</v>
      </c>
      <c r="T82" s="8" t="s">
        <v>31</v>
      </c>
      <c r="U82" s="8" t="s">
        <v>31</v>
      </c>
      <c r="V82" s="8" t="s">
        <v>31</v>
      </c>
      <c r="W82" s="8" t="str">
        <f>_xlfn.IFNA(VLOOKUP(A82,[1]Sheet1!$A$1:$B$101,1,FALSE),"na")</f>
        <v>na</v>
      </c>
      <c r="X82" s="8" t="s">
        <v>35</v>
      </c>
      <c r="Y82" s="9">
        <v>161</v>
      </c>
      <c r="Z82" s="9">
        <v>50.842049000000003</v>
      </c>
      <c r="AA82" s="9">
        <v>161</v>
      </c>
      <c r="AB82" s="9">
        <v>74.307570999999996</v>
      </c>
    </row>
    <row r="83" spans="1:28" x14ac:dyDescent="0.25">
      <c r="A83" s="8" t="s">
        <v>206</v>
      </c>
      <c r="B83" s="8" t="s">
        <v>207</v>
      </c>
      <c r="C83" s="8" t="s">
        <v>62</v>
      </c>
      <c r="D83" s="10">
        <v>2.2999999999999998</v>
      </c>
      <c r="E83" s="10">
        <v>1</v>
      </c>
      <c r="F83" s="10">
        <v>1.3</v>
      </c>
      <c r="G83" s="10">
        <v>1</v>
      </c>
      <c r="H83" s="10">
        <v>1.3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0.30000000999999998</v>
      </c>
      <c r="O83" s="8" t="s">
        <v>57</v>
      </c>
      <c r="P83" s="8" t="s">
        <v>31</v>
      </c>
      <c r="Q83" s="8" t="s">
        <v>31</v>
      </c>
      <c r="R83" s="8" t="s">
        <v>31</v>
      </c>
      <c r="S83" s="8" t="s">
        <v>31</v>
      </c>
      <c r="T83" s="8" t="s">
        <v>31</v>
      </c>
      <c r="U83" s="8" t="s">
        <v>31</v>
      </c>
      <c r="V83" s="8" t="s">
        <v>31</v>
      </c>
      <c r="W83" s="8" t="str">
        <f>_xlfn.IFNA(VLOOKUP(A83,[1]Sheet1!$A$1:$B$101,1,FALSE),"na")</f>
        <v>na</v>
      </c>
      <c r="X83" s="8" t="s">
        <v>35</v>
      </c>
      <c r="Y83" s="9">
        <v>125</v>
      </c>
      <c r="Z83" s="9">
        <v>54.347828</v>
      </c>
      <c r="AA83" s="9">
        <v>125</v>
      </c>
      <c r="AB83" s="9">
        <v>96.153846999999999</v>
      </c>
    </row>
    <row r="84" spans="1:28" x14ac:dyDescent="0.25">
      <c r="A84" s="8" t="s">
        <v>208</v>
      </c>
      <c r="B84" s="8" t="s">
        <v>209</v>
      </c>
      <c r="C84" s="8" t="s">
        <v>30</v>
      </c>
      <c r="D84" s="10">
        <v>1.1000000000000001</v>
      </c>
      <c r="E84" s="10">
        <v>1</v>
      </c>
      <c r="F84" s="10">
        <v>0.1</v>
      </c>
      <c r="G84" s="10">
        <v>1</v>
      </c>
      <c r="H84" s="10">
        <v>0.1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0.1</v>
      </c>
      <c r="O84" s="8" t="s">
        <v>31</v>
      </c>
      <c r="P84" s="8" t="s">
        <v>31</v>
      </c>
      <c r="Q84" s="8" t="s">
        <v>31</v>
      </c>
      <c r="R84" s="8" t="s">
        <v>31</v>
      </c>
      <c r="S84" s="8" t="s">
        <v>31</v>
      </c>
      <c r="T84" s="8" t="s">
        <v>31</v>
      </c>
      <c r="U84" s="8" t="s">
        <v>31</v>
      </c>
      <c r="V84" s="8" t="s">
        <v>31</v>
      </c>
      <c r="W84" s="8" t="str">
        <f>_xlfn.IFNA(VLOOKUP(A84,[1]Sheet1!$A$1:$B$101,1,FALSE),"na")</f>
        <v>na</v>
      </c>
      <c r="X84" s="8" t="s">
        <v>35</v>
      </c>
      <c r="Y84" s="9">
        <v>299</v>
      </c>
      <c r="Z84" s="9">
        <v>271.81817999999998</v>
      </c>
      <c r="AA84" s="9">
        <v>299</v>
      </c>
      <c r="AB84" s="9">
        <v>299</v>
      </c>
    </row>
    <row r="85" spans="1:28" x14ac:dyDescent="0.25">
      <c r="A85" s="8" t="s">
        <v>210</v>
      </c>
      <c r="B85" s="8" t="s">
        <v>211</v>
      </c>
      <c r="C85" s="8" t="s">
        <v>30</v>
      </c>
      <c r="D85" s="10">
        <v>2.4000001000000002</v>
      </c>
      <c r="E85" s="10">
        <v>1</v>
      </c>
      <c r="F85" s="10">
        <v>1.4</v>
      </c>
      <c r="G85" s="10">
        <v>1</v>
      </c>
      <c r="H85" s="10">
        <v>1.4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0.40000001000000002</v>
      </c>
      <c r="O85" s="8" t="s">
        <v>57</v>
      </c>
      <c r="P85" s="8" t="s">
        <v>31</v>
      </c>
      <c r="Q85" s="8" t="s">
        <v>31</v>
      </c>
      <c r="R85" s="8" t="s">
        <v>31</v>
      </c>
      <c r="S85" s="8" t="s">
        <v>31</v>
      </c>
      <c r="T85" s="8" t="s">
        <v>31</v>
      </c>
      <c r="U85" s="8" t="s">
        <v>31</v>
      </c>
      <c r="V85" s="8" t="s">
        <v>31</v>
      </c>
      <c r="W85" s="8" t="str">
        <f>_xlfn.IFNA(VLOOKUP(A85,[1]Sheet1!$A$1:$B$101,1,FALSE),"na")</f>
        <v>na</v>
      </c>
      <c r="X85" s="8" t="s">
        <v>35</v>
      </c>
      <c r="Y85" s="9">
        <v>307</v>
      </c>
      <c r="Z85" s="9">
        <v>127.91665999999999</v>
      </c>
      <c r="AA85" s="9">
        <v>307</v>
      </c>
      <c r="AB85" s="9">
        <v>219.28572</v>
      </c>
    </row>
    <row r="86" spans="1:28" x14ac:dyDescent="0.25">
      <c r="A86" s="8" t="s">
        <v>212</v>
      </c>
      <c r="B86" s="8" t="s">
        <v>213</v>
      </c>
      <c r="C86" s="8" t="s">
        <v>38</v>
      </c>
      <c r="D86" s="10">
        <v>2.0999998999999998</v>
      </c>
      <c r="E86" s="10">
        <v>1</v>
      </c>
      <c r="F86" s="10">
        <v>1.1000000000000001</v>
      </c>
      <c r="G86" s="10">
        <v>1</v>
      </c>
      <c r="H86" s="10">
        <v>1.1000000000000001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0.1</v>
      </c>
      <c r="O86" s="8" t="s">
        <v>31</v>
      </c>
      <c r="P86" s="8" t="s">
        <v>31</v>
      </c>
      <c r="Q86" s="8" t="s">
        <v>31</v>
      </c>
      <c r="R86" s="8" t="s">
        <v>31</v>
      </c>
      <c r="S86" s="8" t="s">
        <v>31</v>
      </c>
      <c r="T86" s="8" t="s">
        <v>31</v>
      </c>
      <c r="U86" s="8" t="s">
        <v>31</v>
      </c>
      <c r="V86" s="8" t="s">
        <v>31</v>
      </c>
      <c r="W86" s="8" t="str">
        <f>_xlfn.IFNA(VLOOKUP(A86,[1]Sheet1!$A$1:$B$101,1,FALSE),"na")</f>
        <v>na</v>
      </c>
      <c r="X86" s="8"/>
      <c r="Y86" s="9">
        <v>173</v>
      </c>
      <c r="Z86" s="9">
        <v>82.380959000000004</v>
      </c>
      <c r="AA86" s="9">
        <v>173</v>
      </c>
      <c r="AB86" s="9">
        <v>157.27271999999999</v>
      </c>
    </row>
    <row r="87" spans="1:28" x14ac:dyDescent="0.25">
      <c r="A87" s="8" t="s">
        <v>214</v>
      </c>
      <c r="B87" s="8" t="s">
        <v>215</v>
      </c>
      <c r="C87" s="8" t="s">
        <v>62</v>
      </c>
      <c r="D87" s="10">
        <v>4.1199998999999998</v>
      </c>
      <c r="E87" s="10">
        <v>3</v>
      </c>
      <c r="F87" s="10">
        <v>1.1200000000000001</v>
      </c>
      <c r="G87" s="10">
        <v>3</v>
      </c>
      <c r="H87" s="10">
        <v>1.1200000000000001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0.12</v>
      </c>
      <c r="O87" s="8" t="s">
        <v>57</v>
      </c>
      <c r="P87" s="8" t="s">
        <v>31</v>
      </c>
      <c r="Q87" s="8" t="s">
        <v>31</v>
      </c>
      <c r="R87" s="8" t="s">
        <v>31</v>
      </c>
      <c r="S87" s="8" t="s">
        <v>31</v>
      </c>
      <c r="T87" s="8" t="s">
        <v>57</v>
      </c>
      <c r="U87" s="8" t="s">
        <v>31</v>
      </c>
      <c r="V87" s="8" t="s">
        <v>31</v>
      </c>
      <c r="W87" s="8" t="str">
        <f>_xlfn.IFNA(VLOOKUP(A87,[1]Sheet1!$A$1:$B$101,1,FALSE),"na")</f>
        <v>na</v>
      </c>
      <c r="X87" s="8" t="s">
        <v>35</v>
      </c>
      <c r="Y87" s="9">
        <v>421</v>
      </c>
      <c r="Z87" s="9">
        <v>102.18447</v>
      </c>
      <c r="AA87" s="9">
        <v>140.33332999999999</v>
      </c>
      <c r="AB87" s="9">
        <v>375.89285000000001</v>
      </c>
    </row>
    <row r="88" spans="1:28" x14ac:dyDescent="0.25">
      <c r="A88" s="8" t="s">
        <v>216</v>
      </c>
      <c r="B88" s="8" t="s">
        <v>217</v>
      </c>
      <c r="C88" s="8" t="s">
        <v>62</v>
      </c>
      <c r="D88" s="10">
        <v>5.1999997999999996</v>
      </c>
      <c r="E88" s="10">
        <v>4</v>
      </c>
      <c r="F88" s="10">
        <v>1.2</v>
      </c>
      <c r="G88" s="10">
        <v>4</v>
      </c>
      <c r="H88" s="10">
        <v>1.2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0.2</v>
      </c>
      <c r="O88" s="8" t="s">
        <v>57</v>
      </c>
      <c r="P88" s="8" t="s">
        <v>31</v>
      </c>
      <c r="Q88" s="8" t="s">
        <v>31</v>
      </c>
      <c r="R88" s="8" t="s">
        <v>31</v>
      </c>
      <c r="S88" s="8" t="s">
        <v>31</v>
      </c>
      <c r="T88" s="8" t="s">
        <v>31</v>
      </c>
      <c r="U88" s="8" t="s">
        <v>31</v>
      </c>
      <c r="V88" s="8" t="s">
        <v>31</v>
      </c>
      <c r="W88" s="8" t="str">
        <f>_xlfn.IFNA(VLOOKUP(A88,[1]Sheet1!$A$1:$B$101,1,FALSE),"na")</f>
        <v>na</v>
      </c>
      <c r="X88" s="8" t="s">
        <v>35</v>
      </c>
      <c r="Y88" s="9">
        <v>446</v>
      </c>
      <c r="Z88" s="9">
        <v>85.769233999999997</v>
      </c>
      <c r="AA88" s="9">
        <v>111.5</v>
      </c>
      <c r="AB88" s="9">
        <v>371.66665999999998</v>
      </c>
    </row>
    <row r="89" spans="1:28" x14ac:dyDescent="0.25">
      <c r="A89" s="8" t="s">
        <v>218</v>
      </c>
      <c r="B89" s="8" t="s">
        <v>219</v>
      </c>
      <c r="C89" s="8" t="s">
        <v>62</v>
      </c>
      <c r="D89" s="10">
        <v>2.1666701000000002</v>
      </c>
      <c r="E89" s="10">
        <v>2</v>
      </c>
      <c r="F89" s="10">
        <v>0.16666998999999999</v>
      </c>
      <c r="G89" s="10">
        <v>2</v>
      </c>
      <c r="H89" s="10">
        <v>0.16666998999999999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0.16666998999999999</v>
      </c>
      <c r="O89" s="8" t="s">
        <v>31</v>
      </c>
      <c r="P89" s="8" t="s">
        <v>31</v>
      </c>
      <c r="Q89" s="8" t="s">
        <v>31</v>
      </c>
      <c r="R89" s="8" t="s">
        <v>31</v>
      </c>
      <c r="S89" s="8" t="s">
        <v>31</v>
      </c>
      <c r="T89" s="8" t="s">
        <v>31</v>
      </c>
      <c r="U89" s="8" t="s">
        <v>31</v>
      </c>
      <c r="V89" s="8" t="s">
        <v>31</v>
      </c>
      <c r="W89" s="8" t="str">
        <f>_xlfn.IFNA(VLOOKUP(A89,[1]Sheet1!$A$1:$B$101,1,FALSE),"na")</f>
        <v>na</v>
      </c>
      <c r="X89" s="8" t="s">
        <v>35</v>
      </c>
      <c r="Y89" s="9">
        <v>437</v>
      </c>
      <c r="Z89" s="9">
        <v>201.69199</v>
      </c>
      <c r="AA89" s="9">
        <v>218.5</v>
      </c>
      <c r="AB89" s="9">
        <v>437</v>
      </c>
    </row>
    <row r="90" spans="1:28" x14ac:dyDescent="0.25">
      <c r="A90" s="8" t="s">
        <v>220</v>
      </c>
      <c r="B90" s="8" t="s">
        <v>91</v>
      </c>
      <c r="C90" s="8" t="s">
        <v>62</v>
      </c>
      <c r="D90" s="10">
        <v>3.1333300999999998</v>
      </c>
      <c r="E90" s="10">
        <v>1</v>
      </c>
      <c r="F90" s="10">
        <v>2.1333300999999998</v>
      </c>
      <c r="G90" s="10">
        <v>1</v>
      </c>
      <c r="H90" s="10">
        <v>2.1333300999999998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0.13333</v>
      </c>
      <c r="O90" s="8" t="s">
        <v>31</v>
      </c>
      <c r="P90" s="8" t="s">
        <v>31</v>
      </c>
      <c r="Q90" s="8" t="s">
        <v>31</v>
      </c>
      <c r="R90" s="8" t="s">
        <v>31</v>
      </c>
      <c r="S90" s="8" t="s">
        <v>31</v>
      </c>
      <c r="T90" s="8" t="s">
        <v>31</v>
      </c>
      <c r="U90" s="8" t="s">
        <v>31</v>
      </c>
      <c r="V90" s="8" t="s">
        <v>31</v>
      </c>
      <c r="W90" s="8" t="str">
        <f>_xlfn.IFNA(VLOOKUP(A90,[1]Sheet1!$A$1:$B$101,1,FALSE),"na")</f>
        <v>na</v>
      </c>
      <c r="X90" s="8" t="s">
        <v>35</v>
      </c>
      <c r="Y90" s="9">
        <v>401</v>
      </c>
      <c r="Z90" s="9">
        <v>127.97886</v>
      </c>
      <c r="AA90" s="9">
        <v>401</v>
      </c>
      <c r="AB90" s="9">
        <v>187.96904000000001</v>
      </c>
    </row>
    <row r="91" spans="1:28" x14ac:dyDescent="0.25">
      <c r="A91" s="8" t="s">
        <v>221</v>
      </c>
      <c r="B91" s="8" t="s">
        <v>222</v>
      </c>
      <c r="C91" s="8" t="s">
        <v>62</v>
      </c>
      <c r="D91" s="10">
        <v>4</v>
      </c>
      <c r="E91" s="10">
        <v>3</v>
      </c>
      <c r="F91" s="10">
        <v>1</v>
      </c>
      <c r="G91" s="10">
        <v>3</v>
      </c>
      <c r="H91" s="10">
        <v>1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8" t="s">
        <v>57</v>
      </c>
      <c r="P91" s="8" t="s">
        <v>31</v>
      </c>
      <c r="Q91" s="8" t="s">
        <v>31</v>
      </c>
      <c r="R91" s="8" t="s">
        <v>31</v>
      </c>
      <c r="S91" s="8" t="s">
        <v>31</v>
      </c>
      <c r="T91" s="8" t="s">
        <v>31</v>
      </c>
      <c r="U91" s="8" t="s">
        <v>31</v>
      </c>
      <c r="V91" s="8" t="s">
        <v>31</v>
      </c>
      <c r="W91" s="8" t="str">
        <f>_xlfn.IFNA(VLOOKUP(A91,[1]Sheet1!$A$1:$B$101,1,FALSE),"na")</f>
        <v>na</v>
      </c>
      <c r="X91" s="8" t="s">
        <v>35</v>
      </c>
      <c r="Y91" s="9">
        <v>293</v>
      </c>
      <c r="Z91" s="9">
        <v>73.25</v>
      </c>
      <c r="AA91" s="9">
        <v>97.666663999999997</v>
      </c>
      <c r="AB91" s="9">
        <v>293</v>
      </c>
    </row>
    <row r="92" spans="1:28" x14ac:dyDescent="0.25">
      <c r="A92" s="8" t="s">
        <v>223</v>
      </c>
      <c r="B92" s="8" t="s">
        <v>224</v>
      </c>
      <c r="C92" s="8" t="s">
        <v>62</v>
      </c>
      <c r="D92" s="10">
        <v>2.1333300999999998</v>
      </c>
      <c r="E92" s="10">
        <v>2</v>
      </c>
      <c r="F92" s="10">
        <v>0.13333</v>
      </c>
      <c r="G92" s="10">
        <v>2</v>
      </c>
      <c r="H92" s="10">
        <v>0.13333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0.13333</v>
      </c>
      <c r="O92" s="8" t="s">
        <v>31</v>
      </c>
      <c r="P92" s="8" t="s">
        <v>31</v>
      </c>
      <c r="Q92" s="8" t="s">
        <v>31</v>
      </c>
      <c r="R92" s="8" t="s">
        <v>31</v>
      </c>
      <c r="S92" s="8" t="s">
        <v>31</v>
      </c>
      <c r="T92" s="8" t="s">
        <v>31</v>
      </c>
      <c r="U92" s="8" t="s">
        <v>31</v>
      </c>
      <c r="V92" s="8" t="s">
        <v>31</v>
      </c>
      <c r="W92" s="8" t="str">
        <f>_xlfn.IFNA(VLOOKUP(A92,[1]Sheet1!$A$1:$B$101,1,FALSE),"na")</f>
        <v>na</v>
      </c>
      <c r="X92" s="8" t="s">
        <v>35</v>
      </c>
      <c r="Y92" s="9">
        <v>207</v>
      </c>
      <c r="Z92" s="9">
        <v>97.031395000000003</v>
      </c>
      <c r="AA92" s="9">
        <v>103.5</v>
      </c>
      <c r="AB92" s="9">
        <v>207</v>
      </c>
    </row>
    <row r="93" spans="1:28" x14ac:dyDescent="0.25">
      <c r="A93" s="8" t="s">
        <v>225</v>
      </c>
      <c r="B93" s="8" t="s">
        <v>226</v>
      </c>
      <c r="C93" s="8" t="s">
        <v>38</v>
      </c>
      <c r="D93" s="10">
        <v>1.2</v>
      </c>
      <c r="E93" s="10">
        <v>1</v>
      </c>
      <c r="F93" s="10">
        <v>0.2</v>
      </c>
      <c r="G93" s="10">
        <v>1</v>
      </c>
      <c r="H93" s="10">
        <v>0.2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0.2</v>
      </c>
      <c r="O93" s="8" t="s">
        <v>31</v>
      </c>
      <c r="P93" s="8" t="s">
        <v>31</v>
      </c>
      <c r="Q93" s="8" t="s">
        <v>31</v>
      </c>
      <c r="R93" s="8" t="s">
        <v>31</v>
      </c>
      <c r="S93" s="8" t="s">
        <v>31</v>
      </c>
      <c r="T93" s="8" t="s">
        <v>31</v>
      </c>
      <c r="U93" s="8" t="s">
        <v>31</v>
      </c>
      <c r="V93" s="8" t="s">
        <v>31</v>
      </c>
      <c r="W93" s="8" t="str">
        <f>_xlfn.IFNA(VLOOKUP(A93,[1]Sheet1!$A$1:$B$101,1,FALSE),"na")</f>
        <v>na</v>
      </c>
      <c r="X93" s="8" t="s">
        <v>35</v>
      </c>
      <c r="Y93" s="9">
        <v>442</v>
      </c>
      <c r="Z93" s="9">
        <v>368.33330999999998</v>
      </c>
      <c r="AA93" s="9">
        <v>442</v>
      </c>
      <c r="AB93" s="9">
        <v>442</v>
      </c>
    </row>
    <row r="94" spans="1:28" x14ac:dyDescent="0.25">
      <c r="A94" s="8" t="s">
        <v>227</v>
      </c>
      <c r="B94" s="8" t="s">
        <v>228</v>
      </c>
      <c r="C94" s="8" t="s">
        <v>62</v>
      </c>
      <c r="D94" s="10">
        <v>2.72</v>
      </c>
      <c r="E94" s="10">
        <v>1.6</v>
      </c>
      <c r="F94" s="10">
        <v>1.1200000000000001</v>
      </c>
      <c r="G94" s="10">
        <v>1</v>
      </c>
      <c r="H94" s="10">
        <v>1.1200000000000001</v>
      </c>
      <c r="I94" s="10">
        <v>0.60000001999999997</v>
      </c>
      <c r="J94" s="10">
        <v>0</v>
      </c>
      <c r="K94" s="10">
        <v>1</v>
      </c>
      <c r="L94" s="10">
        <v>1</v>
      </c>
      <c r="M94" s="10">
        <v>0</v>
      </c>
      <c r="N94" s="10">
        <v>0.12</v>
      </c>
      <c r="O94" s="8" t="s">
        <v>57</v>
      </c>
      <c r="P94" s="8" t="s">
        <v>31</v>
      </c>
      <c r="Q94" s="8" t="s">
        <v>31</v>
      </c>
      <c r="R94" s="8" t="s">
        <v>31</v>
      </c>
      <c r="S94" s="8" t="s">
        <v>31</v>
      </c>
      <c r="T94" s="8" t="s">
        <v>57</v>
      </c>
      <c r="U94" s="8" t="s">
        <v>31</v>
      </c>
      <c r="V94" s="8" t="s">
        <v>57</v>
      </c>
      <c r="W94" s="8" t="str">
        <f>_xlfn.IFNA(VLOOKUP(A94,[1]Sheet1!$A$1:$B$101,1,FALSE),"na")</f>
        <v>na</v>
      </c>
      <c r="X94" s="8" t="s">
        <v>35</v>
      </c>
      <c r="Y94" s="9">
        <v>132</v>
      </c>
      <c r="Z94" s="9">
        <v>48.529411000000003</v>
      </c>
      <c r="AA94" s="9">
        <v>82.5</v>
      </c>
      <c r="AB94" s="9">
        <v>117.85714</v>
      </c>
    </row>
    <row r="95" spans="1:28" x14ac:dyDescent="0.25">
      <c r="A95" s="8" t="s">
        <v>229</v>
      </c>
      <c r="B95" s="8" t="s">
        <v>230</v>
      </c>
      <c r="C95" s="8" t="s">
        <v>62</v>
      </c>
      <c r="D95" s="10">
        <v>6.1999997999999996</v>
      </c>
      <c r="E95" s="10">
        <v>5</v>
      </c>
      <c r="F95" s="10">
        <v>1.2</v>
      </c>
      <c r="G95" s="10">
        <v>5</v>
      </c>
      <c r="H95" s="10">
        <v>1.2</v>
      </c>
      <c r="I95" s="10">
        <v>0</v>
      </c>
      <c r="J95" s="10">
        <v>0</v>
      </c>
      <c r="K95" s="10">
        <v>2</v>
      </c>
      <c r="L95" s="10">
        <v>0</v>
      </c>
      <c r="M95" s="10">
        <v>0</v>
      </c>
      <c r="N95" s="10">
        <v>0.2</v>
      </c>
      <c r="O95" s="8" t="s">
        <v>31</v>
      </c>
      <c r="P95" s="8" t="s">
        <v>31</v>
      </c>
      <c r="Q95" s="8" t="s">
        <v>31</v>
      </c>
      <c r="R95" s="8" t="s">
        <v>31</v>
      </c>
      <c r="S95" s="8" t="s">
        <v>31</v>
      </c>
      <c r="T95" s="8" t="s">
        <v>31</v>
      </c>
      <c r="U95" s="8" t="s">
        <v>31</v>
      </c>
      <c r="V95" s="8" t="s">
        <v>31</v>
      </c>
      <c r="W95" s="8" t="str">
        <f>_xlfn.IFNA(VLOOKUP(A95,[1]Sheet1!$A$1:$B$101,1,FALSE),"na")</f>
        <v>na</v>
      </c>
      <c r="X95" s="8" t="s">
        <v>35</v>
      </c>
      <c r="Y95" s="9">
        <v>995</v>
      </c>
      <c r="Z95" s="9">
        <v>160.48387</v>
      </c>
      <c r="AA95" s="9">
        <v>199</v>
      </c>
      <c r="AB95" s="9">
        <v>829.16663000000005</v>
      </c>
    </row>
    <row r="96" spans="1:28" x14ac:dyDescent="0.25">
      <c r="A96" s="8" t="s">
        <v>231</v>
      </c>
      <c r="B96" s="8" t="s">
        <v>232</v>
      </c>
      <c r="C96" s="8" t="s">
        <v>80</v>
      </c>
      <c r="D96" s="10">
        <v>3.2</v>
      </c>
      <c r="E96" s="10">
        <v>1</v>
      </c>
      <c r="F96" s="10">
        <v>2.2000000000000002</v>
      </c>
      <c r="G96" s="10">
        <v>1</v>
      </c>
      <c r="H96" s="10">
        <v>2.2000000000000002</v>
      </c>
      <c r="I96" s="10">
        <v>0</v>
      </c>
      <c r="J96" s="10">
        <v>0</v>
      </c>
      <c r="K96" s="10">
        <v>0</v>
      </c>
      <c r="L96" s="10">
        <v>0.2</v>
      </c>
      <c r="M96" s="10">
        <v>0</v>
      </c>
      <c r="N96" s="10">
        <v>0.2</v>
      </c>
      <c r="O96" s="8" t="s">
        <v>31</v>
      </c>
      <c r="P96" s="8" t="s">
        <v>31</v>
      </c>
      <c r="Q96" s="8" t="s">
        <v>31</v>
      </c>
      <c r="R96" s="8" t="s">
        <v>31</v>
      </c>
      <c r="S96" s="8" t="s">
        <v>31</v>
      </c>
      <c r="T96" s="8" t="s">
        <v>31</v>
      </c>
      <c r="U96" s="8" t="s">
        <v>31</v>
      </c>
      <c r="V96" s="8" t="s">
        <v>31</v>
      </c>
      <c r="W96" s="8" t="str">
        <f>_xlfn.IFNA(VLOOKUP(A96,[1]Sheet1!$A$1:$B$101,1,FALSE),"na")</f>
        <v>na</v>
      </c>
      <c r="X96" s="8" t="s">
        <v>35</v>
      </c>
      <c r="Y96" s="9">
        <v>468</v>
      </c>
      <c r="Z96" s="9">
        <v>146.25</v>
      </c>
      <c r="AA96" s="9">
        <v>468</v>
      </c>
      <c r="AB96" s="9">
        <v>212.72726</v>
      </c>
    </row>
    <row r="97" spans="1:28" x14ac:dyDescent="0.25">
      <c r="A97" s="8" t="s">
        <v>233</v>
      </c>
      <c r="B97" s="8" t="s">
        <v>234</v>
      </c>
      <c r="C97" s="8" t="s">
        <v>80</v>
      </c>
      <c r="D97" s="10">
        <v>2.2000000000000002</v>
      </c>
      <c r="E97" s="10">
        <v>1</v>
      </c>
      <c r="F97" s="10">
        <v>1.2</v>
      </c>
      <c r="G97" s="10">
        <v>1</v>
      </c>
      <c r="H97" s="10">
        <v>1.2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0.2</v>
      </c>
      <c r="O97" s="8" t="s">
        <v>57</v>
      </c>
      <c r="P97" s="8" t="s">
        <v>31</v>
      </c>
      <c r="Q97" s="8" t="s">
        <v>31</v>
      </c>
      <c r="R97" s="8" t="s">
        <v>31</v>
      </c>
      <c r="S97" s="8" t="s">
        <v>31</v>
      </c>
      <c r="T97" s="8" t="s">
        <v>31</v>
      </c>
      <c r="U97" s="8" t="s">
        <v>31</v>
      </c>
      <c r="V97" s="8" t="s">
        <v>31</v>
      </c>
      <c r="W97" s="8" t="str">
        <f>_xlfn.IFNA(VLOOKUP(A97,[1]Sheet1!$A$1:$B$101,1,FALSE),"na")</f>
        <v>na</v>
      </c>
      <c r="X97" s="8" t="s">
        <v>35</v>
      </c>
      <c r="Y97" s="9">
        <v>529</v>
      </c>
      <c r="Z97" s="9">
        <v>240.45454000000001</v>
      </c>
      <c r="AA97" s="9">
        <v>529</v>
      </c>
      <c r="AB97" s="9">
        <v>440.83330999999998</v>
      </c>
    </row>
    <row r="98" spans="1:28" x14ac:dyDescent="0.25">
      <c r="A98" s="8" t="s">
        <v>235</v>
      </c>
      <c r="B98" s="8" t="s">
        <v>236</v>
      </c>
      <c r="C98" s="8" t="s">
        <v>62</v>
      </c>
      <c r="D98" s="10">
        <v>4.1999997999999996</v>
      </c>
      <c r="E98" s="10">
        <v>3</v>
      </c>
      <c r="F98" s="10">
        <v>1.2</v>
      </c>
      <c r="G98" s="10">
        <v>2</v>
      </c>
      <c r="H98" s="10">
        <v>1.2</v>
      </c>
      <c r="I98" s="10">
        <v>1</v>
      </c>
      <c r="J98" s="10">
        <v>0</v>
      </c>
      <c r="K98" s="10">
        <v>0</v>
      </c>
      <c r="L98" s="10">
        <v>0</v>
      </c>
      <c r="M98" s="10">
        <v>0</v>
      </c>
      <c r="N98" s="10">
        <v>0.2</v>
      </c>
      <c r="O98" s="8" t="s">
        <v>57</v>
      </c>
      <c r="P98" s="8" t="s">
        <v>31</v>
      </c>
      <c r="Q98" s="8" t="s">
        <v>31</v>
      </c>
      <c r="R98" s="8" t="s">
        <v>31</v>
      </c>
      <c r="S98" s="8" t="s">
        <v>31</v>
      </c>
      <c r="T98" s="8" t="s">
        <v>31</v>
      </c>
      <c r="U98" s="8" t="s">
        <v>31</v>
      </c>
      <c r="V98" s="8" t="s">
        <v>31</v>
      </c>
      <c r="W98" s="8" t="str">
        <f>_xlfn.IFNA(VLOOKUP(A98,[1]Sheet1!$A$1:$B$101,1,FALSE),"na")</f>
        <v>na</v>
      </c>
      <c r="X98" s="8" t="s">
        <v>35</v>
      </c>
      <c r="Y98" s="9">
        <v>479</v>
      </c>
      <c r="Z98" s="9">
        <v>114.04761999999999</v>
      </c>
      <c r="AA98" s="9">
        <v>159.66667000000001</v>
      </c>
      <c r="AB98" s="9">
        <v>399.16665999999998</v>
      </c>
    </row>
    <row r="99" spans="1:28" x14ac:dyDescent="0.25">
      <c r="A99" s="8" t="s">
        <v>237</v>
      </c>
      <c r="B99" s="8" t="s">
        <v>238</v>
      </c>
      <c r="C99" s="8" t="s">
        <v>62</v>
      </c>
      <c r="D99" s="10">
        <v>4.8000002000000004</v>
      </c>
      <c r="E99" s="10">
        <v>3.5999998999999998</v>
      </c>
      <c r="F99" s="10">
        <v>1.2</v>
      </c>
      <c r="G99" s="10">
        <v>3</v>
      </c>
      <c r="H99" s="10">
        <v>1.2</v>
      </c>
      <c r="I99" s="10">
        <v>0.60000001999999997</v>
      </c>
      <c r="J99" s="10">
        <v>0</v>
      </c>
      <c r="K99" s="10">
        <v>0</v>
      </c>
      <c r="L99" s="10">
        <v>0</v>
      </c>
      <c r="M99" s="10">
        <v>0</v>
      </c>
      <c r="N99" s="10">
        <v>0.2</v>
      </c>
      <c r="O99" s="8" t="s">
        <v>57</v>
      </c>
      <c r="P99" s="8" t="s">
        <v>31</v>
      </c>
      <c r="Q99" s="8" t="s">
        <v>31</v>
      </c>
      <c r="R99" s="8" t="s">
        <v>31</v>
      </c>
      <c r="S99" s="8" t="s">
        <v>31</v>
      </c>
      <c r="T99" s="8" t="s">
        <v>31</v>
      </c>
      <c r="U99" s="8" t="s">
        <v>31</v>
      </c>
      <c r="V99" s="8" t="s">
        <v>31</v>
      </c>
      <c r="W99" s="8" t="str">
        <f>_xlfn.IFNA(VLOOKUP(A99,[1]Sheet1!$A$1:$B$101,1,FALSE),"na")</f>
        <v>na</v>
      </c>
      <c r="X99" s="8" t="s">
        <v>35</v>
      </c>
      <c r="Y99" s="9">
        <v>415</v>
      </c>
      <c r="Z99" s="9">
        <v>86.458327999999995</v>
      </c>
      <c r="AA99" s="9">
        <v>115.27778000000001</v>
      </c>
      <c r="AB99" s="9">
        <v>345.83330999999998</v>
      </c>
    </row>
    <row r="100" spans="1:28" x14ac:dyDescent="0.25">
      <c r="A100" s="8" t="s">
        <v>239</v>
      </c>
      <c r="B100" s="8" t="s">
        <v>240</v>
      </c>
      <c r="C100" s="8" t="s">
        <v>80</v>
      </c>
      <c r="D100" s="10">
        <v>5.1999997999999996</v>
      </c>
      <c r="E100" s="10">
        <v>4</v>
      </c>
      <c r="F100" s="10">
        <v>1.2</v>
      </c>
      <c r="G100" s="10">
        <v>4</v>
      </c>
      <c r="H100" s="10">
        <v>1.2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0.2</v>
      </c>
      <c r="O100" s="8" t="s">
        <v>57</v>
      </c>
      <c r="P100" s="8" t="s">
        <v>31</v>
      </c>
      <c r="Q100" s="8" t="s">
        <v>31</v>
      </c>
      <c r="R100" s="8" t="s">
        <v>31</v>
      </c>
      <c r="S100" s="8" t="s">
        <v>31</v>
      </c>
      <c r="T100" s="8" t="s">
        <v>31</v>
      </c>
      <c r="U100" s="8" t="s">
        <v>31</v>
      </c>
      <c r="V100" s="8" t="s">
        <v>31</v>
      </c>
      <c r="W100" s="8" t="str">
        <f>_xlfn.IFNA(VLOOKUP(A100,[1]Sheet1!$A$1:$B$101,1,FALSE),"na")</f>
        <v>na</v>
      </c>
      <c r="X100" s="8" t="s">
        <v>35</v>
      </c>
      <c r="Y100" s="9">
        <v>703</v>
      </c>
      <c r="Z100" s="9">
        <v>135.19230999999999</v>
      </c>
      <c r="AA100" s="9">
        <v>175.75</v>
      </c>
      <c r="AB100" s="9">
        <v>585.83330999999998</v>
      </c>
    </row>
    <row r="101" spans="1:28" x14ac:dyDescent="0.25">
      <c r="A101" s="8" t="s">
        <v>241</v>
      </c>
      <c r="B101" s="8" t="s">
        <v>242</v>
      </c>
      <c r="C101" s="8" t="s">
        <v>62</v>
      </c>
      <c r="D101" s="10">
        <v>3.2</v>
      </c>
      <c r="E101" s="10">
        <v>2</v>
      </c>
      <c r="F101" s="10">
        <v>1.2</v>
      </c>
      <c r="G101" s="10">
        <v>2</v>
      </c>
      <c r="H101" s="10">
        <v>1.2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0.2</v>
      </c>
      <c r="O101" s="8" t="s">
        <v>57</v>
      </c>
      <c r="P101" s="8" t="s">
        <v>31</v>
      </c>
      <c r="Q101" s="8" t="s">
        <v>31</v>
      </c>
      <c r="R101" s="8" t="s">
        <v>31</v>
      </c>
      <c r="S101" s="8" t="s">
        <v>31</v>
      </c>
      <c r="T101" s="8" t="s">
        <v>31</v>
      </c>
      <c r="U101" s="8" t="s">
        <v>31</v>
      </c>
      <c r="V101" s="8" t="s">
        <v>31</v>
      </c>
      <c r="W101" s="8" t="str">
        <f>_xlfn.IFNA(VLOOKUP(A101,[1]Sheet1!$A$1:$B$101,1,FALSE),"na")</f>
        <v>na</v>
      </c>
      <c r="X101" s="8" t="s">
        <v>35</v>
      </c>
      <c r="Y101" s="9">
        <v>483</v>
      </c>
      <c r="Z101" s="9">
        <v>150.9375</v>
      </c>
      <c r="AA101" s="9">
        <v>241.5</v>
      </c>
      <c r="AB101" s="9">
        <v>402.49997000000002</v>
      </c>
    </row>
    <row r="102" spans="1:28" x14ac:dyDescent="0.25">
      <c r="A102" s="8" t="s">
        <v>243</v>
      </c>
      <c r="B102" s="8" t="s">
        <v>244</v>
      </c>
      <c r="C102" s="8" t="s">
        <v>62</v>
      </c>
      <c r="D102" s="10">
        <v>4.1999997999999996</v>
      </c>
      <c r="E102" s="10">
        <v>3</v>
      </c>
      <c r="F102" s="10">
        <v>1.2</v>
      </c>
      <c r="G102" s="10">
        <v>3</v>
      </c>
      <c r="H102" s="10">
        <v>1.2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0.2</v>
      </c>
      <c r="O102" s="8" t="s">
        <v>57</v>
      </c>
      <c r="P102" s="8" t="s">
        <v>31</v>
      </c>
      <c r="Q102" s="8" t="s">
        <v>31</v>
      </c>
      <c r="R102" s="8" t="s">
        <v>31</v>
      </c>
      <c r="S102" s="8" t="s">
        <v>31</v>
      </c>
      <c r="T102" s="8" t="s">
        <v>31</v>
      </c>
      <c r="U102" s="8" t="s">
        <v>31</v>
      </c>
      <c r="V102" s="8" t="s">
        <v>31</v>
      </c>
      <c r="W102" s="8" t="str">
        <f>_xlfn.IFNA(VLOOKUP(A102,[1]Sheet1!$A$1:$B$101,1,FALSE),"na")</f>
        <v>na</v>
      </c>
      <c r="X102" s="8" t="s">
        <v>35</v>
      </c>
      <c r="Y102" s="9">
        <v>540</v>
      </c>
      <c r="Z102" s="9">
        <v>128.57144</v>
      </c>
      <c r="AA102" s="9">
        <v>180</v>
      </c>
      <c r="AB102" s="9">
        <v>449.99997000000002</v>
      </c>
    </row>
    <row r="103" spans="1:28" x14ac:dyDescent="0.25">
      <c r="A103" s="8" t="s">
        <v>245</v>
      </c>
      <c r="B103" s="8" t="s">
        <v>246</v>
      </c>
      <c r="C103" s="8" t="s">
        <v>62</v>
      </c>
      <c r="D103" s="10">
        <v>6.1999997999999996</v>
      </c>
      <c r="E103" s="10">
        <v>5</v>
      </c>
      <c r="F103" s="10">
        <v>1.2</v>
      </c>
      <c r="G103" s="10">
        <v>5</v>
      </c>
      <c r="H103" s="10">
        <v>1.2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0.2</v>
      </c>
      <c r="O103" s="8" t="s">
        <v>31</v>
      </c>
      <c r="P103" s="8" t="s">
        <v>31</v>
      </c>
      <c r="Q103" s="8" t="s">
        <v>31</v>
      </c>
      <c r="R103" s="8" t="s">
        <v>57</v>
      </c>
      <c r="S103" s="8" t="s">
        <v>31</v>
      </c>
      <c r="T103" s="8" t="s">
        <v>31</v>
      </c>
      <c r="U103" s="8" t="s">
        <v>31</v>
      </c>
      <c r="V103" s="8" t="s">
        <v>31</v>
      </c>
      <c r="W103" s="8" t="str">
        <f>_xlfn.IFNA(VLOOKUP(A103,[1]Sheet1!$A$1:$B$101,1,FALSE),"na")</f>
        <v>na</v>
      </c>
      <c r="X103" s="8" t="s">
        <v>35</v>
      </c>
      <c r="Y103" s="9">
        <v>687</v>
      </c>
      <c r="Z103" s="9">
        <v>110.80646</v>
      </c>
      <c r="AA103" s="9">
        <v>137.39999</v>
      </c>
      <c r="AB103" s="9">
        <v>572.5</v>
      </c>
    </row>
    <row r="104" spans="1:28" x14ac:dyDescent="0.25">
      <c r="A104" s="8" t="s">
        <v>247</v>
      </c>
      <c r="B104" s="8" t="s">
        <v>248</v>
      </c>
      <c r="C104" s="8" t="s">
        <v>62</v>
      </c>
      <c r="D104" s="10">
        <v>3.1666701000000002</v>
      </c>
      <c r="E104" s="10">
        <v>2</v>
      </c>
      <c r="F104" s="10">
        <v>1.1666700000000001</v>
      </c>
      <c r="G104" s="10">
        <v>2</v>
      </c>
      <c r="H104" s="10">
        <v>1.1666700000000001</v>
      </c>
      <c r="I104" s="10">
        <v>0</v>
      </c>
      <c r="J104" s="10">
        <v>0</v>
      </c>
      <c r="K104" s="10">
        <v>1</v>
      </c>
      <c r="L104" s="10">
        <v>0</v>
      </c>
      <c r="M104" s="10">
        <v>0</v>
      </c>
      <c r="N104" s="10">
        <v>0.16666998999999999</v>
      </c>
      <c r="O104" s="8" t="s">
        <v>31</v>
      </c>
      <c r="P104" s="8" t="s">
        <v>31</v>
      </c>
      <c r="Q104" s="8" t="s">
        <v>31</v>
      </c>
      <c r="R104" s="8" t="s">
        <v>31</v>
      </c>
      <c r="S104" s="8" t="s">
        <v>31</v>
      </c>
      <c r="T104" s="8" t="s">
        <v>57</v>
      </c>
      <c r="U104" s="8" t="s">
        <v>57</v>
      </c>
      <c r="V104" s="8" t="s">
        <v>31</v>
      </c>
      <c r="W104" s="8" t="str">
        <f>_xlfn.IFNA(VLOOKUP(A104,[1]Sheet1!$A$1:$B$101,1,FALSE),"na")</f>
        <v>na</v>
      </c>
      <c r="X104" s="8" t="s">
        <v>35</v>
      </c>
      <c r="Y104" s="9">
        <v>294</v>
      </c>
      <c r="Z104" s="9">
        <v>92.842003000000005</v>
      </c>
      <c r="AA104" s="9">
        <v>147</v>
      </c>
      <c r="AB104" s="9">
        <v>251.99928</v>
      </c>
    </row>
    <row r="105" spans="1:28" x14ac:dyDescent="0.25">
      <c r="A105" s="8" t="s">
        <v>249</v>
      </c>
      <c r="B105" s="8" t="s">
        <v>250</v>
      </c>
      <c r="C105" s="8" t="s">
        <v>62</v>
      </c>
      <c r="D105" s="10">
        <v>7.0999999000000003</v>
      </c>
      <c r="E105" s="10">
        <v>5</v>
      </c>
      <c r="F105" s="10">
        <v>2.0999998999999998</v>
      </c>
      <c r="G105" s="10">
        <v>5</v>
      </c>
      <c r="H105" s="10">
        <v>2.0999998999999998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0.1</v>
      </c>
      <c r="O105" s="8" t="s">
        <v>57</v>
      </c>
      <c r="P105" s="8" t="s">
        <v>31</v>
      </c>
      <c r="Q105" s="8" t="s">
        <v>31</v>
      </c>
      <c r="R105" s="8" t="s">
        <v>31</v>
      </c>
      <c r="S105" s="8" t="s">
        <v>31</v>
      </c>
      <c r="T105" s="8" t="s">
        <v>57</v>
      </c>
      <c r="U105" s="8" t="s">
        <v>31</v>
      </c>
      <c r="V105" s="8" t="s">
        <v>31</v>
      </c>
      <c r="W105" s="8" t="str">
        <f>_xlfn.IFNA(VLOOKUP(A105,[1]Sheet1!$A$1:$B$101,1,FALSE),"na")</f>
        <v>na</v>
      </c>
      <c r="X105" s="8" t="s">
        <v>35</v>
      </c>
      <c r="Y105" s="9">
        <v>1723</v>
      </c>
      <c r="Z105" s="9">
        <v>242.67606000000001</v>
      </c>
      <c r="AA105" s="9">
        <v>344.60001</v>
      </c>
      <c r="AB105" s="9">
        <v>820.47626000000002</v>
      </c>
    </row>
    <row r="106" spans="1:28" x14ac:dyDescent="0.25">
      <c r="A106" s="8" t="s">
        <v>251</v>
      </c>
      <c r="B106" s="8" t="s">
        <v>252</v>
      </c>
      <c r="C106" s="8" t="s">
        <v>80</v>
      </c>
      <c r="D106" s="10">
        <v>3</v>
      </c>
      <c r="E106" s="10">
        <v>3</v>
      </c>
      <c r="F106" s="10">
        <v>0</v>
      </c>
      <c r="G106" s="10">
        <v>3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8" t="s">
        <v>31</v>
      </c>
      <c r="P106" s="8" t="s">
        <v>31</v>
      </c>
      <c r="Q106" s="8" t="s">
        <v>31</v>
      </c>
      <c r="R106" s="8" t="s">
        <v>31</v>
      </c>
      <c r="S106" s="8" t="s">
        <v>31</v>
      </c>
      <c r="T106" s="8" t="s">
        <v>31</v>
      </c>
      <c r="U106" s="8" t="s">
        <v>31</v>
      </c>
      <c r="V106" s="8" t="s">
        <v>31</v>
      </c>
      <c r="W106" s="8" t="str">
        <f>_xlfn.IFNA(VLOOKUP(A106,[1]Sheet1!$A$1:$B$101,1,FALSE),"na")</f>
        <v>na</v>
      </c>
      <c r="X106" s="8" t="s">
        <v>35</v>
      </c>
      <c r="Y106" s="9">
        <v>376</v>
      </c>
      <c r="Z106" s="9">
        <v>125.33334000000001</v>
      </c>
      <c r="AA106" s="9">
        <v>125.33334000000001</v>
      </c>
      <c r="AB106" s="9">
        <v>376</v>
      </c>
    </row>
    <row r="107" spans="1:28" x14ac:dyDescent="0.25">
      <c r="A107" s="8" t="s">
        <v>253</v>
      </c>
      <c r="B107" s="8" t="s">
        <v>254</v>
      </c>
      <c r="C107" s="8" t="s">
        <v>62</v>
      </c>
      <c r="D107" s="10">
        <v>3.1333300999999998</v>
      </c>
      <c r="E107" s="10">
        <v>2</v>
      </c>
      <c r="F107" s="10">
        <v>1.1333299999999999</v>
      </c>
      <c r="G107" s="10">
        <v>2</v>
      </c>
      <c r="H107" s="10">
        <v>1.1333299999999999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0.13333</v>
      </c>
      <c r="O107" s="8" t="s">
        <v>57</v>
      </c>
      <c r="P107" s="8" t="s">
        <v>31</v>
      </c>
      <c r="Q107" s="8" t="s">
        <v>31</v>
      </c>
      <c r="R107" s="8" t="s">
        <v>31</v>
      </c>
      <c r="S107" s="8" t="s">
        <v>31</v>
      </c>
      <c r="T107" s="8" t="s">
        <v>31</v>
      </c>
      <c r="U107" s="8" t="s">
        <v>31</v>
      </c>
      <c r="V107" s="8" t="s">
        <v>31</v>
      </c>
      <c r="W107" s="8" t="str">
        <f>_xlfn.IFNA(VLOOKUP(A107,[1]Sheet1!$A$1:$B$101,1,FALSE),"na")</f>
        <v>na</v>
      </c>
      <c r="X107" s="8" t="s">
        <v>35</v>
      </c>
      <c r="Y107" s="9">
        <v>267</v>
      </c>
      <c r="Z107" s="9">
        <v>85.212851999999998</v>
      </c>
      <c r="AA107" s="9">
        <v>133.5</v>
      </c>
      <c r="AB107" s="9">
        <v>235.58893</v>
      </c>
    </row>
    <row r="108" spans="1:28" x14ac:dyDescent="0.25">
      <c r="A108" s="8" t="s">
        <v>255</v>
      </c>
      <c r="B108" s="8" t="s">
        <v>256</v>
      </c>
      <c r="C108" s="8" t="s">
        <v>62</v>
      </c>
      <c r="D108" s="10">
        <v>2.1333300999999998</v>
      </c>
      <c r="E108" s="10">
        <v>1</v>
      </c>
      <c r="F108" s="10">
        <v>1.1333299999999999</v>
      </c>
      <c r="G108" s="10">
        <v>1</v>
      </c>
      <c r="H108" s="10">
        <v>1.1333299999999999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0.13333</v>
      </c>
      <c r="O108" s="8" t="s">
        <v>57</v>
      </c>
      <c r="P108" s="8" t="s">
        <v>31</v>
      </c>
      <c r="Q108" s="8" t="s">
        <v>31</v>
      </c>
      <c r="R108" s="8" t="s">
        <v>31</v>
      </c>
      <c r="S108" s="8" t="s">
        <v>31</v>
      </c>
      <c r="T108" s="8" t="s">
        <v>31</v>
      </c>
      <c r="U108" s="8" t="s">
        <v>31</v>
      </c>
      <c r="V108" s="8" t="s">
        <v>31</v>
      </c>
      <c r="W108" s="8" t="str">
        <f>_xlfn.IFNA(VLOOKUP(A108,[1]Sheet1!$A$1:$B$101,1,FALSE),"na")</f>
        <v>na</v>
      </c>
      <c r="X108" s="8" t="s">
        <v>35</v>
      </c>
      <c r="Y108" s="9">
        <v>288</v>
      </c>
      <c r="Z108" s="9">
        <v>135.00020000000001</v>
      </c>
      <c r="AA108" s="9">
        <v>288</v>
      </c>
      <c r="AB108" s="9">
        <v>254.11839000000001</v>
      </c>
    </row>
    <row r="109" spans="1:28" x14ac:dyDescent="0.25">
      <c r="A109" s="8" t="s">
        <v>257</v>
      </c>
      <c r="B109" s="8" t="s">
        <v>258</v>
      </c>
      <c r="C109" s="8" t="s">
        <v>62</v>
      </c>
      <c r="D109" s="10">
        <v>3.1333300999999998</v>
      </c>
      <c r="E109" s="10">
        <v>2</v>
      </c>
      <c r="F109" s="10">
        <v>1.1333299999999999</v>
      </c>
      <c r="G109" s="10">
        <v>2</v>
      </c>
      <c r="H109" s="10">
        <v>1.1333299999999999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0.13333</v>
      </c>
      <c r="O109" s="8" t="s">
        <v>31</v>
      </c>
      <c r="P109" s="8" t="s">
        <v>31</v>
      </c>
      <c r="Q109" s="8" t="s">
        <v>31</v>
      </c>
      <c r="R109" s="8" t="s">
        <v>31</v>
      </c>
      <c r="S109" s="8" t="s">
        <v>31</v>
      </c>
      <c r="T109" s="8" t="s">
        <v>31</v>
      </c>
      <c r="U109" s="8" t="s">
        <v>31</v>
      </c>
      <c r="V109" s="8" t="s">
        <v>57</v>
      </c>
      <c r="W109" s="8" t="str">
        <f>_xlfn.IFNA(VLOOKUP(A109,[1]Sheet1!$A$1:$B$101,1,FALSE),"na")</f>
        <v>na</v>
      </c>
      <c r="X109" s="8" t="s">
        <v>35</v>
      </c>
      <c r="Y109" s="9">
        <v>300</v>
      </c>
      <c r="Z109" s="9">
        <v>95.744781000000003</v>
      </c>
      <c r="AA109" s="9">
        <v>150</v>
      </c>
      <c r="AB109" s="9">
        <v>264.70666999999997</v>
      </c>
    </row>
    <row r="110" spans="1:28" x14ac:dyDescent="0.25">
      <c r="A110" s="8" t="s">
        <v>259</v>
      </c>
      <c r="B110" s="8" t="s">
        <v>260</v>
      </c>
      <c r="C110" s="8" t="s">
        <v>62</v>
      </c>
      <c r="D110" s="10">
        <v>1.1666700000000001</v>
      </c>
      <c r="E110" s="10">
        <v>1</v>
      </c>
      <c r="F110" s="10">
        <v>0.16666998999999999</v>
      </c>
      <c r="G110" s="10">
        <v>1</v>
      </c>
      <c r="H110" s="10">
        <v>0.16666998999999999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0.16666998999999999</v>
      </c>
      <c r="O110" s="8" t="s">
        <v>31</v>
      </c>
      <c r="P110" s="8" t="s">
        <v>31</v>
      </c>
      <c r="Q110" s="8" t="s">
        <v>31</v>
      </c>
      <c r="R110" s="8" t="s">
        <v>31</v>
      </c>
      <c r="S110" s="8" t="s">
        <v>31</v>
      </c>
      <c r="T110" s="8" t="s">
        <v>31</v>
      </c>
      <c r="U110" s="8" t="s">
        <v>31</v>
      </c>
      <c r="V110" s="8" t="s">
        <v>31</v>
      </c>
      <c r="W110" s="8" t="str">
        <f>_xlfn.IFNA(VLOOKUP(A110,[1]Sheet1!$A$1:$B$101,1,FALSE),"na")</f>
        <v>na</v>
      </c>
      <c r="X110" s="8" t="s">
        <v>35</v>
      </c>
      <c r="Y110" s="9">
        <v>187</v>
      </c>
      <c r="Z110" s="9">
        <v>160.28525999999999</v>
      </c>
      <c r="AA110" s="9">
        <v>187</v>
      </c>
      <c r="AB110" s="9">
        <v>187</v>
      </c>
    </row>
    <row r="111" spans="1:28" x14ac:dyDescent="0.25">
      <c r="A111" s="8" t="s">
        <v>261</v>
      </c>
      <c r="B111" s="8" t="s">
        <v>262</v>
      </c>
      <c r="C111" s="8" t="s">
        <v>62</v>
      </c>
      <c r="D111" s="10">
        <v>3.1199998999999998</v>
      </c>
      <c r="E111" s="10">
        <v>1</v>
      </c>
      <c r="F111" s="10">
        <v>2.1199998999999998</v>
      </c>
      <c r="G111" s="10">
        <v>1</v>
      </c>
      <c r="H111" s="10">
        <v>2.1199998999999998</v>
      </c>
      <c r="I111" s="10">
        <v>0</v>
      </c>
      <c r="J111" s="10">
        <v>0</v>
      </c>
      <c r="K111" s="10">
        <v>1</v>
      </c>
      <c r="L111" s="10">
        <v>0</v>
      </c>
      <c r="M111" s="10">
        <v>0</v>
      </c>
      <c r="N111" s="10">
        <v>0.12</v>
      </c>
      <c r="O111" s="8" t="s">
        <v>31</v>
      </c>
      <c r="P111" s="8" t="s">
        <v>31</v>
      </c>
      <c r="Q111" s="8" t="s">
        <v>31</v>
      </c>
      <c r="R111" s="8" t="s">
        <v>31</v>
      </c>
      <c r="S111" s="8" t="s">
        <v>31</v>
      </c>
      <c r="T111" s="8" t="s">
        <v>31</v>
      </c>
      <c r="U111" s="8" t="s">
        <v>31</v>
      </c>
      <c r="V111" s="8" t="s">
        <v>31</v>
      </c>
      <c r="W111" s="8" t="str">
        <f>_xlfn.IFNA(VLOOKUP(A111,[1]Sheet1!$A$1:$B$101,1,FALSE),"na")</f>
        <v>na</v>
      </c>
      <c r="X111" s="8" t="s">
        <v>35</v>
      </c>
      <c r="Y111" s="9">
        <v>361</v>
      </c>
      <c r="Z111" s="9">
        <v>115.70513</v>
      </c>
      <c r="AA111" s="9">
        <v>361</v>
      </c>
      <c r="AB111" s="9">
        <v>170.28304</v>
      </c>
    </row>
    <row r="112" spans="1:28" x14ac:dyDescent="0.25">
      <c r="A112" s="8" t="s">
        <v>263</v>
      </c>
      <c r="B112" s="8" t="s">
        <v>264</v>
      </c>
      <c r="C112" s="8" t="s">
        <v>62</v>
      </c>
      <c r="D112" s="10">
        <v>4</v>
      </c>
      <c r="E112" s="10">
        <v>3</v>
      </c>
      <c r="F112" s="10">
        <v>1</v>
      </c>
      <c r="G112" s="10">
        <v>3</v>
      </c>
      <c r="H112" s="10">
        <v>1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8" t="s">
        <v>57</v>
      </c>
      <c r="P112" s="8" t="s">
        <v>57</v>
      </c>
      <c r="Q112" s="8" t="s">
        <v>31</v>
      </c>
      <c r="R112" s="8" t="s">
        <v>31</v>
      </c>
      <c r="S112" s="8" t="s">
        <v>31</v>
      </c>
      <c r="T112" s="8" t="s">
        <v>31</v>
      </c>
      <c r="U112" s="8" t="s">
        <v>31</v>
      </c>
      <c r="V112" s="8" t="s">
        <v>31</v>
      </c>
      <c r="W112" s="8" t="str">
        <f>_xlfn.IFNA(VLOOKUP(A112,[1]Sheet1!$A$1:$B$101,1,FALSE),"na")</f>
        <v>na</v>
      </c>
      <c r="X112" s="8" t="s">
        <v>35</v>
      </c>
      <c r="Y112" s="9">
        <v>393</v>
      </c>
      <c r="Z112" s="9">
        <v>98.25</v>
      </c>
      <c r="AA112" s="9">
        <v>131</v>
      </c>
      <c r="AB112" s="9">
        <v>393</v>
      </c>
    </row>
    <row r="113" spans="1:28" x14ac:dyDescent="0.25">
      <c r="A113" s="8" t="s">
        <v>265</v>
      </c>
      <c r="B113" s="8" t="s">
        <v>266</v>
      </c>
      <c r="C113" s="8" t="s">
        <v>38</v>
      </c>
      <c r="D113" s="10">
        <v>1</v>
      </c>
      <c r="E113" s="10">
        <v>1</v>
      </c>
      <c r="F113" s="10">
        <v>0</v>
      </c>
      <c r="G113" s="10">
        <v>1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8" t="s">
        <v>57</v>
      </c>
      <c r="P113" s="8" t="s">
        <v>57</v>
      </c>
      <c r="Q113" s="8" t="s">
        <v>31</v>
      </c>
      <c r="R113" s="8" t="s">
        <v>31</v>
      </c>
      <c r="S113" s="8" t="s">
        <v>31</v>
      </c>
      <c r="T113" s="8" t="s">
        <v>31</v>
      </c>
      <c r="U113" s="8" t="s">
        <v>31</v>
      </c>
      <c r="V113" s="8" t="s">
        <v>31</v>
      </c>
      <c r="W113" s="8" t="str">
        <f>_xlfn.IFNA(VLOOKUP(A113,[1]Sheet1!$A$1:$B$101,1,FALSE),"na")</f>
        <v>na</v>
      </c>
      <c r="X113" s="8" t="s">
        <v>35</v>
      </c>
      <c r="Y113" s="9">
        <v>112</v>
      </c>
      <c r="Z113" s="9">
        <v>112</v>
      </c>
      <c r="AA113" s="9">
        <v>112</v>
      </c>
      <c r="AB113" s="9">
        <v>112</v>
      </c>
    </row>
    <row r="114" spans="1:28" x14ac:dyDescent="0.25">
      <c r="A114" s="8" t="s">
        <v>267</v>
      </c>
      <c r="B114" s="8" t="s">
        <v>268</v>
      </c>
      <c r="C114" s="8" t="s">
        <v>62</v>
      </c>
      <c r="D114" s="10">
        <v>2.2000000000000002</v>
      </c>
      <c r="E114" s="10">
        <v>1</v>
      </c>
      <c r="F114" s="10">
        <v>1.2</v>
      </c>
      <c r="G114" s="10">
        <v>1</v>
      </c>
      <c r="H114" s="10">
        <v>1.2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0.2</v>
      </c>
      <c r="O114" s="8" t="s">
        <v>31</v>
      </c>
      <c r="P114" s="8" t="s">
        <v>31</v>
      </c>
      <c r="Q114" s="8" t="s">
        <v>31</v>
      </c>
      <c r="R114" s="8" t="s">
        <v>31</v>
      </c>
      <c r="S114" s="8" t="s">
        <v>31</v>
      </c>
      <c r="T114" s="8" t="s">
        <v>57</v>
      </c>
      <c r="U114" s="8" t="s">
        <v>31</v>
      </c>
      <c r="V114" s="8" t="s">
        <v>31</v>
      </c>
      <c r="W114" s="8" t="str">
        <f>_xlfn.IFNA(VLOOKUP(A114,[1]Sheet1!$A$1:$B$101,1,FALSE),"na")</f>
        <v>na</v>
      </c>
      <c r="X114" s="8" t="s">
        <v>35</v>
      </c>
      <c r="Y114" s="9">
        <v>398</v>
      </c>
      <c r="Z114" s="9">
        <v>180.90908999999999</v>
      </c>
      <c r="AA114" s="9">
        <v>398</v>
      </c>
      <c r="AB114" s="9">
        <v>331.66665999999998</v>
      </c>
    </row>
    <row r="115" spans="1:28" x14ac:dyDescent="0.25">
      <c r="A115" s="8" t="s">
        <v>269</v>
      </c>
      <c r="B115" s="8" t="s">
        <v>270</v>
      </c>
      <c r="C115" s="8" t="s">
        <v>62</v>
      </c>
      <c r="D115" s="10">
        <v>4</v>
      </c>
      <c r="E115" s="10">
        <v>2</v>
      </c>
      <c r="F115" s="10">
        <v>2</v>
      </c>
      <c r="G115" s="10">
        <v>2</v>
      </c>
      <c r="H115" s="10">
        <v>2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8" t="s">
        <v>31</v>
      </c>
      <c r="P115" s="8" t="s">
        <v>57</v>
      </c>
      <c r="Q115" s="8" t="s">
        <v>31</v>
      </c>
      <c r="R115" s="8" t="s">
        <v>31</v>
      </c>
      <c r="S115" s="8" t="s">
        <v>31</v>
      </c>
      <c r="T115" s="8" t="s">
        <v>57</v>
      </c>
      <c r="U115" s="8" t="s">
        <v>57</v>
      </c>
      <c r="V115" s="8" t="s">
        <v>31</v>
      </c>
      <c r="W115" s="8" t="str">
        <f>_xlfn.IFNA(VLOOKUP(A115,[1]Sheet1!$A$1:$B$101,1,FALSE),"na")</f>
        <v>na</v>
      </c>
      <c r="X115" s="8" t="s">
        <v>35</v>
      </c>
      <c r="Y115" s="9">
        <v>358</v>
      </c>
      <c r="Z115" s="9">
        <v>89.5</v>
      </c>
      <c r="AA115" s="9">
        <v>179</v>
      </c>
      <c r="AB115" s="9">
        <v>179</v>
      </c>
    </row>
    <row r="116" spans="1:28" x14ac:dyDescent="0.25">
      <c r="A116" s="8" t="s">
        <v>271</v>
      </c>
      <c r="B116" s="8" t="s">
        <v>272</v>
      </c>
      <c r="C116" s="8" t="s">
        <v>62</v>
      </c>
      <c r="D116" s="10">
        <v>18</v>
      </c>
      <c r="E116" s="10">
        <v>17</v>
      </c>
      <c r="F116" s="10">
        <v>1</v>
      </c>
      <c r="G116" s="10">
        <v>17</v>
      </c>
      <c r="H116" s="10">
        <v>1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8" t="s">
        <v>31</v>
      </c>
      <c r="P116" s="8" t="s">
        <v>31</v>
      </c>
      <c r="Q116" s="8" t="s">
        <v>31</v>
      </c>
      <c r="R116" s="8" t="s">
        <v>31</v>
      </c>
      <c r="S116" s="8" t="s">
        <v>31</v>
      </c>
      <c r="T116" s="8" t="s">
        <v>31</v>
      </c>
      <c r="U116" s="8" t="s">
        <v>31</v>
      </c>
      <c r="V116" s="8" t="s">
        <v>31</v>
      </c>
      <c r="W116" s="8" t="str">
        <f>_xlfn.IFNA(VLOOKUP(A116,[1]Sheet1!$A$1:$B$101,1,FALSE),"na")</f>
        <v>na</v>
      </c>
      <c r="X116" s="8" t="s">
        <v>35</v>
      </c>
      <c r="Y116" s="9">
        <v>3266</v>
      </c>
      <c r="Z116" s="9">
        <v>181.44443999999999</v>
      </c>
      <c r="AA116" s="9">
        <v>192.11765</v>
      </c>
      <c r="AB116" s="9">
        <v>3266</v>
      </c>
    </row>
    <row r="117" spans="1:28" x14ac:dyDescent="0.25">
      <c r="A117" s="8" t="s">
        <v>273</v>
      </c>
      <c r="B117" s="8" t="s">
        <v>274</v>
      </c>
      <c r="C117" s="8" t="s">
        <v>62</v>
      </c>
      <c r="D117" s="10">
        <v>3.1333300999999998</v>
      </c>
      <c r="E117" s="10">
        <v>2</v>
      </c>
      <c r="F117" s="10">
        <v>1.1333299999999999</v>
      </c>
      <c r="G117" s="10">
        <v>2</v>
      </c>
      <c r="H117" s="10">
        <v>1.1333299999999999</v>
      </c>
      <c r="I117" s="10">
        <v>0</v>
      </c>
      <c r="J117" s="10">
        <v>0</v>
      </c>
      <c r="K117" s="10">
        <v>1</v>
      </c>
      <c r="L117" s="10">
        <v>0</v>
      </c>
      <c r="M117" s="10">
        <v>0</v>
      </c>
      <c r="N117" s="10">
        <v>0.13333</v>
      </c>
      <c r="O117" s="8" t="s">
        <v>57</v>
      </c>
      <c r="P117" s="8" t="s">
        <v>31</v>
      </c>
      <c r="Q117" s="8" t="s">
        <v>31</v>
      </c>
      <c r="R117" s="8" t="s">
        <v>31</v>
      </c>
      <c r="S117" s="8" t="s">
        <v>31</v>
      </c>
      <c r="T117" s="8" t="s">
        <v>31</v>
      </c>
      <c r="U117" s="8" t="s">
        <v>31</v>
      </c>
      <c r="V117" s="8" t="s">
        <v>31</v>
      </c>
      <c r="W117" s="8" t="str">
        <f>_xlfn.IFNA(VLOOKUP(A117,[1]Sheet1!$A$1:$B$101,1,FALSE),"na")</f>
        <v>na</v>
      </c>
      <c r="X117" s="8" t="s">
        <v>35</v>
      </c>
      <c r="Y117" s="9">
        <v>645</v>
      </c>
      <c r="Z117" s="9">
        <v>205.85127</v>
      </c>
      <c r="AA117" s="9">
        <v>322.5</v>
      </c>
      <c r="AB117" s="9">
        <v>569.11932000000002</v>
      </c>
    </row>
    <row r="118" spans="1:28" x14ac:dyDescent="0.25">
      <c r="A118" s="8" t="s">
        <v>275</v>
      </c>
      <c r="B118" s="8" t="s">
        <v>276</v>
      </c>
      <c r="C118" s="8" t="s">
        <v>62</v>
      </c>
      <c r="D118" s="10">
        <v>2.1333300999999998</v>
      </c>
      <c r="E118" s="10">
        <v>1</v>
      </c>
      <c r="F118" s="10">
        <v>1.1333299999999999</v>
      </c>
      <c r="G118" s="10">
        <v>1</v>
      </c>
      <c r="H118" s="10">
        <v>1.1333299999999999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0.13333</v>
      </c>
      <c r="O118" s="8" t="s">
        <v>57</v>
      </c>
      <c r="P118" s="8" t="s">
        <v>31</v>
      </c>
      <c r="Q118" s="8" t="s">
        <v>31</v>
      </c>
      <c r="R118" s="8" t="s">
        <v>31</v>
      </c>
      <c r="S118" s="8" t="s">
        <v>31</v>
      </c>
      <c r="T118" s="8" t="s">
        <v>31</v>
      </c>
      <c r="U118" s="8" t="s">
        <v>31</v>
      </c>
      <c r="V118" s="8" t="s">
        <v>31</v>
      </c>
      <c r="W118" s="8" t="str">
        <f>_xlfn.IFNA(VLOOKUP(A118,[1]Sheet1!$A$1:$B$101,1,FALSE),"na")</f>
        <v>na</v>
      </c>
      <c r="X118" s="8" t="s">
        <v>35</v>
      </c>
      <c r="Y118" s="9">
        <v>256</v>
      </c>
      <c r="Z118" s="9">
        <v>120.00018</v>
      </c>
      <c r="AA118" s="9">
        <v>256</v>
      </c>
      <c r="AB118" s="9">
        <v>225.88302999999999</v>
      </c>
    </row>
    <row r="119" spans="1:28" x14ac:dyDescent="0.25">
      <c r="A119" s="8" t="s">
        <v>277</v>
      </c>
      <c r="B119" s="8" t="s">
        <v>278</v>
      </c>
      <c r="C119" s="8" t="s">
        <v>62</v>
      </c>
      <c r="D119" s="10">
        <v>5.1333298999999997</v>
      </c>
      <c r="E119" s="10">
        <v>4</v>
      </c>
      <c r="F119" s="10">
        <v>1.1333299999999999</v>
      </c>
      <c r="G119" s="10">
        <v>4</v>
      </c>
      <c r="H119" s="10">
        <v>1.1333299999999999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0.13333</v>
      </c>
      <c r="O119" s="8" t="s">
        <v>31</v>
      </c>
      <c r="P119" s="8" t="s">
        <v>31</v>
      </c>
      <c r="Q119" s="8" t="s">
        <v>31</v>
      </c>
      <c r="R119" s="8" t="s">
        <v>31</v>
      </c>
      <c r="S119" s="8" t="s">
        <v>31</v>
      </c>
      <c r="T119" s="8" t="s">
        <v>31</v>
      </c>
      <c r="U119" s="8" t="s">
        <v>57</v>
      </c>
      <c r="V119" s="8" t="s">
        <v>31</v>
      </c>
      <c r="W119" s="8" t="str">
        <f>_xlfn.IFNA(VLOOKUP(A119,[1]Sheet1!$A$1:$B$101,1,FALSE),"na")</f>
        <v>na</v>
      </c>
      <c r="X119" s="8" t="s">
        <v>35</v>
      </c>
      <c r="Y119" s="9">
        <v>405</v>
      </c>
      <c r="Z119" s="9">
        <v>78.896156000000005</v>
      </c>
      <c r="AA119" s="9">
        <v>101.25</v>
      </c>
      <c r="AB119" s="9">
        <v>357.35399999999998</v>
      </c>
    </row>
    <row r="120" spans="1:28" x14ac:dyDescent="0.25">
      <c r="A120" s="8" t="s">
        <v>279</v>
      </c>
      <c r="B120" s="8" t="s">
        <v>280</v>
      </c>
      <c r="C120" s="8" t="s">
        <v>62</v>
      </c>
      <c r="D120" s="10">
        <v>3.2</v>
      </c>
      <c r="E120" s="10">
        <v>3</v>
      </c>
      <c r="F120" s="10">
        <v>0.2</v>
      </c>
      <c r="G120" s="10">
        <v>3</v>
      </c>
      <c r="H120" s="10">
        <v>0.2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0.2</v>
      </c>
      <c r="O120" s="8" t="s">
        <v>31</v>
      </c>
      <c r="P120" s="8" t="s">
        <v>31</v>
      </c>
      <c r="Q120" s="8" t="s">
        <v>31</v>
      </c>
      <c r="R120" s="8" t="s">
        <v>31</v>
      </c>
      <c r="S120" s="8" t="s">
        <v>31</v>
      </c>
      <c r="T120" s="8" t="s">
        <v>31</v>
      </c>
      <c r="U120" s="8" t="s">
        <v>31</v>
      </c>
      <c r="V120" s="8" t="s">
        <v>31</v>
      </c>
      <c r="W120" s="8" t="str">
        <f>_xlfn.IFNA(VLOOKUP(A120,[1]Sheet1!$A$1:$B$101,1,FALSE),"na")</f>
        <v>na</v>
      </c>
      <c r="X120" s="8" t="s">
        <v>35</v>
      </c>
      <c r="Y120" s="9">
        <v>462</v>
      </c>
      <c r="Z120" s="9">
        <v>144.375</v>
      </c>
      <c r="AA120" s="9">
        <v>154</v>
      </c>
      <c r="AB120" s="9">
        <v>462</v>
      </c>
    </row>
    <row r="121" spans="1:28" x14ac:dyDescent="0.25">
      <c r="A121" s="8" t="s">
        <v>281</v>
      </c>
      <c r="B121" s="8" t="s">
        <v>282</v>
      </c>
      <c r="C121" s="8" t="s">
        <v>62</v>
      </c>
      <c r="D121" s="10">
        <v>1.1000000000000001</v>
      </c>
      <c r="E121" s="10">
        <v>1</v>
      </c>
      <c r="F121" s="10">
        <v>0.1</v>
      </c>
      <c r="G121" s="10">
        <v>1</v>
      </c>
      <c r="H121" s="10">
        <v>0.1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0.1</v>
      </c>
      <c r="O121" s="8" t="s">
        <v>31</v>
      </c>
      <c r="P121" s="8" t="s">
        <v>31</v>
      </c>
      <c r="Q121" s="8" t="s">
        <v>31</v>
      </c>
      <c r="R121" s="8" t="s">
        <v>31</v>
      </c>
      <c r="S121" s="8" t="s">
        <v>31</v>
      </c>
      <c r="T121" s="8" t="s">
        <v>31</v>
      </c>
      <c r="U121" s="8" t="s">
        <v>31</v>
      </c>
      <c r="V121" s="8" t="s">
        <v>31</v>
      </c>
      <c r="W121" s="8" t="str">
        <f>_xlfn.IFNA(VLOOKUP(A121,[1]Sheet1!$A$1:$B$101,1,FALSE),"na")</f>
        <v>na</v>
      </c>
      <c r="X121" s="8" t="s">
        <v>35</v>
      </c>
      <c r="Y121" s="9">
        <v>133</v>
      </c>
      <c r="Z121" s="9">
        <v>120.90909000000001</v>
      </c>
      <c r="AA121" s="9">
        <v>133</v>
      </c>
      <c r="AB121" s="9">
        <v>133</v>
      </c>
    </row>
    <row r="122" spans="1:28" x14ac:dyDescent="0.25">
      <c r="A122" s="8" t="s">
        <v>283</v>
      </c>
      <c r="B122" s="8" t="s">
        <v>284</v>
      </c>
      <c r="C122" s="8" t="s">
        <v>30</v>
      </c>
      <c r="D122" s="10">
        <v>2.5999998999999998</v>
      </c>
      <c r="E122" s="10">
        <v>1</v>
      </c>
      <c r="F122" s="10">
        <v>1.6</v>
      </c>
      <c r="G122" s="10">
        <v>1</v>
      </c>
      <c r="H122" s="10">
        <v>1.6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0.60000001999999997</v>
      </c>
      <c r="O122" s="8" t="s">
        <v>57</v>
      </c>
      <c r="P122" s="8" t="s">
        <v>31</v>
      </c>
      <c r="Q122" s="8" t="s">
        <v>31</v>
      </c>
      <c r="R122" s="8" t="s">
        <v>31</v>
      </c>
      <c r="S122" s="8" t="s">
        <v>31</v>
      </c>
      <c r="T122" s="8" t="s">
        <v>31</v>
      </c>
      <c r="U122" s="8" t="s">
        <v>31</v>
      </c>
      <c r="V122" s="8" t="s">
        <v>31</v>
      </c>
      <c r="W122" s="8" t="str">
        <f>_xlfn.IFNA(VLOOKUP(A122,[1]Sheet1!$A$1:$B$101,1,FALSE),"na")</f>
        <v>na</v>
      </c>
      <c r="X122" s="8" t="s">
        <v>35</v>
      </c>
      <c r="Y122" s="9">
        <v>382</v>
      </c>
      <c r="Z122" s="9">
        <v>146.92308</v>
      </c>
      <c r="AA122" s="9">
        <v>382</v>
      </c>
      <c r="AB122" s="9">
        <v>238.75</v>
      </c>
    </row>
    <row r="123" spans="1:28" x14ac:dyDescent="0.25">
      <c r="A123" s="8" t="s">
        <v>285</v>
      </c>
      <c r="B123" s="8" t="s">
        <v>286</v>
      </c>
      <c r="C123" s="8" t="s">
        <v>62</v>
      </c>
      <c r="D123" s="10">
        <v>3</v>
      </c>
      <c r="E123" s="10">
        <v>3</v>
      </c>
      <c r="F123" s="10">
        <v>0</v>
      </c>
      <c r="G123" s="10">
        <v>3</v>
      </c>
      <c r="H123" s="10">
        <v>0</v>
      </c>
      <c r="I123" s="10">
        <v>0</v>
      </c>
      <c r="J123" s="10">
        <v>0</v>
      </c>
      <c r="K123" s="10">
        <v>2</v>
      </c>
      <c r="L123" s="10">
        <v>0</v>
      </c>
      <c r="M123" s="10">
        <v>0</v>
      </c>
      <c r="N123" s="10">
        <v>0</v>
      </c>
      <c r="O123" s="8" t="s">
        <v>31</v>
      </c>
      <c r="P123" s="8" t="s">
        <v>31</v>
      </c>
      <c r="Q123" s="8" t="s">
        <v>31</v>
      </c>
      <c r="R123" s="8" t="s">
        <v>31</v>
      </c>
      <c r="S123" s="8" t="s">
        <v>31</v>
      </c>
      <c r="T123" s="8" t="s">
        <v>31</v>
      </c>
      <c r="U123" s="8" t="s">
        <v>31</v>
      </c>
      <c r="V123" s="8" t="s">
        <v>31</v>
      </c>
      <c r="W123" s="8" t="str">
        <f>_xlfn.IFNA(VLOOKUP(A123,[1]Sheet1!$A$1:$B$101,1,FALSE),"na")</f>
        <v>na</v>
      </c>
      <c r="X123" s="8" t="s">
        <v>35</v>
      </c>
      <c r="Y123" s="9">
        <v>316</v>
      </c>
      <c r="Z123" s="9">
        <v>105.33334000000001</v>
      </c>
      <c r="AA123" s="9">
        <v>105.33334000000001</v>
      </c>
      <c r="AB123" s="9">
        <v>316</v>
      </c>
    </row>
    <row r="124" spans="1:28" x14ac:dyDescent="0.25">
      <c r="A124" s="8" t="s">
        <v>287</v>
      </c>
      <c r="B124" s="8" t="s">
        <v>288</v>
      </c>
      <c r="C124" s="8" t="s">
        <v>62</v>
      </c>
      <c r="D124" s="10">
        <v>3</v>
      </c>
      <c r="E124" s="10">
        <v>2</v>
      </c>
      <c r="F124" s="10">
        <v>1</v>
      </c>
      <c r="G124" s="10">
        <v>2</v>
      </c>
      <c r="H124" s="10">
        <v>1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8" t="s">
        <v>57</v>
      </c>
      <c r="P124" s="8" t="s">
        <v>31</v>
      </c>
      <c r="Q124" s="8" t="s">
        <v>31</v>
      </c>
      <c r="R124" s="8" t="s">
        <v>31</v>
      </c>
      <c r="S124" s="8" t="s">
        <v>31</v>
      </c>
      <c r="T124" s="8" t="s">
        <v>31</v>
      </c>
      <c r="U124" s="8" t="s">
        <v>31</v>
      </c>
      <c r="V124" s="8" t="s">
        <v>31</v>
      </c>
      <c r="W124" s="8" t="str">
        <f>_xlfn.IFNA(VLOOKUP(A124,[1]Sheet1!$A$1:$B$101,1,FALSE),"na")</f>
        <v>na</v>
      </c>
      <c r="X124" s="8" t="s">
        <v>35</v>
      </c>
      <c r="Y124" s="9">
        <v>204</v>
      </c>
      <c r="Z124" s="9">
        <v>68</v>
      </c>
      <c r="AA124" s="9">
        <v>102</v>
      </c>
      <c r="AB124" s="9">
        <v>204</v>
      </c>
    </row>
    <row r="125" spans="1:28" x14ac:dyDescent="0.25">
      <c r="A125" s="8" t="s">
        <v>289</v>
      </c>
      <c r="B125" s="8" t="s">
        <v>290</v>
      </c>
      <c r="C125" s="8" t="s">
        <v>62</v>
      </c>
      <c r="D125" s="10">
        <v>4.1199998999999998</v>
      </c>
      <c r="E125" s="10">
        <v>3</v>
      </c>
      <c r="F125" s="10">
        <v>1.1200000000000001</v>
      </c>
      <c r="G125" s="10">
        <v>3</v>
      </c>
      <c r="H125" s="10">
        <v>1.1200000000000001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0.12</v>
      </c>
      <c r="O125" s="8" t="s">
        <v>57</v>
      </c>
      <c r="P125" s="8" t="s">
        <v>31</v>
      </c>
      <c r="Q125" s="8" t="s">
        <v>31</v>
      </c>
      <c r="R125" s="8" t="s">
        <v>31</v>
      </c>
      <c r="S125" s="8" t="s">
        <v>31</v>
      </c>
      <c r="T125" s="8" t="s">
        <v>57</v>
      </c>
      <c r="U125" s="8" t="s">
        <v>57</v>
      </c>
      <c r="V125" s="8" t="s">
        <v>31</v>
      </c>
      <c r="W125" s="8" t="str">
        <f>_xlfn.IFNA(VLOOKUP(A125,[1]Sheet1!$A$1:$B$101,1,FALSE),"na")</f>
        <v>na</v>
      </c>
      <c r="X125" s="8" t="s">
        <v>35</v>
      </c>
      <c r="Y125" s="9">
        <v>520</v>
      </c>
      <c r="Z125" s="9">
        <v>126.21359</v>
      </c>
      <c r="AA125" s="9">
        <v>173.33332999999999</v>
      </c>
      <c r="AB125" s="9">
        <v>464.28570999999999</v>
      </c>
    </row>
    <row r="126" spans="1:28" x14ac:dyDescent="0.25">
      <c r="A126" s="8" t="s">
        <v>291</v>
      </c>
      <c r="B126" s="8" t="s">
        <v>292</v>
      </c>
      <c r="C126" s="8" t="s">
        <v>62</v>
      </c>
      <c r="D126" s="10">
        <v>2.5999998999999998</v>
      </c>
      <c r="E126" s="10">
        <v>0</v>
      </c>
      <c r="F126" s="10">
        <v>2.5999998999999998</v>
      </c>
      <c r="G126" s="10">
        <v>0</v>
      </c>
      <c r="H126" s="10">
        <v>2.0999998999999998</v>
      </c>
      <c r="I126" s="10">
        <v>0</v>
      </c>
      <c r="J126" s="10">
        <v>0.5</v>
      </c>
      <c r="K126" s="10">
        <v>0</v>
      </c>
      <c r="L126" s="10">
        <v>0</v>
      </c>
      <c r="M126" s="10">
        <v>0</v>
      </c>
      <c r="N126" s="10">
        <v>0.1</v>
      </c>
      <c r="O126" s="8" t="s">
        <v>31</v>
      </c>
      <c r="P126" s="8" t="s">
        <v>31</v>
      </c>
      <c r="Q126" s="8" t="s">
        <v>31</v>
      </c>
      <c r="R126" s="8" t="s">
        <v>31</v>
      </c>
      <c r="S126" s="8" t="s">
        <v>31</v>
      </c>
      <c r="T126" s="8" t="s">
        <v>31</v>
      </c>
      <c r="U126" s="8" t="s">
        <v>31</v>
      </c>
      <c r="V126" s="8" t="s">
        <v>31</v>
      </c>
      <c r="W126" s="8" t="str">
        <f>_xlfn.IFNA(VLOOKUP(A126,[1]Sheet1!$A$1:$B$101,1,FALSE),"na")</f>
        <v>na</v>
      </c>
      <c r="X126" s="8" t="s">
        <v>35</v>
      </c>
      <c r="Y126" s="9">
        <v>370</v>
      </c>
      <c r="Z126" s="9">
        <v>142.30769000000001</v>
      </c>
      <c r="AA126" s="9">
        <v>370</v>
      </c>
      <c r="AB126" s="9">
        <v>142.30769000000001</v>
      </c>
    </row>
    <row r="127" spans="1:28" x14ac:dyDescent="0.25">
      <c r="A127" s="8" t="s">
        <v>293</v>
      </c>
      <c r="B127" s="8" t="s">
        <v>294</v>
      </c>
      <c r="C127" s="8" t="s">
        <v>62</v>
      </c>
      <c r="D127" s="10">
        <v>4.0285701999999999</v>
      </c>
      <c r="E127" s="10">
        <v>3</v>
      </c>
      <c r="F127" s="10">
        <v>1.0285701</v>
      </c>
      <c r="G127" s="10">
        <v>3</v>
      </c>
      <c r="H127" s="10">
        <v>1.0285701</v>
      </c>
      <c r="I127" s="10">
        <v>0</v>
      </c>
      <c r="J127" s="10">
        <v>0</v>
      </c>
      <c r="K127" s="10">
        <v>1</v>
      </c>
      <c r="L127" s="10">
        <v>2.8570000000000002E-2</v>
      </c>
      <c r="M127" s="10">
        <v>0</v>
      </c>
      <c r="N127" s="10">
        <v>2.8570000000000002E-2</v>
      </c>
      <c r="O127" s="8" t="s">
        <v>31</v>
      </c>
      <c r="P127" s="8" t="s">
        <v>31</v>
      </c>
      <c r="Q127" s="8" t="s">
        <v>31</v>
      </c>
      <c r="R127" s="8" t="s">
        <v>57</v>
      </c>
      <c r="S127" s="8" t="s">
        <v>31</v>
      </c>
      <c r="T127" s="8" t="s">
        <v>31</v>
      </c>
      <c r="U127" s="8" t="s">
        <v>31</v>
      </c>
      <c r="V127" s="8" t="s">
        <v>31</v>
      </c>
      <c r="W127" s="8" t="str">
        <f>_xlfn.IFNA(VLOOKUP(A127,[1]Sheet1!$A$1:$B$101,1,FALSE),"na")</f>
        <v>na</v>
      </c>
      <c r="X127" s="8" t="s">
        <v>35</v>
      </c>
      <c r="Y127" s="9">
        <v>395</v>
      </c>
      <c r="Z127" s="9">
        <v>98.049674999999993</v>
      </c>
      <c r="AA127" s="9">
        <v>131.66667000000001</v>
      </c>
      <c r="AB127" s="9">
        <v>384.02829000000003</v>
      </c>
    </row>
    <row r="128" spans="1:28" x14ac:dyDescent="0.25">
      <c r="A128" s="8" t="s">
        <v>295</v>
      </c>
      <c r="B128" s="8" t="s">
        <v>296</v>
      </c>
      <c r="C128" s="8" t="s">
        <v>62</v>
      </c>
      <c r="D128" s="10">
        <v>4.1199998999999998</v>
      </c>
      <c r="E128" s="10">
        <v>2</v>
      </c>
      <c r="F128" s="10">
        <v>2.1199998999999998</v>
      </c>
      <c r="G128" s="10">
        <v>2</v>
      </c>
      <c r="H128" s="10">
        <v>2.1199998999999998</v>
      </c>
      <c r="I128" s="10">
        <v>0</v>
      </c>
      <c r="J128" s="10">
        <v>0</v>
      </c>
      <c r="K128" s="10">
        <v>0</v>
      </c>
      <c r="L128" s="10">
        <v>0.12</v>
      </c>
      <c r="M128" s="10">
        <v>0</v>
      </c>
      <c r="N128" s="10">
        <v>0.12</v>
      </c>
      <c r="O128" s="8" t="s">
        <v>31</v>
      </c>
      <c r="P128" s="8" t="s">
        <v>31</v>
      </c>
      <c r="Q128" s="8" t="s">
        <v>31</v>
      </c>
      <c r="R128" s="8" t="s">
        <v>31</v>
      </c>
      <c r="S128" s="8" t="s">
        <v>31</v>
      </c>
      <c r="T128" s="8" t="s">
        <v>57</v>
      </c>
      <c r="U128" s="8" t="s">
        <v>31</v>
      </c>
      <c r="V128" s="8" t="s">
        <v>31</v>
      </c>
      <c r="W128" s="8" t="str">
        <f>_xlfn.IFNA(VLOOKUP(A128,[1]Sheet1!$A$1:$B$101,1,FALSE),"na")</f>
        <v>na</v>
      </c>
      <c r="X128" s="8" t="s">
        <v>35</v>
      </c>
      <c r="Y128" s="9">
        <v>415</v>
      </c>
      <c r="Z128" s="9">
        <v>100.72816</v>
      </c>
      <c r="AA128" s="9">
        <v>207.5</v>
      </c>
      <c r="AB128" s="9">
        <v>195.75473</v>
      </c>
    </row>
    <row r="129" spans="1:28" x14ac:dyDescent="0.25">
      <c r="A129" s="8" t="s">
        <v>297</v>
      </c>
      <c r="B129" s="8" t="s">
        <v>298</v>
      </c>
      <c r="C129" s="8" t="s">
        <v>62</v>
      </c>
      <c r="D129" s="10">
        <v>3</v>
      </c>
      <c r="E129" s="10">
        <v>2</v>
      </c>
      <c r="F129" s="10">
        <v>1</v>
      </c>
      <c r="G129" s="10">
        <v>2</v>
      </c>
      <c r="H129" s="10">
        <v>1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8" t="s">
        <v>31</v>
      </c>
      <c r="P129" s="8" t="s">
        <v>31</v>
      </c>
      <c r="Q129" s="8" t="s">
        <v>31</v>
      </c>
      <c r="R129" s="8" t="s">
        <v>31</v>
      </c>
      <c r="S129" s="8" t="s">
        <v>31</v>
      </c>
      <c r="T129" s="8" t="s">
        <v>31</v>
      </c>
      <c r="U129" s="8" t="s">
        <v>31</v>
      </c>
      <c r="V129" s="8" t="s">
        <v>31</v>
      </c>
      <c r="W129" s="8" t="str">
        <f>_xlfn.IFNA(VLOOKUP(A129,[1]Sheet1!$A$1:$B$101,1,FALSE),"na")</f>
        <v>na</v>
      </c>
      <c r="X129" s="8" t="s">
        <v>35</v>
      </c>
      <c r="Y129" s="9">
        <v>270</v>
      </c>
      <c r="Z129" s="9">
        <v>90</v>
      </c>
      <c r="AA129" s="9">
        <v>135</v>
      </c>
      <c r="AB129" s="9">
        <v>270</v>
      </c>
    </row>
    <row r="130" spans="1:28" x14ac:dyDescent="0.25">
      <c r="A130" s="8" t="s">
        <v>299</v>
      </c>
      <c r="B130" s="8" t="s">
        <v>300</v>
      </c>
      <c r="C130" s="8" t="s">
        <v>62</v>
      </c>
      <c r="D130" s="10">
        <v>2.1199998999999998</v>
      </c>
      <c r="E130" s="10">
        <v>1</v>
      </c>
      <c r="F130" s="10">
        <v>1.1200000000000001</v>
      </c>
      <c r="G130" s="10">
        <v>1</v>
      </c>
      <c r="H130" s="10">
        <v>1.1200000000000001</v>
      </c>
      <c r="I130" s="10">
        <v>0</v>
      </c>
      <c r="J130" s="10">
        <v>0</v>
      </c>
      <c r="K130" s="10">
        <v>1</v>
      </c>
      <c r="L130" s="10">
        <v>0.12</v>
      </c>
      <c r="M130" s="10">
        <v>0</v>
      </c>
      <c r="N130" s="10">
        <v>0.12</v>
      </c>
      <c r="O130" s="8" t="s">
        <v>57</v>
      </c>
      <c r="P130" s="8" t="s">
        <v>31</v>
      </c>
      <c r="Q130" s="8" t="s">
        <v>31</v>
      </c>
      <c r="R130" s="8" t="s">
        <v>31</v>
      </c>
      <c r="S130" s="8" t="s">
        <v>31</v>
      </c>
      <c r="T130" s="8" t="s">
        <v>31</v>
      </c>
      <c r="U130" s="8" t="s">
        <v>31</v>
      </c>
      <c r="V130" s="8" t="s">
        <v>31</v>
      </c>
      <c r="W130" s="8" t="str">
        <f>_xlfn.IFNA(VLOOKUP(A130,[1]Sheet1!$A$1:$B$101,1,FALSE),"na")</f>
        <v>na</v>
      </c>
      <c r="X130" s="8" t="s">
        <v>35</v>
      </c>
      <c r="Y130" s="9">
        <v>363</v>
      </c>
      <c r="Z130" s="9">
        <v>171.22642999999999</v>
      </c>
      <c r="AA130" s="9">
        <v>363</v>
      </c>
      <c r="AB130" s="9">
        <v>324.10714999999999</v>
      </c>
    </row>
    <row r="131" spans="1:28" x14ac:dyDescent="0.25">
      <c r="A131" s="8" t="s">
        <v>301</v>
      </c>
      <c r="B131" s="8" t="s">
        <v>302</v>
      </c>
      <c r="C131" s="8" t="s">
        <v>62</v>
      </c>
      <c r="D131" s="10">
        <v>4.1199998999999998</v>
      </c>
      <c r="E131" s="10">
        <v>3</v>
      </c>
      <c r="F131" s="10">
        <v>1.1200000000000001</v>
      </c>
      <c r="G131" s="10">
        <v>3</v>
      </c>
      <c r="H131" s="10">
        <v>1.1200000000000001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0.12</v>
      </c>
      <c r="O131" s="8" t="s">
        <v>31</v>
      </c>
      <c r="P131" s="8" t="s">
        <v>31</v>
      </c>
      <c r="Q131" s="8" t="s">
        <v>31</v>
      </c>
      <c r="R131" s="8" t="s">
        <v>31</v>
      </c>
      <c r="S131" s="8" t="s">
        <v>31</v>
      </c>
      <c r="T131" s="8" t="s">
        <v>57</v>
      </c>
      <c r="U131" s="8" t="s">
        <v>57</v>
      </c>
      <c r="V131" s="8" t="s">
        <v>31</v>
      </c>
      <c r="W131" s="8" t="str">
        <f>_xlfn.IFNA(VLOOKUP(A131,[1]Sheet1!$A$1:$B$101,1,FALSE),"na")</f>
        <v>na</v>
      </c>
      <c r="X131" s="8" t="s">
        <v>35</v>
      </c>
      <c r="Y131" s="9">
        <v>441</v>
      </c>
      <c r="Z131" s="9">
        <v>107.03883999999999</v>
      </c>
      <c r="AA131" s="9">
        <v>147</v>
      </c>
      <c r="AB131" s="9">
        <v>393.75</v>
      </c>
    </row>
    <row r="132" spans="1:28" x14ac:dyDescent="0.25">
      <c r="A132" s="8" t="s">
        <v>303</v>
      </c>
      <c r="B132" s="8" t="s">
        <v>304</v>
      </c>
      <c r="C132" s="8" t="s">
        <v>62</v>
      </c>
      <c r="D132" s="10">
        <v>4.1999997999999996</v>
      </c>
      <c r="E132" s="10">
        <v>3</v>
      </c>
      <c r="F132" s="10">
        <v>1.2</v>
      </c>
      <c r="G132" s="10">
        <v>3</v>
      </c>
      <c r="H132" s="10">
        <v>1.2</v>
      </c>
      <c r="I132" s="10">
        <v>0</v>
      </c>
      <c r="J132" s="10">
        <v>0</v>
      </c>
      <c r="K132" s="10">
        <v>0</v>
      </c>
      <c r="L132" s="10">
        <v>0.2</v>
      </c>
      <c r="M132" s="10">
        <v>0</v>
      </c>
      <c r="N132" s="10">
        <v>0.2</v>
      </c>
      <c r="O132" s="8" t="s">
        <v>31</v>
      </c>
      <c r="P132" s="8" t="s">
        <v>31</v>
      </c>
      <c r="Q132" s="8" t="s">
        <v>31</v>
      </c>
      <c r="R132" s="8" t="s">
        <v>31</v>
      </c>
      <c r="S132" s="8" t="s">
        <v>31</v>
      </c>
      <c r="T132" s="8" t="s">
        <v>31</v>
      </c>
      <c r="U132" s="8" t="s">
        <v>31</v>
      </c>
      <c r="V132" s="8" t="s">
        <v>31</v>
      </c>
      <c r="W132" s="8" t="str">
        <f>_xlfn.IFNA(VLOOKUP(A132,[1]Sheet1!$A$1:$B$101,1,FALSE),"na")</f>
        <v>na</v>
      </c>
      <c r="X132" s="8" t="s">
        <v>35</v>
      </c>
      <c r="Y132" s="9">
        <v>461</v>
      </c>
      <c r="Z132" s="9">
        <v>109.76191</v>
      </c>
      <c r="AA132" s="9">
        <v>153.66667000000001</v>
      </c>
      <c r="AB132" s="9">
        <v>384.16665999999998</v>
      </c>
    </row>
    <row r="133" spans="1:28" x14ac:dyDescent="0.25">
      <c r="A133" s="8" t="s">
        <v>305</v>
      </c>
      <c r="B133" s="8" t="s">
        <v>306</v>
      </c>
      <c r="C133" s="8" t="s">
        <v>62</v>
      </c>
      <c r="D133" s="10">
        <v>5</v>
      </c>
      <c r="E133" s="10">
        <v>4</v>
      </c>
      <c r="F133" s="10">
        <v>1</v>
      </c>
      <c r="G133" s="10">
        <v>4</v>
      </c>
      <c r="H133" s="10">
        <v>1</v>
      </c>
      <c r="I133" s="10">
        <v>0</v>
      </c>
      <c r="J133" s="10">
        <v>0</v>
      </c>
      <c r="K133" s="10">
        <v>1</v>
      </c>
      <c r="L133" s="10">
        <v>0</v>
      </c>
      <c r="M133" s="10">
        <v>0</v>
      </c>
      <c r="N133" s="10">
        <v>0</v>
      </c>
      <c r="O133" s="8" t="s">
        <v>31</v>
      </c>
      <c r="P133" s="8" t="s">
        <v>31</v>
      </c>
      <c r="Q133" s="8" t="s">
        <v>31</v>
      </c>
      <c r="R133" s="8" t="s">
        <v>31</v>
      </c>
      <c r="S133" s="8" t="s">
        <v>31</v>
      </c>
      <c r="T133" s="8" t="s">
        <v>31</v>
      </c>
      <c r="U133" s="8" t="s">
        <v>31</v>
      </c>
      <c r="V133" s="8" t="s">
        <v>31</v>
      </c>
      <c r="W133" s="8" t="str">
        <f>_xlfn.IFNA(VLOOKUP(A133,[1]Sheet1!$A$1:$B$101,1,FALSE),"na")</f>
        <v>na</v>
      </c>
      <c r="X133" s="8" t="s">
        <v>35</v>
      </c>
      <c r="Y133" s="9">
        <v>518</v>
      </c>
      <c r="Z133" s="9">
        <v>103.6</v>
      </c>
      <c r="AA133" s="9">
        <v>129.5</v>
      </c>
      <c r="AB133" s="9">
        <v>518</v>
      </c>
    </row>
    <row r="134" spans="1:28" x14ac:dyDescent="0.25">
      <c r="A134" s="8" t="s">
        <v>307</v>
      </c>
      <c r="B134" s="8" t="s">
        <v>308</v>
      </c>
      <c r="C134" s="8" t="s">
        <v>62</v>
      </c>
      <c r="D134" s="10">
        <v>5</v>
      </c>
      <c r="E134" s="10">
        <v>1</v>
      </c>
      <c r="F134" s="10">
        <v>4</v>
      </c>
      <c r="G134" s="10">
        <v>1</v>
      </c>
      <c r="H134" s="10">
        <v>4</v>
      </c>
      <c r="I134" s="10">
        <v>0</v>
      </c>
      <c r="J134" s="10">
        <v>0</v>
      </c>
      <c r="K134" s="10">
        <v>1</v>
      </c>
      <c r="L134" s="10">
        <v>1</v>
      </c>
      <c r="M134" s="10">
        <v>0</v>
      </c>
      <c r="N134" s="10">
        <v>0</v>
      </c>
      <c r="O134" s="8" t="s">
        <v>31</v>
      </c>
      <c r="P134" s="8" t="s">
        <v>31</v>
      </c>
      <c r="Q134" s="8" t="s">
        <v>31</v>
      </c>
      <c r="R134" s="8" t="s">
        <v>31</v>
      </c>
      <c r="S134" s="8" t="s">
        <v>31</v>
      </c>
      <c r="T134" s="8" t="s">
        <v>31</v>
      </c>
      <c r="U134" s="8" t="s">
        <v>57</v>
      </c>
      <c r="V134" s="8" t="s">
        <v>31</v>
      </c>
      <c r="W134" s="8" t="str">
        <f>_xlfn.IFNA(VLOOKUP(A134,[1]Sheet1!$A$1:$B$101,1,FALSE),"na")</f>
        <v>na</v>
      </c>
      <c r="X134" s="8" t="s">
        <v>35</v>
      </c>
      <c r="Y134" s="9">
        <v>545</v>
      </c>
      <c r="Z134" s="9">
        <v>109</v>
      </c>
      <c r="AA134" s="9">
        <v>545</v>
      </c>
      <c r="AB134" s="9">
        <v>136.25</v>
      </c>
    </row>
    <row r="135" spans="1:28" x14ac:dyDescent="0.25">
      <c r="A135" s="8" t="s">
        <v>309</v>
      </c>
      <c r="B135" s="8" t="s">
        <v>310</v>
      </c>
      <c r="C135" s="8" t="s">
        <v>62</v>
      </c>
      <c r="D135" s="10">
        <v>2.5</v>
      </c>
      <c r="E135" s="10">
        <v>1.3</v>
      </c>
      <c r="F135" s="10">
        <v>1.2</v>
      </c>
      <c r="G135" s="10">
        <v>1</v>
      </c>
      <c r="H135" s="10">
        <v>1.2</v>
      </c>
      <c r="I135" s="10">
        <v>0.30000000999999998</v>
      </c>
      <c r="J135" s="10">
        <v>0</v>
      </c>
      <c r="K135" s="10">
        <v>0</v>
      </c>
      <c r="L135" s="10">
        <v>0</v>
      </c>
      <c r="M135" s="10">
        <v>0</v>
      </c>
      <c r="N135" s="10">
        <v>0.2</v>
      </c>
      <c r="O135" s="8" t="s">
        <v>57</v>
      </c>
      <c r="P135" s="8" t="s">
        <v>57</v>
      </c>
      <c r="Q135" s="8" t="s">
        <v>31</v>
      </c>
      <c r="R135" s="8" t="s">
        <v>31</v>
      </c>
      <c r="S135" s="8" t="s">
        <v>31</v>
      </c>
      <c r="T135" s="8" t="s">
        <v>31</v>
      </c>
      <c r="U135" s="8" t="s">
        <v>31</v>
      </c>
      <c r="V135" s="8" t="s">
        <v>31</v>
      </c>
      <c r="W135" s="8" t="str">
        <f>_xlfn.IFNA(VLOOKUP(A135,[1]Sheet1!$A$1:$B$101,1,FALSE),"na")</f>
        <v>na</v>
      </c>
      <c r="X135" s="8" t="s">
        <v>35</v>
      </c>
      <c r="Y135" s="9">
        <v>131</v>
      </c>
      <c r="Z135" s="9">
        <v>52.400002000000001</v>
      </c>
      <c r="AA135" s="9">
        <v>100.76922999999999</v>
      </c>
      <c r="AB135" s="9">
        <v>109.16665999999999</v>
      </c>
    </row>
    <row r="136" spans="1:28" x14ac:dyDescent="0.25">
      <c r="A136" s="8" t="s">
        <v>311</v>
      </c>
      <c r="B136" s="8" t="s">
        <v>312</v>
      </c>
      <c r="C136" s="8" t="s">
        <v>62</v>
      </c>
      <c r="D136" s="10">
        <v>1</v>
      </c>
      <c r="E136" s="10">
        <v>1</v>
      </c>
      <c r="F136" s="10">
        <v>0</v>
      </c>
      <c r="G136" s="10">
        <v>1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8" t="s">
        <v>31</v>
      </c>
      <c r="P136" s="8" t="s">
        <v>31</v>
      </c>
      <c r="Q136" s="8" t="s">
        <v>31</v>
      </c>
      <c r="R136" s="8" t="s">
        <v>31</v>
      </c>
      <c r="S136" s="8" t="s">
        <v>31</v>
      </c>
      <c r="T136" s="8" t="s">
        <v>31</v>
      </c>
      <c r="U136" s="8" t="s">
        <v>31</v>
      </c>
      <c r="V136" s="8" t="s">
        <v>31</v>
      </c>
      <c r="W136" s="8" t="str">
        <f>_xlfn.IFNA(VLOOKUP(A136,[1]Sheet1!$A$1:$B$101,1,FALSE),"na")</f>
        <v>na</v>
      </c>
      <c r="X136" s="8" t="s">
        <v>35</v>
      </c>
      <c r="Y136" s="9">
        <v>148</v>
      </c>
      <c r="Z136" s="9">
        <v>148</v>
      </c>
      <c r="AA136" s="9">
        <v>148</v>
      </c>
      <c r="AB136" s="9">
        <v>148</v>
      </c>
    </row>
    <row r="137" spans="1:28" x14ac:dyDescent="0.25">
      <c r="A137" s="8" t="s">
        <v>313</v>
      </c>
      <c r="B137" s="8" t="s">
        <v>314</v>
      </c>
      <c r="C137" s="8" t="s">
        <v>62</v>
      </c>
      <c r="D137" s="10">
        <v>7</v>
      </c>
      <c r="E137" s="10">
        <v>5</v>
      </c>
      <c r="F137" s="10">
        <v>2</v>
      </c>
      <c r="G137" s="10">
        <v>5</v>
      </c>
      <c r="H137" s="10">
        <v>2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8" t="s">
        <v>57</v>
      </c>
      <c r="P137" s="8" t="s">
        <v>31</v>
      </c>
      <c r="Q137" s="8" t="s">
        <v>31</v>
      </c>
      <c r="R137" s="8" t="s">
        <v>31</v>
      </c>
      <c r="S137" s="8" t="s">
        <v>31</v>
      </c>
      <c r="T137" s="8" t="s">
        <v>31</v>
      </c>
      <c r="U137" s="8" t="s">
        <v>31</v>
      </c>
      <c r="V137" s="8" t="s">
        <v>31</v>
      </c>
      <c r="W137" s="8" t="str">
        <f>_xlfn.IFNA(VLOOKUP(A137,[1]Sheet1!$A$1:$B$101,1,FALSE),"na")</f>
        <v>na</v>
      </c>
      <c r="X137" s="8" t="s">
        <v>35</v>
      </c>
      <c r="Y137" s="9">
        <v>709</v>
      </c>
      <c r="Z137" s="9">
        <v>101.28570999999999</v>
      </c>
      <c r="AA137" s="9">
        <v>141.80000000000001</v>
      </c>
      <c r="AB137" s="9">
        <v>354.5</v>
      </c>
    </row>
    <row r="138" spans="1:28" x14ac:dyDescent="0.25">
      <c r="A138" s="8" t="s">
        <v>315</v>
      </c>
      <c r="B138" s="8" t="s">
        <v>316</v>
      </c>
      <c r="C138" s="8" t="s">
        <v>62</v>
      </c>
      <c r="D138" s="10">
        <v>2.2999999999999998</v>
      </c>
      <c r="E138" s="10">
        <v>2</v>
      </c>
      <c r="F138" s="10">
        <v>0.30000000999999998</v>
      </c>
      <c r="G138" s="10">
        <v>2</v>
      </c>
      <c r="H138" s="10">
        <v>0.30000000999999998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0.30000000999999998</v>
      </c>
      <c r="O138" s="8" t="s">
        <v>31</v>
      </c>
      <c r="P138" s="8" t="s">
        <v>31</v>
      </c>
      <c r="Q138" s="8" t="s">
        <v>31</v>
      </c>
      <c r="R138" s="8" t="s">
        <v>31</v>
      </c>
      <c r="S138" s="8" t="s">
        <v>31</v>
      </c>
      <c r="T138" s="8" t="s">
        <v>57</v>
      </c>
      <c r="U138" s="8" t="s">
        <v>31</v>
      </c>
      <c r="V138" s="8" t="s">
        <v>31</v>
      </c>
      <c r="W138" s="8" t="str">
        <f>_xlfn.IFNA(VLOOKUP(A138,[1]Sheet1!$A$1:$B$101,1,FALSE),"na")</f>
        <v>na</v>
      </c>
      <c r="X138" s="8" t="s">
        <v>35</v>
      </c>
      <c r="Y138" s="9">
        <v>407</v>
      </c>
      <c r="Z138" s="9">
        <v>176.95652999999999</v>
      </c>
      <c r="AA138" s="9">
        <v>203.5</v>
      </c>
      <c r="AB138" s="9">
        <v>407</v>
      </c>
    </row>
    <row r="139" spans="1:28" x14ac:dyDescent="0.25">
      <c r="A139" s="8" t="s">
        <v>317</v>
      </c>
      <c r="B139" s="8" t="s">
        <v>318</v>
      </c>
      <c r="C139" s="8" t="s">
        <v>62</v>
      </c>
      <c r="D139" s="10">
        <v>2</v>
      </c>
      <c r="E139" s="10">
        <v>1</v>
      </c>
      <c r="F139" s="10">
        <v>1</v>
      </c>
      <c r="G139" s="10">
        <v>1</v>
      </c>
      <c r="H139" s="10">
        <v>1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8" t="s">
        <v>31</v>
      </c>
      <c r="P139" s="8" t="s">
        <v>31</v>
      </c>
      <c r="Q139" s="8" t="s">
        <v>31</v>
      </c>
      <c r="R139" s="8" t="s">
        <v>31</v>
      </c>
      <c r="S139" s="8" t="s">
        <v>31</v>
      </c>
      <c r="T139" s="8" t="s">
        <v>31</v>
      </c>
      <c r="U139" s="8" t="s">
        <v>31</v>
      </c>
      <c r="V139" s="8" t="s">
        <v>31</v>
      </c>
      <c r="W139" s="8" t="str">
        <f>_xlfn.IFNA(VLOOKUP(A139,[1]Sheet1!$A$1:$B$101,1,FALSE),"na")</f>
        <v>na</v>
      </c>
      <c r="X139" s="8" t="s">
        <v>35</v>
      </c>
      <c r="Y139" s="9">
        <v>94</v>
      </c>
      <c r="Z139" s="9">
        <v>47</v>
      </c>
      <c r="AA139" s="9">
        <v>94</v>
      </c>
      <c r="AB139" s="9">
        <v>94</v>
      </c>
    </row>
    <row r="140" spans="1:28" x14ac:dyDescent="0.25">
      <c r="A140" s="8" t="s">
        <v>319</v>
      </c>
      <c r="B140" s="8" t="s">
        <v>320</v>
      </c>
      <c r="C140" s="8" t="s">
        <v>62</v>
      </c>
      <c r="D140" s="10">
        <v>13.2</v>
      </c>
      <c r="E140" s="10">
        <v>9</v>
      </c>
      <c r="F140" s="10">
        <v>4.1999997999999996</v>
      </c>
      <c r="G140" s="10">
        <v>9</v>
      </c>
      <c r="H140" s="10">
        <v>4.1999997999999996</v>
      </c>
      <c r="I140" s="10">
        <v>0</v>
      </c>
      <c r="J140" s="10">
        <v>0</v>
      </c>
      <c r="K140" s="10">
        <v>1</v>
      </c>
      <c r="L140" s="10">
        <v>0</v>
      </c>
      <c r="M140" s="10">
        <v>0</v>
      </c>
      <c r="N140" s="10">
        <v>0.2</v>
      </c>
      <c r="O140" s="8" t="s">
        <v>57</v>
      </c>
      <c r="P140" s="8" t="s">
        <v>31</v>
      </c>
      <c r="Q140" s="8" t="s">
        <v>31</v>
      </c>
      <c r="R140" s="8" t="s">
        <v>31</v>
      </c>
      <c r="S140" s="8" t="s">
        <v>31</v>
      </c>
      <c r="T140" s="8" t="s">
        <v>57</v>
      </c>
      <c r="U140" s="8" t="s">
        <v>57</v>
      </c>
      <c r="V140" s="8" t="s">
        <v>31</v>
      </c>
      <c r="W140" s="8" t="str">
        <f>_xlfn.IFNA(VLOOKUP(A140,[1]Sheet1!$A$1:$B$101,1,FALSE),"na")</f>
        <v>na</v>
      </c>
      <c r="X140" s="8" t="s">
        <v>35</v>
      </c>
      <c r="Y140" s="9">
        <v>1446</v>
      </c>
      <c r="Z140" s="9">
        <v>109.54546000000001</v>
      </c>
      <c r="AA140" s="9">
        <v>160.66667000000001</v>
      </c>
      <c r="AB140" s="9">
        <v>344.28573999999998</v>
      </c>
    </row>
    <row r="141" spans="1:28" x14ac:dyDescent="0.25">
      <c r="A141" s="8" t="s">
        <v>321</v>
      </c>
      <c r="B141" s="8" t="s">
        <v>322</v>
      </c>
      <c r="C141" s="8" t="s">
        <v>62</v>
      </c>
      <c r="D141" s="10">
        <v>3.1666701000000002</v>
      </c>
      <c r="E141" s="10">
        <v>1</v>
      </c>
      <c r="F141" s="10">
        <v>2.1666701000000002</v>
      </c>
      <c r="G141" s="10">
        <v>1</v>
      </c>
      <c r="H141" s="10">
        <v>2.1666701000000002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0.16666998999999999</v>
      </c>
      <c r="O141" s="8" t="s">
        <v>31</v>
      </c>
      <c r="P141" s="8" t="s">
        <v>31</v>
      </c>
      <c r="Q141" s="8" t="s">
        <v>31</v>
      </c>
      <c r="R141" s="8" t="s">
        <v>31</v>
      </c>
      <c r="S141" s="8" t="s">
        <v>31</v>
      </c>
      <c r="T141" s="8" t="s">
        <v>31</v>
      </c>
      <c r="U141" s="8" t="s">
        <v>31</v>
      </c>
      <c r="V141" s="8" t="s">
        <v>31</v>
      </c>
      <c r="W141" s="8" t="str">
        <f>_xlfn.IFNA(VLOOKUP(A141,[1]Sheet1!$A$1:$B$101,1,FALSE),"na")</f>
        <v>na</v>
      </c>
      <c r="X141" s="8" t="s">
        <v>35</v>
      </c>
      <c r="Y141" s="9">
        <v>268</v>
      </c>
      <c r="Z141" s="9">
        <v>84.631484999999998</v>
      </c>
      <c r="AA141" s="9">
        <v>268</v>
      </c>
      <c r="AB141" s="9">
        <v>123.69212</v>
      </c>
    </row>
    <row r="142" spans="1:28" x14ac:dyDescent="0.25">
      <c r="A142" s="8" t="s">
        <v>323</v>
      </c>
      <c r="B142" s="8" t="s">
        <v>324</v>
      </c>
      <c r="C142" s="8" t="s">
        <v>62</v>
      </c>
      <c r="D142" s="10">
        <v>1.2</v>
      </c>
      <c r="E142" s="10">
        <v>1</v>
      </c>
      <c r="F142" s="10">
        <v>0.2</v>
      </c>
      <c r="G142" s="10">
        <v>1</v>
      </c>
      <c r="H142" s="10">
        <v>0.2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0.2</v>
      </c>
      <c r="O142" s="8" t="s">
        <v>31</v>
      </c>
      <c r="P142" s="8" t="s">
        <v>31</v>
      </c>
      <c r="Q142" s="8" t="s">
        <v>31</v>
      </c>
      <c r="R142" s="8" t="s">
        <v>31</v>
      </c>
      <c r="S142" s="8" t="s">
        <v>31</v>
      </c>
      <c r="T142" s="8" t="s">
        <v>57</v>
      </c>
      <c r="U142" s="8" t="s">
        <v>57</v>
      </c>
      <c r="V142" s="8" t="s">
        <v>31</v>
      </c>
      <c r="W142" s="8" t="str">
        <f>_xlfn.IFNA(VLOOKUP(A142,[1]Sheet1!$A$1:$B$101,1,FALSE),"na")</f>
        <v>na</v>
      </c>
      <c r="X142" s="8" t="s">
        <v>35</v>
      </c>
      <c r="Y142" s="9">
        <v>388</v>
      </c>
      <c r="Z142" s="9">
        <v>323.33330999999998</v>
      </c>
      <c r="AA142" s="9">
        <v>388</v>
      </c>
      <c r="AB142" s="9">
        <v>388</v>
      </c>
    </row>
    <row r="143" spans="1:28" x14ac:dyDescent="0.25">
      <c r="A143" s="8" t="s">
        <v>325</v>
      </c>
      <c r="B143" s="8" t="s">
        <v>326</v>
      </c>
      <c r="C143" s="8" t="s">
        <v>62</v>
      </c>
      <c r="D143" s="10">
        <v>6.5999999000000003</v>
      </c>
      <c r="E143" s="10">
        <v>5</v>
      </c>
      <c r="F143" s="10">
        <v>1.6</v>
      </c>
      <c r="G143" s="10">
        <v>5</v>
      </c>
      <c r="H143" s="10">
        <v>1.6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0.60000001999999997</v>
      </c>
      <c r="O143" s="8" t="s">
        <v>31</v>
      </c>
      <c r="P143" s="8" t="s">
        <v>31</v>
      </c>
      <c r="Q143" s="8" t="s">
        <v>31</v>
      </c>
      <c r="R143" s="8" t="s">
        <v>31</v>
      </c>
      <c r="S143" s="8" t="s">
        <v>31</v>
      </c>
      <c r="T143" s="8" t="s">
        <v>31</v>
      </c>
      <c r="U143" s="8" t="s">
        <v>31</v>
      </c>
      <c r="V143" s="8" t="s">
        <v>31</v>
      </c>
      <c r="W143" s="8" t="str">
        <f>_xlfn.IFNA(VLOOKUP(A143,[1]Sheet1!$A$1:$B$101,1,FALSE),"na")</f>
        <v>na</v>
      </c>
      <c r="X143" s="8" t="s">
        <v>35</v>
      </c>
      <c r="Y143" s="9">
        <v>1490</v>
      </c>
      <c r="Z143" s="9">
        <v>225.75757999999999</v>
      </c>
      <c r="AA143" s="9">
        <v>298</v>
      </c>
      <c r="AB143" s="9">
        <v>931.25</v>
      </c>
    </row>
    <row r="144" spans="1:28" x14ac:dyDescent="0.25">
      <c r="A144" s="8" t="s">
        <v>327</v>
      </c>
      <c r="B144" s="8" t="s">
        <v>328</v>
      </c>
      <c r="C144" s="8" t="s">
        <v>62</v>
      </c>
      <c r="D144" s="10">
        <v>5.1999997999999996</v>
      </c>
      <c r="E144" s="10">
        <v>4</v>
      </c>
      <c r="F144" s="10">
        <v>1.2</v>
      </c>
      <c r="G144" s="10">
        <v>4</v>
      </c>
      <c r="H144" s="10">
        <v>1.2</v>
      </c>
      <c r="I144" s="10">
        <v>0</v>
      </c>
      <c r="J144" s="10">
        <v>0</v>
      </c>
      <c r="K144" s="10">
        <v>0</v>
      </c>
      <c r="L144" s="10">
        <v>0.2</v>
      </c>
      <c r="M144" s="10">
        <v>0</v>
      </c>
      <c r="N144" s="10">
        <v>0.2</v>
      </c>
      <c r="O144" s="8" t="s">
        <v>57</v>
      </c>
      <c r="P144" s="8" t="s">
        <v>31</v>
      </c>
      <c r="Q144" s="8" t="s">
        <v>31</v>
      </c>
      <c r="R144" s="8" t="s">
        <v>31</v>
      </c>
      <c r="S144" s="8" t="s">
        <v>31</v>
      </c>
      <c r="T144" s="8" t="s">
        <v>31</v>
      </c>
      <c r="U144" s="8" t="s">
        <v>31</v>
      </c>
      <c r="V144" s="8" t="s">
        <v>31</v>
      </c>
      <c r="W144" s="8" t="str">
        <f>_xlfn.IFNA(VLOOKUP(A144,[1]Sheet1!$A$1:$B$101,1,FALSE),"na")</f>
        <v>na</v>
      </c>
      <c r="X144" s="8" t="s">
        <v>35</v>
      </c>
      <c r="Y144" s="9">
        <v>380</v>
      </c>
      <c r="Z144" s="9">
        <v>73.076926999999998</v>
      </c>
      <c r="AA144" s="9">
        <v>95</v>
      </c>
      <c r="AB144" s="9">
        <v>316.66665999999998</v>
      </c>
    </row>
    <row r="145" spans="1:28" x14ac:dyDescent="0.25">
      <c r="A145" s="8" t="s">
        <v>329</v>
      </c>
      <c r="B145" s="8" t="s">
        <v>330</v>
      </c>
      <c r="C145" s="8" t="s">
        <v>67</v>
      </c>
      <c r="D145" s="10">
        <v>2.2000000000000002</v>
      </c>
      <c r="E145" s="10">
        <v>1</v>
      </c>
      <c r="F145" s="10">
        <v>1.2</v>
      </c>
      <c r="G145" s="10">
        <v>1</v>
      </c>
      <c r="H145" s="10">
        <v>1.2</v>
      </c>
      <c r="I145" s="10">
        <v>0</v>
      </c>
      <c r="J145" s="10">
        <v>0</v>
      </c>
      <c r="K145" s="10">
        <v>0</v>
      </c>
      <c r="L145" s="10">
        <v>0.2</v>
      </c>
      <c r="M145" s="10">
        <v>0</v>
      </c>
      <c r="N145" s="10">
        <v>0.2</v>
      </c>
      <c r="O145" s="8" t="s">
        <v>57</v>
      </c>
      <c r="P145" s="8" t="s">
        <v>31</v>
      </c>
      <c r="Q145" s="8" t="s">
        <v>31</v>
      </c>
      <c r="R145" s="8" t="s">
        <v>31</v>
      </c>
      <c r="S145" s="8" t="s">
        <v>31</v>
      </c>
      <c r="T145" s="8" t="s">
        <v>31</v>
      </c>
      <c r="U145" s="8" t="s">
        <v>31</v>
      </c>
      <c r="V145" s="8" t="s">
        <v>31</v>
      </c>
      <c r="W145" s="8" t="str">
        <f>_xlfn.IFNA(VLOOKUP(A145,[1]Sheet1!$A$1:$B$101,1,FALSE),"na")</f>
        <v>na</v>
      </c>
      <c r="X145" s="8" t="s">
        <v>35</v>
      </c>
      <c r="Y145" s="9">
        <v>312</v>
      </c>
      <c r="Z145" s="9">
        <v>141.81818000000001</v>
      </c>
      <c r="AA145" s="9">
        <v>312</v>
      </c>
      <c r="AB145" s="9">
        <v>260</v>
      </c>
    </row>
    <row r="146" spans="1:28" x14ac:dyDescent="0.25">
      <c r="A146" s="8" t="s">
        <v>331</v>
      </c>
      <c r="B146" s="8" t="s">
        <v>332</v>
      </c>
      <c r="C146" s="8" t="s">
        <v>30</v>
      </c>
      <c r="D146" s="10">
        <v>1.3</v>
      </c>
      <c r="E146" s="10">
        <v>0</v>
      </c>
      <c r="F146" s="10">
        <v>1.3</v>
      </c>
      <c r="G146" s="10">
        <v>0</v>
      </c>
      <c r="H146" s="10">
        <v>1.3</v>
      </c>
      <c r="I146" s="10">
        <v>0</v>
      </c>
      <c r="J146" s="10">
        <v>0</v>
      </c>
      <c r="K146" s="10">
        <v>0</v>
      </c>
      <c r="L146" s="10">
        <v>0.30000000999999998</v>
      </c>
      <c r="M146" s="10">
        <v>0</v>
      </c>
      <c r="N146" s="10">
        <v>0.30000000999999998</v>
      </c>
      <c r="O146" s="8" t="s">
        <v>31</v>
      </c>
      <c r="P146" s="8" t="s">
        <v>31</v>
      </c>
      <c r="Q146" s="8" t="s">
        <v>31</v>
      </c>
      <c r="R146" s="8" t="s">
        <v>31</v>
      </c>
      <c r="S146" s="8" t="s">
        <v>31</v>
      </c>
      <c r="T146" s="8" t="s">
        <v>31</v>
      </c>
      <c r="U146" s="8" t="s">
        <v>31</v>
      </c>
      <c r="V146" s="8" t="s">
        <v>31</v>
      </c>
      <c r="W146" s="8" t="str">
        <f>_xlfn.IFNA(VLOOKUP(A146,[1]Sheet1!$A$1:$B$101,1,FALSE),"na")</f>
        <v>na</v>
      </c>
      <c r="X146" s="8" t="s">
        <v>35</v>
      </c>
      <c r="Y146" s="9">
        <v>529</v>
      </c>
      <c r="Z146" s="9">
        <v>406.92309999999998</v>
      </c>
      <c r="AA146" s="9">
        <v>529</v>
      </c>
      <c r="AB146" s="9">
        <v>406.92309999999998</v>
      </c>
    </row>
    <row r="147" spans="1:28" x14ac:dyDescent="0.25">
      <c r="A147" s="8" t="s">
        <v>333</v>
      </c>
      <c r="B147" s="8" t="s">
        <v>334</v>
      </c>
      <c r="C147" s="8" t="s">
        <v>67</v>
      </c>
      <c r="D147" s="10">
        <v>3.4000001000000002</v>
      </c>
      <c r="E147" s="10">
        <v>2</v>
      </c>
      <c r="F147" s="10">
        <v>1.4</v>
      </c>
      <c r="G147" s="10">
        <v>2</v>
      </c>
      <c r="H147" s="10">
        <v>1.4</v>
      </c>
      <c r="I147" s="10">
        <v>0</v>
      </c>
      <c r="J147" s="10">
        <v>0</v>
      </c>
      <c r="K147" s="10">
        <v>0</v>
      </c>
      <c r="L147" s="10">
        <v>0.40000001000000002</v>
      </c>
      <c r="M147" s="10">
        <v>0</v>
      </c>
      <c r="N147" s="10">
        <v>0.40000001000000002</v>
      </c>
      <c r="O147" s="8" t="s">
        <v>57</v>
      </c>
      <c r="P147" s="8" t="s">
        <v>31</v>
      </c>
      <c r="Q147" s="8" t="s">
        <v>31</v>
      </c>
      <c r="R147" s="8" t="s">
        <v>31</v>
      </c>
      <c r="S147" s="8" t="s">
        <v>31</v>
      </c>
      <c r="T147" s="8" t="s">
        <v>31</v>
      </c>
      <c r="U147" s="8" t="s">
        <v>31</v>
      </c>
      <c r="V147" s="8" t="s">
        <v>31</v>
      </c>
      <c r="W147" s="8" t="str">
        <f>_xlfn.IFNA(VLOOKUP(A147,[1]Sheet1!$A$1:$B$101,1,FALSE),"na")</f>
        <v>na</v>
      </c>
      <c r="X147" s="8" t="s">
        <v>35</v>
      </c>
      <c r="Y147" s="9">
        <v>719</v>
      </c>
      <c r="Z147" s="9">
        <v>211.47058000000001</v>
      </c>
      <c r="AA147" s="9">
        <v>359.5</v>
      </c>
      <c r="AB147" s="9">
        <v>513.57141000000001</v>
      </c>
    </row>
    <row r="148" spans="1:28" x14ac:dyDescent="0.25">
      <c r="A148" s="8" t="s">
        <v>335</v>
      </c>
      <c r="B148" s="8" t="s">
        <v>336</v>
      </c>
      <c r="C148" s="8" t="s">
        <v>30</v>
      </c>
      <c r="D148" s="10">
        <v>3</v>
      </c>
      <c r="E148" s="10">
        <v>2</v>
      </c>
      <c r="F148" s="10">
        <v>1</v>
      </c>
      <c r="G148" s="10">
        <v>2</v>
      </c>
      <c r="H148" s="10">
        <v>1</v>
      </c>
      <c r="I148" s="10">
        <v>0</v>
      </c>
      <c r="J148" s="10">
        <v>0</v>
      </c>
      <c r="K148" s="10">
        <v>0</v>
      </c>
      <c r="L148" s="10">
        <v>1</v>
      </c>
      <c r="M148" s="10">
        <v>0</v>
      </c>
      <c r="N148" s="10">
        <v>1</v>
      </c>
      <c r="O148" s="8" t="s">
        <v>31</v>
      </c>
      <c r="P148" s="8" t="s">
        <v>31</v>
      </c>
      <c r="Q148" s="8" t="s">
        <v>31</v>
      </c>
      <c r="R148" s="8" t="s">
        <v>31</v>
      </c>
      <c r="S148" s="8" t="s">
        <v>31</v>
      </c>
      <c r="T148" s="8" t="s">
        <v>31</v>
      </c>
      <c r="U148" s="8" t="s">
        <v>31</v>
      </c>
      <c r="V148" s="8" t="s">
        <v>31</v>
      </c>
      <c r="W148" s="8" t="str">
        <f>_xlfn.IFNA(VLOOKUP(A148,[1]Sheet1!$A$1:$B$101,1,FALSE),"na")</f>
        <v>na</v>
      </c>
      <c r="X148" s="8" t="s">
        <v>35</v>
      </c>
      <c r="Y148" s="9">
        <v>467</v>
      </c>
      <c r="Z148" s="9">
        <v>155.66667000000001</v>
      </c>
      <c r="AA148" s="9">
        <v>233.5</v>
      </c>
      <c r="AB148" s="9">
        <v>467</v>
      </c>
    </row>
    <row r="149" spans="1:28" x14ac:dyDescent="0.25">
      <c r="A149" s="8" t="s">
        <v>337</v>
      </c>
      <c r="B149" s="8" t="s">
        <v>338</v>
      </c>
      <c r="C149" s="8" t="s">
        <v>30</v>
      </c>
      <c r="D149" s="10">
        <v>2.4000001000000002</v>
      </c>
      <c r="E149" s="10">
        <v>1</v>
      </c>
      <c r="F149" s="10">
        <v>1.4</v>
      </c>
      <c r="G149" s="10">
        <v>1</v>
      </c>
      <c r="H149" s="10">
        <v>1.4</v>
      </c>
      <c r="I149" s="10">
        <v>0</v>
      </c>
      <c r="J149" s="10">
        <v>0</v>
      </c>
      <c r="K149" s="10">
        <v>0</v>
      </c>
      <c r="L149" s="10">
        <v>0.2</v>
      </c>
      <c r="M149" s="10">
        <v>0</v>
      </c>
      <c r="N149" s="10">
        <v>0.40000001000000002</v>
      </c>
      <c r="O149" s="8" t="s">
        <v>31</v>
      </c>
      <c r="P149" s="8" t="s">
        <v>31</v>
      </c>
      <c r="Q149" s="8" t="s">
        <v>57</v>
      </c>
      <c r="R149" s="8" t="s">
        <v>31</v>
      </c>
      <c r="S149" s="8" t="s">
        <v>31</v>
      </c>
      <c r="T149" s="8" t="s">
        <v>31</v>
      </c>
      <c r="U149" s="8" t="s">
        <v>31</v>
      </c>
      <c r="V149" s="8" t="s">
        <v>31</v>
      </c>
      <c r="W149" s="8" t="str">
        <f>_xlfn.IFNA(VLOOKUP(A149,[1]Sheet1!$A$1:$B$101,1,FALSE),"na")</f>
        <v>na</v>
      </c>
      <c r="X149" s="8" t="s">
        <v>35</v>
      </c>
      <c r="Y149" s="9">
        <v>692</v>
      </c>
      <c r="Z149" s="9">
        <v>288.33330999999998</v>
      </c>
      <c r="AA149" s="9">
        <v>692</v>
      </c>
      <c r="AB149" s="9">
        <v>494.28573999999998</v>
      </c>
    </row>
    <row r="150" spans="1:28" x14ac:dyDescent="0.25">
      <c r="A150" s="8" t="s">
        <v>339</v>
      </c>
      <c r="B150" s="8" t="s">
        <v>340</v>
      </c>
      <c r="C150" s="8" t="s">
        <v>30</v>
      </c>
      <c r="D150" s="10">
        <v>3</v>
      </c>
      <c r="E150" s="10">
        <v>1</v>
      </c>
      <c r="F150" s="10">
        <v>2</v>
      </c>
      <c r="G150" s="10">
        <v>1</v>
      </c>
      <c r="H150" s="10">
        <v>2</v>
      </c>
      <c r="I150" s="10">
        <v>0</v>
      </c>
      <c r="J150" s="10">
        <v>0</v>
      </c>
      <c r="K150" s="10">
        <v>0</v>
      </c>
      <c r="L150" s="10">
        <v>1</v>
      </c>
      <c r="M150" s="10">
        <v>0</v>
      </c>
      <c r="N150" s="10">
        <v>1</v>
      </c>
      <c r="O150" s="8" t="s">
        <v>31</v>
      </c>
      <c r="P150" s="8" t="s">
        <v>31</v>
      </c>
      <c r="Q150" s="8" t="s">
        <v>31</v>
      </c>
      <c r="R150" s="8" t="s">
        <v>31</v>
      </c>
      <c r="S150" s="8" t="s">
        <v>31</v>
      </c>
      <c r="T150" s="8" t="s">
        <v>31</v>
      </c>
      <c r="U150" s="8" t="s">
        <v>31</v>
      </c>
      <c r="V150" s="8" t="s">
        <v>31</v>
      </c>
      <c r="W150" s="8" t="str">
        <f>_xlfn.IFNA(VLOOKUP(A150,[1]Sheet1!$A$1:$B$101,1,FALSE),"na")</f>
        <v>na</v>
      </c>
      <c r="X150" s="8" t="s">
        <v>35</v>
      </c>
      <c r="Y150" s="9">
        <v>755</v>
      </c>
      <c r="Z150" s="9">
        <v>251.66667000000001</v>
      </c>
      <c r="AA150" s="9">
        <v>755</v>
      </c>
      <c r="AB150" s="9">
        <v>377.5</v>
      </c>
    </row>
    <row r="151" spans="1:28" x14ac:dyDescent="0.25">
      <c r="A151" s="8" t="s">
        <v>341</v>
      </c>
      <c r="B151" s="8" t="s">
        <v>342</v>
      </c>
      <c r="C151" s="8" t="s">
        <v>30</v>
      </c>
      <c r="D151" s="10">
        <v>2.5999998999999998</v>
      </c>
      <c r="E151" s="10">
        <v>1</v>
      </c>
      <c r="F151" s="10">
        <v>1.6</v>
      </c>
      <c r="G151" s="10">
        <v>1</v>
      </c>
      <c r="H151" s="10">
        <v>1.6</v>
      </c>
      <c r="I151" s="10">
        <v>0</v>
      </c>
      <c r="J151" s="10">
        <v>0</v>
      </c>
      <c r="K151" s="10">
        <v>1</v>
      </c>
      <c r="L151" s="10">
        <v>0.60000001999999997</v>
      </c>
      <c r="M151" s="10">
        <v>0</v>
      </c>
      <c r="N151" s="10">
        <v>0.60000001999999997</v>
      </c>
      <c r="O151" s="8" t="s">
        <v>31</v>
      </c>
      <c r="P151" s="8" t="s">
        <v>31</v>
      </c>
      <c r="Q151" s="8" t="s">
        <v>31</v>
      </c>
      <c r="R151" s="8" t="s">
        <v>31</v>
      </c>
      <c r="S151" s="8" t="s">
        <v>31</v>
      </c>
      <c r="T151" s="8" t="s">
        <v>31</v>
      </c>
      <c r="U151" s="8" t="s">
        <v>31</v>
      </c>
      <c r="V151" s="8" t="s">
        <v>31</v>
      </c>
      <c r="W151" s="8" t="str">
        <f>_xlfn.IFNA(VLOOKUP(A151,[1]Sheet1!$A$1:$B$101,1,FALSE),"na")</f>
        <v>na</v>
      </c>
      <c r="X151" s="8" t="s">
        <v>35</v>
      </c>
      <c r="Y151" s="9">
        <v>483</v>
      </c>
      <c r="Z151" s="9">
        <v>185.76924</v>
      </c>
      <c r="AA151" s="9">
        <v>483</v>
      </c>
      <c r="AB151" s="9">
        <v>301.875</v>
      </c>
    </row>
    <row r="152" spans="1:28" x14ac:dyDescent="0.25">
      <c r="A152" s="8" t="s">
        <v>343</v>
      </c>
      <c r="B152" s="8" t="s">
        <v>344</v>
      </c>
      <c r="C152" s="8" t="s">
        <v>38</v>
      </c>
      <c r="D152" s="10">
        <v>1</v>
      </c>
      <c r="E152" s="10">
        <v>1</v>
      </c>
      <c r="F152" s="10">
        <v>0</v>
      </c>
      <c r="G152" s="10">
        <v>1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8" t="s">
        <v>31</v>
      </c>
      <c r="P152" s="8" t="s">
        <v>57</v>
      </c>
      <c r="Q152" s="8" t="s">
        <v>31</v>
      </c>
      <c r="R152" s="8" t="s">
        <v>31</v>
      </c>
      <c r="S152" s="8" t="s">
        <v>31</v>
      </c>
      <c r="T152" s="8" t="s">
        <v>31</v>
      </c>
      <c r="U152" s="8" t="s">
        <v>31</v>
      </c>
      <c r="V152" s="8" t="s">
        <v>31</v>
      </c>
      <c r="W152" s="8" t="str">
        <f>_xlfn.IFNA(VLOOKUP(A152,[1]Sheet1!$A$1:$B$101,1,FALSE),"na")</f>
        <v>na</v>
      </c>
      <c r="X152" s="8" t="s">
        <v>345</v>
      </c>
      <c r="Y152" s="9">
        <v>255</v>
      </c>
      <c r="Z152" s="9">
        <v>255</v>
      </c>
      <c r="AA152" s="9">
        <v>255</v>
      </c>
      <c r="AB152" s="9">
        <v>255</v>
      </c>
    </row>
    <row r="153" spans="1:28" x14ac:dyDescent="0.25">
      <c r="A153" s="8" t="s">
        <v>346</v>
      </c>
      <c r="B153" s="8" t="s">
        <v>347</v>
      </c>
      <c r="C153" s="8" t="s">
        <v>30</v>
      </c>
      <c r="D153" s="10">
        <v>2.5999998999999998</v>
      </c>
      <c r="E153" s="10">
        <v>1</v>
      </c>
      <c r="F153" s="10">
        <v>1.6</v>
      </c>
      <c r="G153" s="10">
        <v>1</v>
      </c>
      <c r="H153" s="10">
        <v>1.6</v>
      </c>
      <c r="I153" s="10">
        <v>0</v>
      </c>
      <c r="J153" s="10">
        <v>0</v>
      </c>
      <c r="K153" s="10">
        <v>0</v>
      </c>
      <c r="L153" s="10">
        <v>0.60000001999999997</v>
      </c>
      <c r="M153" s="10">
        <v>0</v>
      </c>
      <c r="N153" s="10">
        <v>0.60000001999999997</v>
      </c>
      <c r="O153" s="8" t="s">
        <v>31</v>
      </c>
      <c r="P153" s="8" t="s">
        <v>31</v>
      </c>
      <c r="Q153" s="8" t="s">
        <v>57</v>
      </c>
      <c r="R153" s="8" t="s">
        <v>31</v>
      </c>
      <c r="S153" s="8" t="s">
        <v>31</v>
      </c>
      <c r="T153" s="8" t="s">
        <v>31</v>
      </c>
      <c r="U153" s="8" t="s">
        <v>31</v>
      </c>
      <c r="V153" s="8" t="s">
        <v>31</v>
      </c>
      <c r="W153" s="8" t="str">
        <f>_xlfn.IFNA(VLOOKUP(A153,[1]Sheet1!$A$1:$B$101,1,FALSE),"na")</f>
        <v>na</v>
      </c>
      <c r="X153" s="8" t="s">
        <v>35</v>
      </c>
      <c r="Y153" s="9">
        <v>465</v>
      </c>
      <c r="Z153" s="9">
        <v>178.84616</v>
      </c>
      <c r="AA153" s="9">
        <v>465</v>
      </c>
      <c r="AB153" s="9">
        <v>290.625</v>
      </c>
    </row>
    <row r="154" spans="1:28" x14ac:dyDescent="0.25">
      <c r="A154" s="8" t="s">
        <v>348</v>
      </c>
      <c r="B154" s="8" t="s">
        <v>349</v>
      </c>
      <c r="C154" s="8" t="s">
        <v>30</v>
      </c>
      <c r="D154" s="10">
        <v>2.2999999999999998</v>
      </c>
      <c r="E154" s="10">
        <v>1.9</v>
      </c>
      <c r="F154" s="10">
        <v>0.40000001000000002</v>
      </c>
      <c r="G154" s="10">
        <v>1</v>
      </c>
      <c r="H154" s="10">
        <v>0.40000001000000002</v>
      </c>
      <c r="I154" s="10">
        <v>0.89999998000000003</v>
      </c>
      <c r="J154" s="10">
        <v>0</v>
      </c>
      <c r="K154" s="10">
        <v>0</v>
      </c>
      <c r="L154" s="10">
        <v>0.40000001000000002</v>
      </c>
      <c r="M154" s="10">
        <v>0</v>
      </c>
      <c r="N154" s="10">
        <v>0.40000001000000002</v>
      </c>
      <c r="O154" s="8" t="s">
        <v>31</v>
      </c>
      <c r="P154" s="8" t="s">
        <v>31</v>
      </c>
      <c r="Q154" s="8" t="s">
        <v>31</v>
      </c>
      <c r="R154" s="8" t="s">
        <v>31</v>
      </c>
      <c r="S154" s="8" t="s">
        <v>31</v>
      </c>
      <c r="T154" s="8" t="s">
        <v>31</v>
      </c>
      <c r="U154" s="8" t="s">
        <v>31</v>
      </c>
      <c r="V154" s="8" t="s">
        <v>31</v>
      </c>
      <c r="W154" s="8" t="str">
        <f>_xlfn.IFNA(VLOOKUP(A154,[1]Sheet1!$A$1:$B$101,1,FALSE),"na")</f>
        <v>na</v>
      </c>
      <c r="X154" s="8" t="s">
        <v>350</v>
      </c>
      <c r="Y154" s="9">
        <v>459</v>
      </c>
      <c r="Z154" s="9">
        <v>199.56522000000001</v>
      </c>
      <c r="AA154" s="9">
        <v>241.57894999999999</v>
      </c>
      <c r="AB154" s="9">
        <v>459</v>
      </c>
    </row>
    <row r="155" spans="1:28" x14ac:dyDescent="0.25">
      <c r="A155" s="8" t="s">
        <v>351</v>
      </c>
      <c r="B155" s="8" t="s">
        <v>352</v>
      </c>
      <c r="C155" s="8" t="s">
        <v>30</v>
      </c>
      <c r="D155" s="10">
        <v>1.4</v>
      </c>
      <c r="E155" s="10">
        <v>1</v>
      </c>
      <c r="F155" s="10">
        <v>0.40000001000000002</v>
      </c>
      <c r="G155" s="10">
        <v>1</v>
      </c>
      <c r="H155" s="10">
        <v>0.40000001000000002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0.40000001000000002</v>
      </c>
      <c r="O155" s="8" t="s">
        <v>31</v>
      </c>
      <c r="P155" s="8" t="s">
        <v>31</v>
      </c>
      <c r="Q155" s="8" t="s">
        <v>31</v>
      </c>
      <c r="R155" s="8" t="s">
        <v>31</v>
      </c>
      <c r="S155" s="8" t="s">
        <v>31</v>
      </c>
      <c r="T155" s="8" t="s">
        <v>31</v>
      </c>
      <c r="U155" s="8" t="s">
        <v>31</v>
      </c>
      <c r="V155" s="8" t="s">
        <v>31</v>
      </c>
      <c r="W155" s="8" t="str">
        <f>_xlfn.IFNA(VLOOKUP(A155,[1]Sheet1!$A$1:$B$101,1,FALSE),"na")</f>
        <v>na</v>
      </c>
      <c r="X155" s="8" t="s">
        <v>35</v>
      </c>
      <c r="Y155" s="9">
        <v>609</v>
      </c>
      <c r="Z155" s="9">
        <v>435</v>
      </c>
      <c r="AA155" s="9">
        <v>609</v>
      </c>
      <c r="AB155" s="9">
        <v>609</v>
      </c>
    </row>
    <row r="156" spans="1:28" x14ac:dyDescent="0.25">
      <c r="A156" s="8" t="s">
        <v>353</v>
      </c>
      <c r="B156" s="8" t="s">
        <v>354</v>
      </c>
      <c r="C156" s="8" t="s">
        <v>38</v>
      </c>
      <c r="D156" s="10">
        <v>2.2000000000000002</v>
      </c>
      <c r="E156" s="10">
        <v>1</v>
      </c>
      <c r="F156" s="10">
        <v>1.2</v>
      </c>
      <c r="G156" s="10">
        <v>1</v>
      </c>
      <c r="H156" s="10">
        <v>1.2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0.2</v>
      </c>
      <c r="O156" s="8" t="s">
        <v>31</v>
      </c>
      <c r="P156" s="8" t="s">
        <v>31</v>
      </c>
      <c r="Q156" s="8" t="s">
        <v>31</v>
      </c>
      <c r="R156" s="8" t="s">
        <v>31</v>
      </c>
      <c r="S156" s="8" t="s">
        <v>31</v>
      </c>
      <c r="T156" s="8" t="s">
        <v>31</v>
      </c>
      <c r="U156" s="8" t="s">
        <v>31</v>
      </c>
      <c r="V156" s="8" t="s">
        <v>31</v>
      </c>
      <c r="W156" s="8" t="str">
        <f>_xlfn.IFNA(VLOOKUP(A156,[1]Sheet1!$A$1:$B$101,1,FALSE),"na")</f>
        <v>na</v>
      </c>
      <c r="X156" s="8" t="s">
        <v>35</v>
      </c>
      <c r="Y156" s="9">
        <v>356</v>
      </c>
      <c r="Z156" s="9">
        <v>161.81818000000001</v>
      </c>
      <c r="AA156" s="9">
        <v>356</v>
      </c>
      <c r="AB156" s="9">
        <v>296.66665999999998</v>
      </c>
    </row>
    <row r="157" spans="1:28" x14ac:dyDescent="0.25">
      <c r="A157" s="8" t="s">
        <v>355</v>
      </c>
      <c r="B157" s="8" t="s">
        <v>356</v>
      </c>
      <c r="C157" s="8" t="s">
        <v>30</v>
      </c>
      <c r="D157" s="10">
        <v>3.2</v>
      </c>
      <c r="E157" s="10">
        <v>3</v>
      </c>
      <c r="F157" s="10">
        <v>0.2</v>
      </c>
      <c r="G157" s="10">
        <v>3</v>
      </c>
      <c r="H157" s="10">
        <v>0.2</v>
      </c>
      <c r="I157" s="10">
        <v>0</v>
      </c>
      <c r="J157" s="10">
        <v>0</v>
      </c>
      <c r="K157" s="10">
        <v>0</v>
      </c>
      <c r="L157" s="10">
        <v>0.2</v>
      </c>
      <c r="M157" s="10">
        <v>0</v>
      </c>
      <c r="N157" s="10">
        <v>0.2</v>
      </c>
      <c r="O157" s="8" t="s">
        <v>31</v>
      </c>
      <c r="P157" s="8" t="s">
        <v>57</v>
      </c>
      <c r="Q157" s="8" t="s">
        <v>31</v>
      </c>
      <c r="R157" s="8" t="s">
        <v>31</v>
      </c>
      <c r="S157" s="8" t="s">
        <v>31</v>
      </c>
      <c r="T157" s="8" t="s">
        <v>31</v>
      </c>
      <c r="U157" s="8" t="s">
        <v>31</v>
      </c>
      <c r="V157" s="8" t="s">
        <v>31</v>
      </c>
      <c r="W157" s="8" t="str">
        <f>_xlfn.IFNA(VLOOKUP(A157,[1]Sheet1!$A$1:$B$101,1,FALSE),"na")</f>
        <v>na</v>
      </c>
      <c r="X157" s="8" t="s">
        <v>35</v>
      </c>
      <c r="Y157" s="9">
        <v>329</v>
      </c>
      <c r="Z157" s="9">
        <v>102.8125</v>
      </c>
      <c r="AA157" s="9">
        <v>109.66665999999999</v>
      </c>
      <c r="AB157" s="9">
        <v>329</v>
      </c>
    </row>
    <row r="158" spans="1:28" x14ac:dyDescent="0.25">
      <c r="A158" s="8" t="s">
        <v>357</v>
      </c>
      <c r="B158" s="8" t="s">
        <v>358</v>
      </c>
      <c r="C158" s="8" t="s">
        <v>38</v>
      </c>
      <c r="D158" s="10">
        <v>4.5999999000000003</v>
      </c>
      <c r="E158" s="10">
        <v>3</v>
      </c>
      <c r="F158" s="10">
        <v>1.6</v>
      </c>
      <c r="G158" s="10">
        <v>3</v>
      </c>
      <c r="H158" s="10">
        <v>1.6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0.60000001999999997</v>
      </c>
      <c r="O158" s="8" t="s">
        <v>31</v>
      </c>
      <c r="P158" s="8" t="s">
        <v>31</v>
      </c>
      <c r="Q158" s="8" t="s">
        <v>57</v>
      </c>
      <c r="R158" s="8" t="s">
        <v>31</v>
      </c>
      <c r="S158" s="8" t="s">
        <v>31</v>
      </c>
      <c r="T158" s="8" t="s">
        <v>31</v>
      </c>
      <c r="U158" s="8" t="s">
        <v>31</v>
      </c>
      <c r="V158" s="8" t="s">
        <v>31</v>
      </c>
      <c r="W158" s="8" t="str">
        <f>_xlfn.IFNA(VLOOKUP(A158,[1]Sheet1!$A$1:$B$101,1,FALSE),"na")</f>
        <v>na</v>
      </c>
      <c r="X158" s="8" t="s">
        <v>51</v>
      </c>
      <c r="Y158" s="9">
        <v>492</v>
      </c>
      <c r="Z158" s="9">
        <v>106.95653</v>
      </c>
      <c r="AA158" s="9">
        <v>164</v>
      </c>
      <c r="AB158" s="9">
        <v>307.5</v>
      </c>
    </row>
    <row r="159" spans="1:28" x14ac:dyDescent="0.25">
      <c r="A159" s="8" t="s">
        <v>359</v>
      </c>
      <c r="B159" s="8" t="s">
        <v>360</v>
      </c>
      <c r="C159" s="8" t="s">
        <v>30</v>
      </c>
      <c r="D159" s="10">
        <v>2</v>
      </c>
      <c r="E159" s="10">
        <v>1</v>
      </c>
      <c r="F159" s="10">
        <v>1</v>
      </c>
      <c r="G159" s="10">
        <v>1</v>
      </c>
      <c r="H159" s="10">
        <v>1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8" t="s">
        <v>31</v>
      </c>
      <c r="P159" s="8" t="s">
        <v>31</v>
      </c>
      <c r="Q159" s="8" t="s">
        <v>31</v>
      </c>
      <c r="R159" s="8" t="s">
        <v>31</v>
      </c>
      <c r="S159" s="8" t="s">
        <v>31</v>
      </c>
      <c r="T159" s="8" t="s">
        <v>31</v>
      </c>
      <c r="U159" s="8" t="s">
        <v>31</v>
      </c>
      <c r="V159" s="8" t="s">
        <v>31</v>
      </c>
      <c r="W159" s="8" t="str">
        <f>_xlfn.IFNA(VLOOKUP(A159,[1]Sheet1!$A$1:$B$101,1,FALSE),"na")</f>
        <v>na</v>
      </c>
      <c r="X159" s="8" t="s">
        <v>35</v>
      </c>
      <c r="Y159" s="9">
        <v>575</v>
      </c>
      <c r="Z159" s="9">
        <v>287.5</v>
      </c>
      <c r="AA159" s="9">
        <v>575</v>
      </c>
      <c r="AB159" s="9">
        <v>575</v>
      </c>
    </row>
    <row r="160" spans="1:28" x14ac:dyDescent="0.25">
      <c r="A160" s="8" t="s">
        <v>361</v>
      </c>
      <c r="B160" s="8" t="s">
        <v>362</v>
      </c>
      <c r="C160" s="8" t="s">
        <v>30</v>
      </c>
      <c r="D160" s="10">
        <v>2.2000000000000002</v>
      </c>
      <c r="E160" s="10">
        <v>1</v>
      </c>
      <c r="F160" s="10">
        <v>1.2</v>
      </c>
      <c r="G160" s="10">
        <v>1</v>
      </c>
      <c r="H160" s="10">
        <v>1.2</v>
      </c>
      <c r="I160" s="10">
        <v>0</v>
      </c>
      <c r="J160" s="10">
        <v>0</v>
      </c>
      <c r="K160" s="10">
        <v>1</v>
      </c>
      <c r="L160" s="10">
        <v>0</v>
      </c>
      <c r="M160" s="10">
        <v>0</v>
      </c>
      <c r="N160" s="10">
        <v>0.2</v>
      </c>
      <c r="O160" s="8" t="s">
        <v>57</v>
      </c>
      <c r="P160" s="8" t="s">
        <v>31</v>
      </c>
      <c r="Q160" s="8" t="s">
        <v>31</v>
      </c>
      <c r="R160" s="8" t="s">
        <v>31</v>
      </c>
      <c r="S160" s="8" t="s">
        <v>31</v>
      </c>
      <c r="T160" s="8" t="s">
        <v>31</v>
      </c>
      <c r="U160" s="8" t="s">
        <v>31</v>
      </c>
      <c r="V160" s="8" t="s">
        <v>31</v>
      </c>
      <c r="W160" s="8" t="str">
        <f>_xlfn.IFNA(VLOOKUP(A160,[1]Sheet1!$A$1:$B$101,1,FALSE),"na")</f>
        <v>na</v>
      </c>
      <c r="X160" s="8" t="s">
        <v>350</v>
      </c>
      <c r="Y160" s="9">
        <v>142</v>
      </c>
      <c r="Z160" s="9">
        <v>64.545456000000001</v>
      </c>
      <c r="AA160" s="9">
        <v>142</v>
      </c>
      <c r="AB160" s="9">
        <v>118.33333</v>
      </c>
    </row>
    <row r="161" spans="1:28" x14ac:dyDescent="0.25">
      <c r="A161" s="8" t="s">
        <v>363</v>
      </c>
      <c r="B161" s="8" t="s">
        <v>364</v>
      </c>
      <c r="C161" s="8" t="s">
        <v>30</v>
      </c>
      <c r="D161" s="10">
        <v>2</v>
      </c>
      <c r="E161" s="10">
        <v>1</v>
      </c>
      <c r="F161" s="10">
        <v>1</v>
      </c>
      <c r="G161" s="10">
        <v>1</v>
      </c>
      <c r="H161" s="10">
        <v>1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8" t="s">
        <v>57</v>
      </c>
      <c r="P161" s="8" t="s">
        <v>31</v>
      </c>
      <c r="Q161" s="8" t="s">
        <v>31</v>
      </c>
      <c r="R161" s="8" t="s">
        <v>31</v>
      </c>
      <c r="S161" s="8" t="s">
        <v>31</v>
      </c>
      <c r="T161" s="8" t="s">
        <v>31</v>
      </c>
      <c r="U161" s="8" t="s">
        <v>31</v>
      </c>
      <c r="V161" s="8" t="s">
        <v>31</v>
      </c>
      <c r="W161" s="8" t="str">
        <f>_xlfn.IFNA(VLOOKUP(A161,[1]Sheet1!$A$1:$B$101,1,FALSE),"na")</f>
        <v>na</v>
      </c>
      <c r="X161" s="8" t="s">
        <v>35</v>
      </c>
      <c r="Y161" s="9">
        <v>147</v>
      </c>
      <c r="Z161" s="9">
        <v>73.5</v>
      </c>
      <c r="AA161" s="9">
        <v>147</v>
      </c>
      <c r="AB161" s="9">
        <v>147</v>
      </c>
    </row>
    <row r="162" spans="1:28" x14ac:dyDescent="0.25">
      <c r="A162" s="8" t="s">
        <v>365</v>
      </c>
      <c r="B162" s="8" t="s">
        <v>366</v>
      </c>
      <c r="C162" s="8" t="s">
        <v>67</v>
      </c>
      <c r="D162" s="10">
        <v>2.2999999999999998</v>
      </c>
      <c r="E162" s="10">
        <v>0</v>
      </c>
      <c r="F162" s="10">
        <v>2.2999999999999998</v>
      </c>
      <c r="G162" s="10">
        <v>0</v>
      </c>
      <c r="H162" s="10">
        <v>2.2999999999999998</v>
      </c>
      <c r="I162" s="10">
        <v>0</v>
      </c>
      <c r="J162" s="10">
        <v>0</v>
      </c>
      <c r="K162" s="10">
        <v>0</v>
      </c>
      <c r="L162" s="10">
        <v>0.30000000999999998</v>
      </c>
      <c r="M162" s="10">
        <v>0</v>
      </c>
      <c r="N162" s="10">
        <v>0.30000000999999998</v>
      </c>
      <c r="O162" s="8" t="s">
        <v>57</v>
      </c>
      <c r="P162" s="8" t="s">
        <v>31</v>
      </c>
      <c r="Q162" s="8" t="s">
        <v>31</v>
      </c>
      <c r="R162" s="8" t="s">
        <v>31</v>
      </c>
      <c r="S162" s="8" t="s">
        <v>31</v>
      </c>
      <c r="T162" s="8" t="s">
        <v>31</v>
      </c>
      <c r="U162" s="8" t="s">
        <v>31</v>
      </c>
      <c r="V162" s="8" t="s">
        <v>31</v>
      </c>
      <c r="W162" s="8" t="str">
        <f>_xlfn.IFNA(VLOOKUP(A162,[1]Sheet1!$A$1:$B$101,1,FALSE),"na")</f>
        <v>na</v>
      </c>
      <c r="X162" s="8" t="s">
        <v>35</v>
      </c>
      <c r="Y162" s="9">
        <v>246</v>
      </c>
      <c r="Z162" s="9">
        <v>106.95653</v>
      </c>
      <c r="AA162" s="9">
        <v>246</v>
      </c>
      <c r="AB162" s="9">
        <v>106.95653</v>
      </c>
    </row>
    <row r="163" spans="1:28" x14ac:dyDescent="0.25">
      <c r="A163" s="8" t="s">
        <v>367</v>
      </c>
      <c r="B163" s="8" t="s">
        <v>368</v>
      </c>
      <c r="C163" s="8" t="s">
        <v>67</v>
      </c>
      <c r="D163" s="10">
        <v>2.2000000000000002</v>
      </c>
      <c r="E163" s="10">
        <v>1</v>
      </c>
      <c r="F163" s="10">
        <v>1.2</v>
      </c>
      <c r="G163" s="10">
        <v>1</v>
      </c>
      <c r="H163" s="10">
        <v>1.2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0.2</v>
      </c>
      <c r="O163" s="8" t="s">
        <v>31</v>
      </c>
      <c r="P163" s="8" t="s">
        <v>31</v>
      </c>
      <c r="Q163" s="8" t="s">
        <v>31</v>
      </c>
      <c r="R163" s="8" t="s">
        <v>57</v>
      </c>
      <c r="S163" s="8" t="s">
        <v>31</v>
      </c>
      <c r="T163" s="8" t="s">
        <v>31</v>
      </c>
      <c r="U163" s="8" t="s">
        <v>31</v>
      </c>
      <c r="V163" s="8" t="s">
        <v>31</v>
      </c>
      <c r="W163" s="8" t="str">
        <f>_xlfn.IFNA(VLOOKUP(A163,[1]Sheet1!$A$1:$B$101,1,FALSE),"na")</f>
        <v>na</v>
      </c>
      <c r="X163" s="8" t="s">
        <v>35</v>
      </c>
      <c r="Y163" s="9">
        <v>370</v>
      </c>
      <c r="Z163" s="9">
        <v>168.18181000000001</v>
      </c>
      <c r="AA163" s="9">
        <v>370</v>
      </c>
      <c r="AB163" s="9">
        <v>308.33330999999998</v>
      </c>
    </row>
    <row r="164" spans="1:28" x14ac:dyDescent="0.25">
      <c r="A164" s="8" t="s">
        <v>369</v>
      </c>
      <c r="B164" s="8" t="s">
        <v>370</v>
      </c>
      <c r="C164" s="8" t="s">
        <v>67</v>
      </c>
      <c r="D164" s="10">
        <v>2.2000000000000002</v>
      </c>
      <c r="E164" s="10">
        <v>1</v>
      </c>
      <c r="F164" s="10">
        <v>1.2</v>
      </c>
      <c r="G164" s="10">
        <v>1</v>
      </c>
      <c r="H164" s="10">
        <v>1.2</v>
      </c>
      <c r="I164" s="10">
        <v>0</v>
      </c>
      <c r="J164" s="10">
        <v>0</v>
      </c>
      <c r="K164" s="10">
        <v>0</v>
      </c>
      <c r="L164" s="10">
        <v>0.2</v>
      </c>
      <c r="M164" s="10">
        <v>0</v>
      </c>
      <c r="N164" s="10">
        <v>0.2</v>
      </c>
      <c r="O164" s="8" t="s">
        <v>57</v>
      </c>
      <c r="P164" s="8" t="s">
        <v>31</v>
      </c>
      <c r="Q164" s="8" t="s">
        <v>31</v>
      </c>
      <c r="R164" s="8" t="s">
        <v>31</v>
      </c>
      <c r="S164" s="8" t="s">
        <v>31</v>
      </c>
      <c r="T164" s="8" t="s">
        <v>31</v>
      </c>
      <c r="U164" s="8" t="s">
        <v>31</v>
      </c>
      <c r="V164" s="8" t="s">
        <v>31</v>
      </c>
      <c r="W164" s="8" t="str">
        <f>_xlfn.IFNA(VLOOKUP(A164,[1]Sheet1!$A$1:$B$101,1,FALSE),"na")</f>
        <v>na</v>
      </c>
      <c r="X164" s="8" t="s">
        <v>35</v>
      </c>
      <c r="Y164" s="9">
        <v>164</v>
      </c>
      <c r="Z164" s="9">
        <v>74.545456000000001</v>
      </c>
      <c r="AA164" s="9">
        <v>164</v>
      </c>
      <c r="AB164" s="9">
        <v>136.66666000000001</v>
      </c>
    </row>
    <row r="165" spans="1:28" x14ac:dyDescent="0.25">
      <c r="A165" s="8" t="s">
        <v>371</v>
      </c>
      <c r="B165" s="8" t="s">
        <v>372</v>
      </c>
      <c r="C165" s="8" t="s">
        <v>67</v>
      </c>
      <c r="D165" s="10">
        <v>2.6666701000000002</v>
      </c>
      <c r="E165" s="10">
        <v>1.4</v>
      </c>
      <c r="F165" s="10">
        <v>1.26667</v>
      </c>
      <c r="G165" s="10">
        <v>1</v>
      </c>
      <c r="H165" s="10">
        <v>1.26667</v>
      </c>
      <c r="I165" s="10">
        <v>0.40000001000000002</v>
      </c>
      <c r="J165" s="10">
        <v>0</v>
      </c>
      <c r="K165" s="10">
        <v>0</v>
      </c>
      <c r="L165" s="10">
        <v>0</v>
      </c>
      <c r="M165" s="10">
        <v>0</v>
      </c>
      <c r="N165" s="10">
        <v>0.26666999000000002</v>
      </c>
      <c r="O165" s="8" t="s">
        <v>57</v>
      </c>
      <c r="P165" s="8" t="s">
        <v>57</v>
      </c>
      <c r="Q165" s="8" t="s">
        <v>31</v>
      </c>
      <c r="R165" s="8" t="s">
        <v>31</v>
      </c>
      <c r="S165" s="8" t="s">
        <v>31</v>
      </c>
      <c r="T165" s="8" t="s">
        <v>31</v>
      </c>
      <c r="U165" s="8" t="s">
        <v>31</v>
      </c>
      <c r="V165" s="8" t="s">
        <v>31</v>
      </c>
      <c r="W165" s="8" t="str">
        <f>_xlfn.IFNA(VLOOKUP(A165,[1]Sheet1!$A$1:$B$101,1,FALSE),"na")</f>
        <v>na</v>
      </c>
      <c r="X165" s="8" t="s">
        <v>35</v>
      </c>
      <c r="Y165" s="9">
        <v>199</v>
      </c>
      <c r="Z165" s="9">
        <v>74.624900999999994</v>
      </c>
      <c r="AA165" s="9">
        <v>142.14285000000001</v>
      </c>
      <c r="AB165" s="9">
        <v>157.10486</v>
      </c>
    </row>
    <row r="166" spans="1:28" x14ac:dyDescent="0.25">
      <c r="A166" s="8" t="s">
        <v>373</v>
      </c>
      <c r="B166" s="8" t="s">
        <v>374</v>
      </c>
      <c r="C166" s="8" t="s">
        <v>67</v>
      </c>
      <c r="D166" s="10">
        <v>2.26667</v>
      </c>
      <c r="E166" s="10">
        <v>1</v>
      </c>
      <c r="F166" s="10">
        <v>1.26667</v>
      </c>
      <c r="G166" s="10">
        <v>1</v>
      </c>
      <c r="H166" s="10">
        <v>1.26667</v>
      </c>
      <c r="I166" s="10">
        <v>0</v>
      </c>
      <c r="J166" s="10">
        <v>0</v>
      </c>
      <c r="K166" s="10">
        <v>1</v>
      </c>
      <c r="L166" s="10">
        <v>0</v>
      </c>
      <c r="M166" s="10">
        <v>0</v>
      </c>
      <c r="N166" s="10">
        <v>0.26666999000000002</v>
      </c>
      <c r="O166" s="8" t="s">
        <v>31</v>
      </c>
      <c r="P166" s="8" t="s">
        <v>31</v>
      </c>
      <c r="Q166" s="8" t="s">
        <v>31</v>
      </c>
      <c r="R166" s="8" t="s">
        <v>31</v>
      </c>
      <c r="S166" s="8" t="s">
        <v>31</v>
      </c>
      <c r="T166" s="8" t="s">
        <v>31</v>
      </c>
      <c r="U166" s="8" t="s">
        <v>31</v>
      </c>
      <c r="V166" s="8" t="s">
        <v>31</v>
      </c>
      <c r="W166" s="8" t="str">
        <f>_xlfn.IFNA(VLOOKUP(A166,[1]Sheet1!$A$1:$B$101,1,FALSE),"na")</f>
        <v>na</v>
      </c>
      <c r="X166" s="8" t="s">
        <v>375</v>
      </c>
      <c r="Y166" s="9">
        <v>139</v>
      </c>
      <c r="Z166" s="9">
        <v>61.323441000000003</v>
      </c>
      <c r="AA166" s="9">
        <v>139</v>
      </c>
      <c r="AB166" s="9">
        <v>109.73656</v>
      </c>
    </row>
    <row r="167" spans="1:28" x14ac:dyDescent="0.25">
      <c r="A167" s="8" t="s">
        <v>376</v>
      </c>
      <c r="B167" s="8" t="s">
        <v>377</v>
      </c>
      <c r="C167" s="8" t="s">
        <v>80</v>
      </c>
      <c r="D167" s="10">
        <v>4</v>
      </c>
      <c r="E167" s="10">
        <v>3</v>
      </c>
      <c r="F167" s="10">
        <v>1</v>
      </c>
      <c r="G167" s="10">
        <v>3</v>
      </c>
      <c r="H167" s="10">
        <v>1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8" t="s">
        <v>57</v>
      </c>
      <c r="P167" s="8" t="s">
        <v>31</v>
      </c>
      <c r="Q167" s="8" t="s">
        <v>31</v>
      </c>
      <c r="R167" s="8" t="s">
        <v>31</v>
      </c>
      <c r="S167" s="8" t="s">
        <v>31</v>
      </c>
      <c r="T167" s="8" t="s">
        <v>31</v>
      </c>
      <c r="U167" s="8" t="s">
        <v>31</v>
      </c>
      <c r="V167" s="8" t="s">
        <v>31</v>
      </c>
      <c r="W167" s="8" t="str">
        <f>_xlfn.IFNA(VLOOKUP(A167,[1]Sheet1!$A$1:$B$101,1,FALSE),"na")</f>
        <v>na</v>
      </c>
      <c r="X167" s="8" t="s">
        <v>35</v>
      </c>
      <c r="Y167" s="9">
        <v>721</v>
      </c>
      <c r="Z167" s="9">
        <v>180.25</v>
      </c>
      <c r="AA167" s="9">
        <v>240.33332999999999</v>
      </c>
      <c r="AB167" s="9">
        <v>721</v>
      </c>
    </row>
    <row r="168" spans="1:28" x14ac:dyDescent="0.25">
      <c r="A168" s="8" t="s">
        <v>378</v>
      </c>
      <c r="B168" s="8" t="s">
        <v>379</v>
      </c>
      <c r="C168" s="8" t="s">
        <v>62</v>
      </c>
      <c r="D168" s="10">
        <v>6.1999997999999996</v>
      </c>
      <c r="E168" s="10">
        <v>4</v>
      </c>
      <c r="F168" s="10">
        <v>2.2000000000000002</v>
      </c>
      <c r="G168" s="10">
        <v>4</v>
      </c>
      <c r="H168" s="10">
        <v>2.2000000000000002</v>
      </c>
      <c r="I168" s="10">
        <v>0</v>
      </c>
      <c r="J168" s="10">
        <v>0</v>
      </c>
      <c r="K168" s="10">
        <v>0</v>
      </c>
      <c r="L168" s="10">
        <v>0.2</v>
      </c>
      <c r="M168" s="10">
        <v>0</v>
      </c>
      <c r="N168" s="10">
        <v>0.2</v>
      </c>
      <c r="O168" s="8" t="s">
        <v>57</v>
      </c>
      <c r="P168" s="8" t="s">
        <v>31</v>
      </c>
      <c r="Q168" s="8" t="s">
        <v>31</v>
      </c>
      <c r="R168" s="8" t="s">
        <v>31</v>
      </c>
      <c r="S168" s="8" t="s">
        <v>31</v>
      </c>
      <c r="T168" s="8" t="s">
        <v>31</v>
      </c>
      <c r="U168" s="8" t="s">
        <v>57</v>
      </c>
      <c r="V168" s="8" t="s">
        <v>31</v>
      </c>
      <c r="W168" s="8" t="str">
        <f>_xlfn.IFNA(VLOOKUP(A168,[1]Sheet1!$A$1:$B$101,1,FALSE),"na")</f>
        <v>na</v>
      </c>
      <c r="X168" s="8" t="s">
        <v>35</v>
      </c>
      <c r="Y168" s="9">
        <v>332</v>
      </c>
      <c r="Z168" s="9">
        <v>53.548389</v>
      </c>
      <c r="AA168" s="9">
        <v>83</v>
      </c>
      <c r="AB168" s="9">
        <v>150.90908999999999</v>
      </c>
    </row>
    <row r="169" spans="1:28" x14ac:dyDescent="0.25">
      <c r="A169" s="8" t="s">
        <v>380</v>
      </c>
      <c r="B169" s="8" t="s">
        <v>381</v>
      </c>
      <c r="C169" s="8" t="s">
        <v>38</v>
      </c>
      <c r="D169" s="10">
        <v>2.26667</v>
      </c>
      <c r="E169" s="10">
        <v>1</v>
      </c>
      <c r="F169" s="10">
        <v>1.26667</v>
      </c>
      <c r="G169" s="10">
        <v>1</v>
      </c>
      <c r="H169" s="10">
        <v>1.26667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0.26666999000000002</v>
      </c>
      <c r="O169" s="8" t="s">
        <v>31</v>
      </c>
      <c r="P169" s="8" t="s">
        <v>31</v>
      </c>
      <c r="Q169" s="8" t="s">
        <v>31</v>
      </c>
      <c r="R169" s="8" t="s">
        <v>31</v>
      </c>
      <c r="S169" s="8" t="s">
        <v>31</v>
      </c>
      <c r="T169" s="8" t="s">
        <v>31</v>
      </c>
      <c r="U169" s="8" t="s">
        <v>31</v>
      </c>
      <c r="V169" s="8" t="s">
        <v>31</v>
      </c>
      <c r="W169" s="8" t="str">
        <f>_xlfn.IFNA(VLOOKUP(A169,[1]Sheet1!$A$1:$B$101,1,FALSE),"na")</f>
        <v>na</v>
      </c>
      <c r="X169" s="8" t="s">
        <v>35</v>
      </c>
      <c r="Y169" s="9">
        <v>448</v>
      </c>
      <c r="Z169" s="9">
        <v>197.64677</v>
      </c>
      <c r="AA169" s="9">
        <v>448</v>
      </c>
      <c r="AB169" s="9">
        <v>353.68329</v>
      </c>
    </row>
    <row r="170" spans="1:28" x14ac:dyDescent="0.25">
      <c r="A170" s="8" t="s">
        <v>382</v>
      </c>
      <c r="B170" s="8" t="s">
        <v>383</v>
      </c>
      <c r="C170" s="8" t="s">
        <v>38</v>
      </c>
      <c r="D170" s="10">
        <v>2.2000000000000002</v>
      </c>
      <c r="E170" s="10">
        <v>1</v>
      </c>
      <c r="F170" s="10">
        <v>1.2</v>
      </c>
      <c r="G170" s="10">
        <v>1</v>
      </c>
      <c r="H170" s="10">
        <v>1.2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0.2</v>
      </c>
      <c r="O170" s="8" t="s">
        <v>57</v>
      </c>
      <c r="P170" s="8" t="s">
        <v>31</v>
      </c>
      <c r="Q170" s="8" t="s">
        <v>31</v>
      </c>
      <c r="R170" s="8" t="s">
        <v>31</v>
      </c>
      <c r="S170" s="8" t="s">
        <v>31</v>
      </c>
      <c r="T170" s="8" t="s">
        <v>31</v>
      </c>
      <c r="U170" s="8" t="s">
        <v>31</v>
      </c>
      <c r="V170" s="8" t="s">
        <v>31</v>
      </c>
      <c r="W170" s="8" t="str">
        <f>_xlfn.IFNA(VLOOKUP(A170,[1]Sheet1!$A$1:$B$101,1,FALSE),"na")</f>
        <v>na</v>
      </c>
      <c r="X170" s="8" t="s">
        <v>35</v>
      </c>
      <c r="Y170" s="9">
        <v>522</v>
      </c>
      <c r="Z170" s="9">
        <v>237.27271999999999</v>
      </c>
      <c r="AA170" s="9">
        <v>522</v>
      </c>
      <c r="AB170" s="9">
        <v>434.99997000000002</v>
      </c>
    </row>
    <row r="171" spans="1:28" x14ac:dyDescent="0.25">
      <c r="A171" s="8" t="s">
        <v>384</v>
      </c>
      <c r="B171" s="8" t="s">
        <v>385</v>
      </c>
      <c r="C171" s="8" t="s">
        <v>62</v>
      </c>
      <c r="D171" s="10">
        <v>5</v>
      </c>
      <c r="E171" s="10">
        <v>4</v>
      </c>
      <c r="F171" s="10">
        <v>1</v>
      </c>
      <c r="G171" s="10">
        <v>4</v>
      </c>
      <c r="H171" s="10">
        <v>1</v>
      </c>
      <c r="I171" s="10">
        <v>0</v>
      </c>
      <c r="J171" s="10">
        <v>0</v>
      </c>
      <c r="K171" s="10">
        <v>0</v>
      </c>
      <c r="L171" s="10">
        <v>1</v>
      </c>
      <c r="M171" s="10">
        <v>0</v>
      </c>
      <c r="N171" s="10">
        <v>0</v>
      </c>
      <c r="O171" s="8" t="s">
        <v>31</v>
      </c>
      <c r="P171" s="8" t="s">
        <v>31</v>
      </c>
      <c r="Q171" s="8" t="s">
        <v>31</v>
      </c>
      <c r="R171" s="8" t="s">
        <v>31</v>
      </c>
      <c r="S171" s="8" t="s">
        <v>31</v>
      </c>
      <c r="T171" s="8" t="s">
        <v>57</v>
      </c>
      <c r="U171" s="8" t="s">
        <v>31</v>
      </c>
      <c r="V171" s="8" t="s">
        <v>31</v>
      </c>
      <c r="W171" s="8" t="str">
        <f>_xlfn.IFNA(VLOOKUP(A171,[1]Sheet1!$A$1:$B$101,1,FALSE),"na")</f>
        <v>na</v>
      </c>
      <c r="X171" s="8" t="s">
        <v>35</v>
      </c>
      <c r="Y171" s="9">
        <v>323</v>
      </c>
      <c r="Z171" s="9">
        <v>64.599997999999999</v>
      </c>
      <c r="AA171" s="9">
        <v>80.75</v>
      </c>
      <c r="AB171" s="9">
        <v>323</v>
      </c>
    </row>
    <row r="172" spans="1:28" x14ac:dyDescent="0.25">
      <c r="A172" s="8" t="s">
        <v>386</v>
      </c>
      <c r="B172" s="8" t="s">
        <v>387</v>
      </c>
      <c r="C172" s="8" t="s">
        <v>62</v>
      </c>
      <c r="D172" s="10">
        <v>3</v>
      </c>
      <c r="E172" s="10">
        <v>2</v>
      </c>
      <c r="F172" s="10">
        <v>1</v>
      </c>
      <c r="G172" s="10">
        <v>2</v>
      </c>
      <c r="H172" s="10">
        <v>1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8" t="s">
        <v>57</v>
      </c>
      <c r="P172" s="8" t="s">
        <v>31</v>
      </c>
      <c r="Q172" s="8" t="s">
        <v>31</v>
      </c>
      <c r="R172" s="8" t="s">
        <v>31</v>
      </c>
      <c r="S172" s="8" t="s">
        <v>31</v>
      </c>
      <c r="T172" s="8" t="s">
        <v>31</v>
      </c>
      <c r="U172" s="8" t="s">
        <v>31</v>
      </c>
      <c r="V172" s="8" t="s">
        <v>31</v>
      </c>
      <c r="W172" s="8" t="str">
        <f>_xlfn.IFNA(VLOOKUP(A172,[1]Sheet1!$A$1:$B$101,1,FALSE),"na")</f>
        <v>na</v>
      </c>
      <c r="X172" s="8" t="s">
        <v>35</v>
      </c>
      <c r="Y172" s="9">
        <v>393</v>
      </c>
      <c r="Z172" s="9">
        <v>131</v>
      </c>
      <c r="AA172" s="9">
        <v>196.5</v>
      </c>
      <c r="AB172" s="9">
        <v>393</v>
      </c>
    </row>
    <row r="173" spans="1:28" x14ac:dyDescent="0.25">
      <c r="A173" s="8" t="s">
        <v>388</v>
      </c>
      <c r="B173" s="8" t="s">
        <v>389</v>
      </c>
      <c r="C173" s="8" t="s">
        <v>62</v>
      </c>
      <c r="D173" s="10">
        <v>2</v>
      </c>
      <c r="E173" s="10">
        <v>1</v>
      </c>
      <c r="F173" s="10">
        <v>1</v>
      </c>
      <c r="G173" s="10">
        <v>1</v>
      </c>
      <c r="H173" s="10">
        <v>1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8" t="s">
        <v>31</v>
      </c>
      <c r="P173" s="8" t="s">
        <v>31</v>
      </c>
      <c r="Q173" s="8" t="s">
        <v>31</v>
      </c>
      <c r="R173" s="8" t="s">
        <v>31</v>
      </c>
      <c r="S173" s="8" t="s">
        <v>31</v>
      </c>
      <c r="T173" s="8" t="s">
        <v>57</v>
      </c>
      <c r="U173" s="8" t="s">
        <v>31</v>
      </c>
      <c r="V173" s="8" t="s">
        <v>57</v>
      </c>
      <c r="W173" s="8" t="str">
        <f>_xlfn.IFNA(VLOOKUP(A173,[1]Sheet1!$A$1:$B$101,1,FALSE),"na")</f>
        <v>na</v>
      </c>
      <c r="X173" s="8" t="s">
        <v>35</v>
      </c>
      <c r="Y173" s="9">
        <v>125</v>
      </c>
      <c r="Z173" s="9">
        <v>62.5</v>
      </c>
      <c r="AA173" s="9">
        <v>125</v>
      </c>
      <c r="AB173" s="9">
        <v>125</v>
      </c>
    </row>
    <row r="174" spans="1:28" x14ac:dyDescent="0.25">
      <c r="A174" s="8" t="s">
        <v>390</v>
      </c>
      <c r="B174" s="8" t="s">
        <v>391</v>
      </c>
      <c r="C174" s="8" t="s">
        <v>80</v>
      </c>
      <c r="D174" s="10">
        <v>2</v>
      </c>
      <c r="E174" s="10">
        <v>2</v>
      </c>
      <c r="F174" s="10">
        <v>0</v>
      </c>
      <c r="G174" s="10">
        <v>2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8" t="s">
        <v>31</v>
      </c>
      <c r="P174" s="8" t="s">
        <v>31</v>
      </c>
      <c r="Q174" s="8" t="s">
        <v>31</v>
      </c>
      <c r="R174" s="8" t="s">
        <v>31</v>
      </c>
      <c r="S174" s="8" t="s">
        <v>31</v>
      </c>
      <c r="T174" s="8" t="s">
        <v>31</v>
      </c>
      <c r="U174" s="8" t="s">
        <v>31</v>
      </c>
      <c r="V174" s="8" t="s">
        <v>31</v>
      </c>
      <c r="W174" s="8" t="str">
        <f>_xlfn.IFNA(VLOOKUP(A174,[1]Sheet1!$A$1:$B$101,1,FALSE),"na")</f>
        <v>na</v>
      </c>
      <c r="X174" s="8" t="s">
        <v>392</v>
      </c>
      <c r="Y174" s="9">
        <v>315</v>
      </c>
      <c r="Z174" s="9">
        <v>157.5</v>
      </c>
      <c r="AA174" s="9">
        <v>157.5</v>
      </c>
      <c r="AB174" s="9">
        <v>315</v>
      </c>
    </row>
    <row r="175" spans="1:28" x14ac:dyDescent="0.25">
      <c r="A175" s="8" t="s">
        <v>393</v>
      </c>
      <c r="B175" s="8" t="s">
        <v>394</v>
      </c>
      <c r="C175" s="8" t="s">
        <v>62</v>
      </c>
      <c r="D175" s="10">
        <v>3</v>
      </c>
      <c r="E175" s="10">
        <v>2</v>
      </c>
      <c r="F175" s="10">
        <v>1</v>
      </c>
      <c r="G175" s="10">
        <v>2</v>
      </c>
      <c r="H175" s="10">
        <v>1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8" t="s">
        <v>31</v>
      </c>
      <c r="P175" s="8" t="s">
        <v>31</v>
      </c>
      <c r="Q175" s="8" t="s">
        <v>31</v>
      </c>
      <c r="R175" s="8" t="s">
        <v>57</v>
      </c>
      <c r="S175" s="8" t="s">
        <v>31</v>
      </c>
      <c r="T175" s="8" t="s">
        <v>31</v>
      </c>
      <c r="U175" s="8" t="s">
        <v>31</v>
      </c>
      <c r="V175" s="8" t="s">
        <v>31</v>
      </c>
      <c r="W175" s="8" t="str">
        <f>_xlfn.IFNA(VLOOKUP(A175,[1]Sheet1!$A$1:$B$101,1,FALSE),"na")</f>
        <v>na</v>
      </c>
      <c r="X175" s="8" t="s">
        <v>35</v>
      </c>
      <c r="Y175" s="9">
        <v>410</v>
      </c>
      <c r="Z175" s="9">
        <v>136.66667000000001</v>
      </c>
      <c r="AA175" s="9">
        <v>205</v>
      </c>
      <c r="AB175" s="9">
        <v>410</v>
      </c>
    </row>
    <row r="176" spans="1:28" x14ac:dyDescent="0.25">
      <c r="A176" s="8" t="s">
        <v>395</v>
      </c>
      <c r="B176" s="8" t="s">
        <v>396</v>
      </c>
      <c r="C176" s="8" t="s">
        <v>67</v>
      </c>
      <c r="D176" s="10">
        <v>2</v>
      </c>
      <c r="E176" s="10">
        <v>2</v>
      </c>
      <c r="F176" s="10">
        <v>0</v>
      </c>
      <c r="G176" s="10">
        <v>2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8" t="s">
        <v>31</v>
      </c>
      <c r="P176" s="8" t="s">
        <v>31</v>
      </c>
      <c r="Q176" s="8" t="s">
        <v>31</v>
      </c>
      <c r="R176" s="8" t="s">
        <v>31</v>
      </c>
      <c r="S176" s="8" t="s">
        <v>31</v>
      </c>
      <c r="T176" s="8" t="s">
        <v>31</v>
      </c>
      <c r="U176" s="8" t="s">
        <v>31</v>
      </c>
      <c r="V176" s="8" t="s">
        <v>31</v>
      </c>
      <c r="W176" s="8" t="str">
        <f>_xlfn.IFNA(VLOOKUP(A176,[1]Sheet1!$A$1:$B$101,1,FALSE),"na")</f>
        <v>na</v>
      </c>
      <c r="X176" s="8" t="s">
        <v>35</v>
      </c>
      <c r="Y176" s="9">
        <v>155</v>
      </c>
      <c r="Z176" s="9">
        <v>77.5</v>
      </c>
      <c r="AA176" s="9">
        <v>77.5</v>
      </c>
      <c r="AB176" s="9">
        <v>155</v>
      </c>
    </row>
    <row r="177" spans="1:28" x14ac:dyDescent="0.25">
      <c r="A177" s="8" t="s">
        <v>397</v>
      </c>
      <c r="B177" s="8" t="s">
        <v>398</v>
      </c>
      <c r="C177" s="8" t="s">
        <v>30</v>
      </c>
      <c r="D177" s="10">
        <v>2</v>
      </c>
      <c r="E177" s="10">
        <v>1</v>
      </c>
      <c r="F177" s="10">
        <v>1</v>
      </c>
      <c r="G177" s="10">
        <v>1</v>
      </c>
      <c r="H177" s="10">
        <v>1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8" t="s">
        <v>31</v>
      </c>
      <c r="P177" s="8" t="s">
        <v>31</v>
      </c>
      <c r="Q177" s="8" t="s">
        <v>31</v>
      </c>
      <c r="R177" s="8" t="s">
        <v>31</v>
      </c>
      <c r="S177" s="8" t="s">
        <v>31</v>
      </c>
      <c r="T177" s="8" t="s">
        <v>31</v>
      </c>
      <c r="U177" s="8" t="s">
        <v>31</v>
      </c>
      <c r="V177" s="8" t="s">
        <v>31</v>
      </c>
      <c r="W177" s="8" t="str">
        <f>_xlfn.IFNA(VLOOKUP(A177,[1]Sheet1!$A$1:$B$101,1,FALSE),"na")</f>
        <v>na</v>
      </c>
      <c r="X177" s="8" t="s">
        <v>35</v>
      </c>
      <c r="Y177" s="9">
        <v>412</v>
      </c>
      <c r="Z177" s="9">
        <v>206</v>
      </c>
      <c r="AA177" s="9">
        <v>412</v>
      </c>
      <c r="AB177" s="9">
        <v>412</v>
      </c>
    </row>
    <row r="178" spans="1:28" x14ac:dyDescent="0.25">
      <c r="A178" s="8" t="s">
        <v>399</v>
      </c>
      <c r="B178" s="8" t="s">
        <v>400</v>
      </c>
      <c r="C178" s="8" t="s">
        <v>62</v>
      </c>
      <c r="D178" s="10">
        <v>10.1</v>
      </c>
      <c r="E178" s="10">
        <v>9</v>
      </c>
      <c r="F178" s="10">
        <v>1.1000000000000001</v>
      </c>
      <c r="G178" s="10">
        <v>9</v>
      </c>
      <c r="H178" s="10">
        <v>1.1000000000000001</v>
      </c>
      <c r="I178" s="10">
        <v>0</v>
      </c>
      <c r="J178" s="10">
        <v>0</v>
      </c>
      <c r="K178" s="10">
        <v>1</v>
      </c>
      <c r="L178" s="10">
        <v>0.1</v>
      </c>
      <c r="M178" s="10">
        <v>0</v>
      </c>
      <c r="N178" s="10">
        <v>0.1</v>
      </c>
      <c r="O178" s="8" t="s">
        <v>31</v>
      </c>
      <c r="P178" s="8" t="s">
        <v>31</v>
      </c>
      <c r="Q178" s="8" t="s">
        <v>31</v>
      </c>
      <c r="R178" s="8" t="s">
        <v>31</v>
      </c>
      <c r="S178" s="8" t="s">
        <v>31</v>
      </c>
      <c r="T178" s="8" t="s">
        <v>31</v>
      </c>
      <c r="U178" s="8" t="s">
        <v>31</v>
      </c>
      <c r="V178" s="8" t="s">
        <v>31</v>
      </c>
      <c r="W178" s="8" t="str">
        <f>_xlfn.IFNA(VLOOKUP(A178,[1]Sheet1!$A$1:$B$101,1,FALSE),"na")</f>
        <v>na</v>
      </c>
      <c r="X178" s="8" t="s">
        <v>35</v>
      </c>
      <c r="Y178" s="9">
        <v>1378</v>
      </c>
      <c r="Z178" s="9">
        <v>136.43564000000001</v>
      </c>
      <c r="AA178" s="9">
        <v>153.11111</v>
      </c>
      <c r="AB178" s="9">
        <v>1252.7273</v>
      </c>
    </row>
    <row r="179" spans="1:28" x14ac:dyDescent="0.25">
      <c r="A179" s="8" t="s">
        <v>401</v>
      </c>
      <c r="B179" s="8" t="s">
        <v>402</v>
      </c>
      <c r="C179" s="8" t="s">
        <v>62</v>
      </c>
      <c r="D179" s="10">
        <v>10.6</v>
      </c>
      <c r="E179" s="10">
        <v>9</v>
      </c>
      <c r="F179" s="10">
        <v>1.6</v>
      </c>
      <c r="G179" s="10">
        <v>9</v>
      </c>
      <c r="H179" s="10">
        <v>1.6</v>
      </c>
      <c r="I179" s="10">
        <v>0</v>
      </c>
      <c r="J179" s="10">
        <v>0</v>
      </c>
      <c r="K179" s="10">
        <v>2</v>
      </c>
      <c r="L179" s="10">
        <v>0</v>
      </c>
      <c r="M179" s="10">
        <v>0</v>
      </c>
      <c r="N179" s="10">
        <v>0.60000001999999997</v>
      </c>
      <c r="O179" s="8" t="s">
        <v>31</v>
      </c>
      <c r="P179" s="8" t="s">
        <v>31</v>
      </c>
      <c r="Q179" s="8" t="s">
        <v>31</v>
      </c>
      <c r="R179" s="8" t="s">
        <v>31</v>
      </c>
      <c r="S179" s="8" t="s">
        <v>31</v>
      </c>
      <c r="T179" s="8" t="s">
        <v>31</v>
      </c>
      <c r="U179" s="8" t="s">
        <v>31</v>
      </c>
      <c r="V179" s="8" t="s">
        <v>31</v>
      </c>
      <c r="W179" s="8" t="str">
        <f>_xlfn.IFNA(VLOOKUP(A179,[1]Sheet1!$A$1:$B$101,1,FALSE),"na")</f>
        <v>na</v>
      </c>
      <c r="X179" s="8" t="s">
        <v>35</v>
      </c>
      <c r="Y179" s="9">
        <v>2248</v>
      </c>
      <c r="Z179" s="9">
        <v>212.07547</v>
      </c>
      <c r="AA179" s="9">
        <v>249.77777</v>
      </c>
      <c r="AB179" s="9">
        <v>1405</v>
      </c>
    </row>
    <row r="180" spans="1:28" x14ac:dyDescent="0.25">
      <c r="A180" s="8" t="s">
        <v>403</v>
      </c>
      <c r="B180" s="8" t="s">
        <v>404</v>
      </c>
      <c r="C180" s="8" t="s">
        <v>62</v>
      </c>
      <c r="D180" s="10">
        <v>5.1999997999999996</v>
      </c>
      <c r="E180" s="10">
        <v>4</v>
      </c>
      <c r="F180" s="10">
        <v>1.2</v>
      </c>
      <c r="G180" s="10">
        <v>4</v>
      </c>
      <c r="H180" s="10">
        <v>1.2</v>
      </c>
      <c r="I180" s="10">
        <v>0</v>
      </c>
      <c r="J180" s="10">
        <v>0</v>
      </c>
      <c r="K180" s="10">
        <v>0</v>
      </c>
      <c r="L180" s="10">
        <v>0.2</v>
      </c>
      <c r="M180" s="10">
        <v>0</v>
      </c>
      <c r="N180" s="10">
        <v>0.2</v>
      </c>
      <c r="O180" s="8" t="s">
        <v>57</v>
      </c>
      <c r="P180" s="8" t="s">
        <v>31</v>
      </c>
      <c r="Q180" s="8" t="s">
        <v>31</v>
      </c>
      <c r="R180" s="8" t="s">
        <v>31</v>
      </c>
      <c r="S180" s="8" t="s">
        <v>31</v>
      </c>
      <c r="T180" s="8" t="s">
        <v>31</v>
      </c>
      <c r="U180" s="8" t="s">
        <v>31</v>
      </c>
      <c r="V180" s="8" t="s">
        <v>31</v>
      </c>
      <c r="W180" s="8" t="str">
        <f>_xlfn.IFNA(VLOOKUP(A180,[1]Sheet1!$A$1:$B$101,1,FALSE),"na")</f>
        <v>na</v>
      </c>
      <c r="X180" s="8" t="s">
        <v>35</v>
      </c>
      <c r="Y180" s="9">
        <v>531</v>
      </c>
      <c r="Z180" s="9">
        <v>102.11539</v>
      </c>
      <c r="AA180" s="9">
        <v>132.75</v>
      </c>
      <c r="AB180" s="9">
        <v>442.49997000000002</v>
      </c>
    </row>
    <row r="181" spans="1:28" x14ac:dyDescent="0.25">
      <c r="A181" s="8" t="s">
        <v>405</v>
      </c>
      <c r="B181" s="8" t="s">
        <v>406</v>
      </c>
      <c r="C181" s="8" t="s">
        <v>62</v>
      </c>
      <c r="D181" s="10">
        <v>5.1999997999999996</v>
      </c>
      <c r="E181" s="10">
        <v>3</v>
      </c>
      <c r="F181" s="10">
        <v>2.2000000000000002</v>
      </c>
      <c r="G181" s="10">
        <v>3</v>
      </c>
      <c r="H181" s="10">
        <v>2.2000000000000002</v>
      </c>
      <c r="I181" s="10">
        <v>0</v>
      </c>
      <c r="J181" s="10">
        <v>0</v>
      </c>
      <c r="K181" s="10">
        <v>0</v>
      </c>
      <c r="L181" s="10">
        <v>0.2</v>
      </c>
      <c r="M181" s="10">
        <v>0</v>
      </c>
      <c r="N181" s="10">
        <v>0.2</v>
      </c>
      <c r="O181" s="8" t="s">
        <v>31</v>
      </c>
      <c r="P181" s="8" t="s">
        <v>31</v>
      </c>
      <c r="Q181" s="8" t="s">
        <v>31</v>
      </c>
      <c r="R181" s="8" t="s">
        <v>31</v>
      </c>
      <c r="S181" s="8" t="s">
        <v>31</v>
      </c>
      <c r="T181" s="8" t="s">
        <v>57</v>
      </c>
      <c r="U181" s="8" t="s">
        <v>31</v>
      </c>
      <c r="V181" s="8" t="s">
        <v>57</v>
      </c>
      <c r="W181" s="8" t="str">
        <f>_xlfn.IFNA(VLOOKUP(A181,[1]Sheet1!$A$1:$B$101,1,FALSE),"na")</f>
        <v>na</v>
      </c>
      <c r="X181" s="8" t="s">
        <v>350</v>
      </c>
      <c r="Y181" s="9">
        <v>393</v>
      </c>
      <c r="Z181" s="9">
        <v>75.576926999999998</v>
      </c>
      <c r="AA181" s="9">
        <v>131</v>
      </c>
      <c r="AB181" s="9">
        <v>178.63634999999999</v>
      </c>
    </row>
    <row r="182" spans="1:28" x14ac:dyDescent="0.25">
      <c r="A182" s="8" t="s">
        <v>407</v>
      </c>
      <c r="B182" s="8" t="s">
        <v>408</v>
      </c>
      <c r="C182" s="8" t="s">
        <v>62</v>
      </c>
      <c r="D182" s="10">
        <v>4.1999997999999996</v>
      </c>
      <c r="E182" s="10">
        <v>2</v>
      </c>
      <c r="F182" s="10">
        <v>2.2000000000000002</v>
      </c>
      <c r="G182" s="10">
        <v>2</v>
      </c>
      <c r="H182" s="10">
        <v>2.2000000000000002</v>
      </c>
      <c r="I182" s="10">
        <v>0</v>
      </c>
      <c r="J182" s="10">
        <v>0</v>
      </c>
      <c r="K182" s="10">
        <v>0</v>
      </c>
      <c r="L182" s="10">
        <v>0.2</v>
      </c>
      <c r="M182" s="10">
        <v>0</v>
      </c>
      <c r="N182" s="10">
        <v>0.2</v>
      </c>
      <c r="O182" s="8" t="s">
        <v>31</v>
      </c>
      <c r="P182" s="8" t="s">
        <v>31</v>
      </c>
      <c r="Q182" s="8" t="s">
        <v>31</v>
      </c>
      <c r="R182" s="8" t="s">
        <v>31</v>
      </c>
      <c r="S182" s="8" t="s">
        <v>31</v>
      </c>
      <c r="T182" s="8" t="s">
        <v>31</v>
      </c>
      <c r="U182" s="8" t="s">
        <v>31</v>
      </c>
      <c r="V182" s="8" t="s">
        <v>31</v>
      </c>
      <c r="W182" s="8" t="str">
        <f>_xlfn.IFNA(VLOOKUP(A182,[1]Sheet1!$A$1:$B$101,1,FALSE),"na")</f>
        <v>na</v>
      </c>
      <c r="X182" s="8" t="s">
        <v>35</v>
      </c>
      <c r="Y182" s="9">
        <v>449</v>
      </c>
      <c r="Z182" s="9">
        <v>106.90477</v>
      </c>
      <c r="AA182" s="9">
        <v>224.5</v>
      </c>
      <c r="AB182" s="9">
        <v>204.09091000000001</v>
      </c>
    </row>
    <row r="183" spans="1:28" x14ac:dyDescent="0.25">
      <c r="A183" s="8" t="s">
        <v>409</v>
      </c>
      <c r="B183" s="8" t="s">
        <v>410</v>
      </c>
      <c r="C183" s="8" t="s">
        <v>80</v>
      </c>
      <c r="D183" s="10">
        <v>2</v>
      </c>
      <c r="E183" s="10">
        <v>1</v>
      </c>
      <c r="F183" s="10">
        <v>1</v>
      </c>
      <c r="G183" s="10">
        <v>1</v>
      </c>
      <c r="H183" s="10">
        <v>1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8" t="s">
        <v>57</v>
      </c>
      <c r="P183" s="8" t="s">
        <v>31</v>
      </c>
      <c r="Q183" s="8" t="s">
        <v>31</v>
      </c>
      <c r="R183" s="8" t="s">
        <v>31</v>
      </c>
      <c r="S183" s="8" t="s">
        <v>31</v>
      </c>
      <c r="T183" s="8" t="s">
        <v>31</v>
      </c>
      <c r="U183" s="8" t="s">
        <v>31</v>
      </c>
      <c r="V183" s="8" t="s">
        <v>31</v>
      </c>
      <c r="W183" s="8" t="str">
        <f>_xlfn.IFNA(VLOOKUP(A183,[1]Sheet1!$A$1:$B$101,1,FALSE),"na")</f>
        <v>na</v>
      </c>
      <c r="X183" s="8" t="s">
        <v>35</v>
      </c>
      <c r="Y183" s="9">
        <v>361</v>
      </c>
      <c r="Z183" s="9">
        <v>180.5</v>
      </c>
      <c r="AA183" s="9">
        <v>361</v>
      </c>
      <c r="AB183" s="9">
        <v>361</v>
      </c>
    </row>
    <row r="184" spans="1:28" x14ac:dyDescent="0.25">
      <c r="A184" s="8" t="s">
        <v>411</v>
      </c>
      <c r="B184" s="8" t="s">
        <v>412</v>
      </c>
      <c r="C184" s="8" t="s">
        <v>89</v>
      </c>
      <c r="D184" s="10">
        <v>2</v>
      </c>
      <c r="E184" s="10">
        <v>2</v>
      </c>
      <c r="F184" s="10">
        <v>0</v>
      </c>
      <c r="G184" s="10">
        <v>2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8" t="s">
        <v>31</v>
      </c>
      <c r="P184" s="8" t="s">
        <v>31</v>
      </c>
      <c r="Q184" s="8" t="s">
        <v>31</v>
      </c>
      <c r="R184" s="8" t="s">
        <v>31</v>
      </c>
      <c r="S184" s="8" t="s">
        <v>31</v>
      </c>
      <c r="T184" s="8" t="s">
        <v>31</v>
      </c>
      <c r="U184" s="8" t="s">
        <v>31</v>
      </c>
      <c r="V184" s="8" t="s">
        <v>31</v>
      </c>
      <c r="W184" s="8" t="str">
        <f>_xlfn.IFNA(VLOOKUP(A184,[1]Sheet1!$A$1:$B$101,1,FALSE),"na")</f>
        <v>na</v>
      </c>
      <c r="X184" s="8" t="s">
        <v>35</v>
      </c>
      <c r="Y184" s="9">
        <v>306</v>
      </c>
      <c r="Z184" s="9">
        <v>153</v>
      </c>
      <c r="AA184" s="9">
        <v>153</v>
      </c>
      <c r="AB184" s="9">
        <v>306</v>
      </c>
    </row>
    <row r="185" spans="1:28" x14ac:dyDescent="0.25">
      <c r="A185" s="8" t="s">
        <v>413</v>
      </c>
      <c r="B185" s="8" t="s">
        <v>414</v>
      </c>
      <c r="C185" s="8" t="s">
        <v>80</v>
      </c>
      <c r="D185" s="10">
        <v>4</v>
      </c>
      <c r="E185" s="10">
        <v>4</v>
      </c>
      <c r="F185" s="10">
        <v>0</v>
      </c>
      <c r="G185" s="10">
        <v>4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8" t="s">
        <v>31</v>
      </c>
      <c r="P185" s="8" t="s">
        <v>31</v>
      </c>
      <c r="Q185" s="8" t="s">
        <v>31</v>
      </c>
      <c r="R185" s="8" t="s">
        <v>31</v>
      </c>
      <c r="S185" s="8" t="s">
        <v>31</v>
      </c>
      <c r="T185" s="8" t="s">
        <v>31</v>
      </c>
      <c r="U185" s="8" t="s">
        <v>31</v>
      </c>
      <c r="V185" s="8" t="s">
        <v>31</v>
      </c>
      <c r="W185" s="8" t="str">
        <f>_xlfn.IFNA(VLOOKUP(A185,[1]Sheet1!$A$1:$B$101,1,FALSE),"na")</f>
        <v>na</v>
      </c>
      <c r="X185" s="8" t="s">
        <v>392</v>
      </c>
      <c r="Y185" s="9">
        <v>315</v>
      </c>
      <c r="Z185" s="9">
        <v>78.75</v>
      </c>
      <c r="AA185" s="9">
        <v>78.75</v>
      </c>
      <c r="AB185" s="9">
        <v>315</v>
      </c>
    </row>
    <row r="186" spans="1:28" x14ac:dyDescent="0.25">
      <c r="A186" s="8" t="s">
        <v>415</v>
      </c>
      <c r="B186" s="8" t="s">
        <v>416</v>
      </c>
      <c r="C186" s="8" t="s">
        <v>67</v>
      </c>
      <c r="D186" s="10">
        <v>4.4000000999999997</v>
      </c>
      <c r="E186" s="10">
        <v>3</v>
      </c>
      <c r="F186" s="10">
        <v>1.4</v>
      </c>
      <c r="G186" s="10">
        <v>3</v>
      </c>
      <c r="H186" s="10">
        <v>1.4</v>
      </c>
      <c r="I186" s="10">
        <v>0</v>
      </c>
      <c r="J186" s="10">
        <v>0</v>
      </c>
      <c r="K186" s="10">
        <v>0</v>
      </c>
      <c r="L186" s="10">
        <v>0.40000001000000002</v>
      </c>
      <c r="M186" s="10">
        <v>0</v>
      </c>
      <c r="N186" s="10">
        <v>0.40000001000000002</v>
      </c>
      <c r="O186" s="8" t="s">
        <v>31</v>
      </c>
      <c r="P186" s="8" t="s">
        <v>31</v>
      </c>
      <c r="Q186" s="8" t="s">
        <v>31</v>
      </c>
      <c r="R186" s="8" t="s">
        <v>57</v>
      </c>
      <c r="S186" s="8" t="s">
        <v>31</v>
      </c>
      <c r="T186" s="8" t="s">
        <v>31</v>
      </c>
      <c r="U186" s="8" t="s">
        <v>31</v>
      </c>
      <c r="V186" s="8" t="s">
        <v>31</v>
      </c>
      <c r="W186" s="8" t="str">
        <f>_xlfn.IFNA(VLOOKUP(A186,[1]Sheet1!$A$1:$B$101,1,FALSE),"na")</f>
        <v>na</v>
      </c>
      <c r="X186" s="8" t="s">
        <v>35</v>
      </c>
      <c r="Y186" s="9">
        <v>350</v>
      </c>
      <c r="Z186" s="9">
        <v>79.545456000000001</v>
      </c>
      <c r="AA186" s="9">
        <v>116.66665999999999</v>
      </c>
      <c r="AB186" s="9">
        <v>250</v>
      </c>
    </row>
    <row r="187" spans="1:28" x14ac:dyDescent="0.25">
      <c r="A187" s="8" t="s">
        <v>417</v>
      </c>
      <c r="B187" s="8" t="s">
        <v>418</v>
      </c>
      <c r="C187" s="8" t="s">
        <v>38</v>
      </c>
      <c r="D187" s="10">
        <v>3.5999998999999998</v>
      </c>
      <c r="E187" s="10">
        <v>2</v>
      </c>
      <c r="F187" s="10">
        <v>1.6</v>
      </c>
      <c r="G187" s="10">
        <v>2</v>
      </c>
      <c r="H187" s="10">
        <v>1.6</v>
      </c>
      <c r="I187" s="10">
        <v>0</v>
      </c>
      <c r="J187" s="10">
        <v>0</v>
      </c>
      <c r="K187" s="10">
        <v>0</v>
      </c>
      <c r="L187" s="10">
        <v>0.2</v>
      </c>
      <c r="M187" s="10">
        <v>0</v>
      </c>
      <c r="N187" s="10">
        <v>0.60000001999999997</v>
      </c>
      <c r="O187" s="8" t="s">
        <v>57</v>
      </c>
      <c r="P187" s="8" t="s">
        <v>31</v>
      </c>
      <c r="Q187" s="8" t="s">
        <v>31</v>
      </c>
      <c r="R187" s="8" t="s">
        <v>31</v>
      </c>
      <c r="S187" s="8" t="s">
        <v>31</v>
      </c>
      <c r="T187" s="8" t="s">
        <v>31</v>
      </c>
      <c r="U187" s="8" t="s">
        <v>31</v>
      </c>
      <c r="V187" s="8" t="s">
        <v>31</v>
      </c>
      <c r="W187" s="8" t="str">
        <f>_xlfn.IFNA(VLOOKUP(A187,[1]Sheet1!$A$1:$B$101,1,FALSE),"na")</f>
        <v>na</v>
      </c>
      <c r="X187" s="8" t="s">
        <v>419</v>
      </c>
      <c r="Y187" s="9">
        <v>356</v>
      </c>
      <c r="Z187" s="9">
        <v>98.888892999999996</v>
      </c>
      <c r="AA187" s="9">
        <v>178</v>
      </c>
      <c r="AB187" s="9">
        <v>222.5</v>
      </c>
    </row>
    <row r="188" spans="1:28" x14ac:dyDescent="0.25">
      <c r="A188" s="8" t="s">
        <v>420</v>
      </c>
      <c r="B188" s="8" t="s">
        <v>421</v>
      </c>
      <c r="C188" s="8" t="s">
        <v>38</v>
      </c>
      <c r="D188" s="10">
        <v>2.2000000000000002</v>
      </c>
      <c r="E188" s="10">
        <v>2</v>
      </c>
      <c r="F188" s="10">
        <v>0.2</v>
      </c>
      <c r="G188" s="10">
        <v>2</v>
      </c>
      <c r="H188" s="10">
        <v>0.2</v>
      </c>
      <c r="I188" s="10">
        <v>0</v>
      </c>
      <c r="J188" s="10">
        <v>0</v>
      </c>
      <c r="K188" s="10">
        <v>0</v>
      </c>
      <c r="L188" s="10">
        <v>6.6670001000000007E-2</v>
      </c>
      <c r="M188" s="10">
        <v>0</v>
      </c>
      <c r="N188" s="10">
        <v>0.2</v>
      </c>
      <c r="O188" s="8" t="s">
        <v>31</v>
      </c>
      <c r="P188" s="8" t="s">
        <v>57</v>
      </c>
      <c r="Q188" s="8" t="s">
        <v>31</v>
      </c>
      <c r="R188" s="8" t="s">
        <v>31</v>
      </c>
      <c r="S188" s="8" t="s">
        <v>31</v>
      </c>
      <c r="T188" s="8" t="s">
        <v>31</v>
      </c>
      <c r="U188" s="8" t="s">
        <v>31</v>
      </c>
      <c r="V188" s="8" t="s">
        <v>31</v>
      </c>
      <c r="W188" s="8" t="str">
        <f>_xlfn.IFNA(VLOOKUP(A188,[1]Sheet1!$A$1:$B$101,1,FALSE),"na")</f>
        <v>na</v>
      </c>
      <c r="X188" s="8" t="s">
        <v>35</v>
      </c>
      <c r="Y188" s="9">
        <v>574</v>
      </c>
      <c r="Z188" s="9">
        <v>260.90908999999999</v>
      </c>
      <c r="AA188" s="9">
        <v>287</v>
      </c>
      <c r="AB188" s="9">
        <v>574</v>
      </c>
    </row>
    <row r="189" spans="1:28" x14ac:dyDescent="0.25">
      <c r="A189" s="8" t="s">
        <v>422</v>
      </c>
      <c r="B189" s="8" t="s">
        <v>423</v>
      </c>
      <c r="C189" s="8" t="s">
        <v>30</v>
      </c>
      <c r="D189" s="10">
        <v>1.4</v>
      </c>
      <c r="E189" s="10">
        <v>1</v>
      </c>
      <c r="F189" s="10">
        <v>0.40000001000000002</v>
      </c>
      <c r="G189" s="10">
        <v>1</v>
      </c>
      <c r="H189" s="10">
        <v>0.40000001000000002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0.40000001000000002</v>
      </c>
      <c r="O189" s="8" t="s">
        <v>31</v>
      </c>
      <c r="P189" s="8" t="s">
        <v>31</v>
      </c>
      <c r="Q189" s="8" t="s">
        <v>31</v>
      </c>
      <c r="R189" s="8" t="s">
        <v>31</v>
      </c>
      <c r="S189" s="8" t="s">
        <v>31</v>
      </c>
      <c r="T189" s="8" t="s">
        <v>31</v>
      </c>
      <c r="U189" s="8" t="s">
        <v>31</v>
      </c>
      <c r="V189" s="8" t="s">
        <v>31</v>
      </c>
      <c r="W189" s="8" t="str">
        <f>_xlfn.IFNA(VLOOKUP(A189,[1]Sheet1!$A$1:$B$101,1,FALSE),"na")</f>
        <v>na</v>
      </c>
      <c r="X189" s="8" t="s">
        <v>35</v>
      </c>
      <c r="Y189" s="9">
        <v>242</v>
      </c>
      <c r="Z189" s="9">
        <v>172.85714999999999</v>
      </c>
      <c r="AA189" s="9">
        <v>242</v>
      </c>
      <c r="AB189" s="9">
        <v>242</v>
      </c>
    </row>
    <row r="190" spans="1:28" x14ac:dyDescent="0.25">
      <c r="A190" s="8" t="s">
        <v>424</v>
      </c>
      <c r="B190" s="8" t="s">
        <v>425</v>
      </c>
      <c r="C190" s="8" t="s">
        <v>30</v>
      </c>
      <c r="D190" s="10">
        <v>1.6</v>
      </c>
      <c r="E190" s="10">
        <v>0</v>
      </c>
      <c r="F190" s="10">
        <v>1.6</v>
      </c>
      <c r="G190" s="10">
        <v>0</v>
      </c>
      <c r="H190" s="10">
        <v>1.6</v>
      </c>
      <c r="I190" s="10">
        <v>0</v>
      </c>
      <c r="J190" s="10">
        <v>0</v>
      </c>
      <c r="K190" s="10">
        <v>0</v>
      </c>
      <c r="L190" s="10">
        <v>0.60000001999999997</v>
      </c>
      <c r="M190" s="10">
        <v>0</v>
      </c>
      <c r="N190" s="10">
        <v>0.60000001999999997</v>
      </c>
      <c r="O190" s="8" t="s">
        <v>31</v>
      </c>
      <c r="P190" s="8" t="s">
        <v>31</v>
      </c>
      <c r="Q190" s="8" t="s">
        <v>31</v>
      </c>
      <c r="R190" s="8" t="s">
        <v>31</v>
      </c>
      <c r="S190" s="8" t="s">
        <v>31</v>
      </c>
      <c r="T190" s="8" t="s">
        <v>31</v>
      </c>
      <c r="U190" s="8" t="s">
        <v>31</v>
      </c>
      <c r="V190" s="8" t="s">
        <v>31</v>
      </c>
      <c r="W190" s="8" t="str">
        <f>_xlfn.IFNA(VLOOKUP(A190,[1]Sheet1!$A$1:$B$101,1,FALSE),"na")</f>
        <v>na</v>
      </c>
      <c r="X190" s="8" t="s">
        <v>426</v>
      </c>
      <c r="Y190" s="9">
        <v>190</v>
      </c>
      <c r="Z190" s="9">
        <v>118.75</v>
      </c>
      <c r="AA190" s="9">
        <v>190</v>
      </c>
      <c r="AB190" s="9">
        <v>118.75</v>
      </c>
    </row>
    <row r="191" spans="1:28" x14ac:dyDescent="0.25">
      <c r="A191" s="8" t="s">
        <v>427</v>
      </c>
      <c r="B191" s="8" t="s">
        <v>428</v>
      </c>
      <c r="C191" s="8" t="s">
        <v>38</v>
      </c>
      <c r="D191" s="10">
        <v>3.5999998999999998</v>
      </c>
      <c r="E191" s="10">
        <v>2</v>
      </c>
      <c r="F191" s="10">
        <v>1.6</v>
      </c>
      <c r="G191" s="10">
        <v>2</v>
      </c>
      <c r="H191" s="10">
        <v>1.6</v>
      </c>
      <c r="I191" s="10">
        <v>0</v>
      </c>
      <c r="J191" s="10">
        <v>0</v>
      </c>
      <c r="K191" s="10">
        <v>0</v>
      </c>
      <c r="L191" s="10">
        <v>0.2</v>
      </c>
      <c r="M191" s="10">
        <v>0</v>
      </c>
      <c r="N191" s="10">
        <v>0.60000001999999997</v>
      </c>
      <c r="O191" s="8" t="s">
        <v>31</v>
      </c>
      <c r="P191" s="8" t="s">
        <v>31</v>
      </c>
      <c r="Q191" s="8" t="s">
        <v>57</v>
      </c>
      <c r="R191" s="8" t="s">
        <v>31</v>
      </c>
      <c r="S191" s="8" t="s">
        <v>31</v>
      </c>
      <c r="T191" s="8" t="s">
        <v>31</v>
      </c>
      <c r="U191" s="8" t="s">
        <v>31</v>
      </c>
      <c r="V191" s="8" t="s">
        <v>31</v>
      </c>
      <c r="W191" s="8" t="str">
        <f>_xlfn.IFNA(VLOOKUP(A191,[1]Sheet1!$A$1:$B$101,1,FALSE),"na")</f>
        <v>na</v>
      </c>
      <c r="X191" s="8" t="s">
        <v>429</v>
      </c>
      <c r="Y191" s="9">
        <v>515</v>
      </c>
      <c r="Z191" s="9">
        <v>143.05556000000001</v>
      </c>
      <c r="AA191" s="9">
        <v>257.5</v>
      </c>
      <c r="AB191" s="9">
        <v>321.875</v>
      </c>
    </row>
    <row r="192" spans="1:28" x14ac:dyDescent="0.25">
      <c r="A192" s="8" t="s">
        <v>430</v>
      </c>
      <c r="B192" s="8" t="s">
        <v>431</v>
      </c>
      <c r="C192" s="8" t="s">
        <v>38</v>
      </c>
      <c r="D192" s="10">
        <v>3.2</v>
      </c>
      <c r="E192" s="10">
        <v>2</v>
      </c>
      <c r="F192" s="10">
        <v>1.2</v>
      </c>
      <c r="G192" s="10">
        <v>2</v>
      </c>
      <c r="H192" s="10">
        <v>1.2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0.2</v>
      </c>
      <c r="O192" s="8" t="s">
        <v>31</v>
      </c>
      <c r="P192" s="8" t="s">
        <v>31</v>
      </c>
      <c r="Q192" s="8" t="s">
        <v>57</v>
      </c>
      <c r="R192" s="8" t="s">
        <v>31</v>
      </c>
      <c r="S192" s="8" t="s">
        <v>31</v>
      </c>
      <c r="T192" s="8" t="s">
        <v>31</v>
      </c>
      <c r="U192" s="8" t="s">
        <v>31</v>
      </c>
      <c r="V192" s="8" t="s">
        <v>31</v>
      </c>
      <c r="W192" s="8" t="str">
        <f>_xlfn.IFNA(VLOOKUP(A192,[1]Sheet1!$A$1:$B$101,1,FALSE),"na")</f>
        <v>na</v>
      </c>
      <c r="X192" s="8" t="s">
        <v>35</v>
      </c>
      <c r="Y192" s="9">
        <v>433</v>
      </c>
      <c r="Z192" s="9">
        <v>135.3125</v>
      </c>
      <c r="AA192" s="9">
        <v>216.5</v>
      </c>
      <c r="AB192" s="9">
        <v>360.83330999999998</v>
      </c>
    </row>
    <row r="193" spans="1:28" x14ac:dyDescent="0.25">
      <c r="A193" s="8" t="s">
        <v>432</v>
      </c>
      <c r="B193" s="8" t="s">
        <v>433</v>
      </c>
      <c r="C193" s="8" t="s">
        <v>30</v>
      </c>
      <c r="D193" s="10">
        <v>2</v>
      </c>
      <c r="E193" s="10">
        <v>1</v>
      </c>
      <c r="F193" s="10">
        <v>1</v>
      </c>
      <c r="G193" s="10">
        <v>1</v>
      </c>
      <c r="H193" s="10">
        <v>1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8" t="s">
        <v>57</v>
      </c>
      <c r="P193" s="8" t="s">
        <v>31</v>
      </c>
      <c r="Q193" s="8" t="s">
        <v>31</v>
      </c>
      <c r="R193" s="8" t="s">
        <v>31</v>
      </c>
      <c r="S193" s="8" t="s">
        <v>31</v>
      </c>
      <c r="T193" s="8" t="s">
        <v>31</v>
      </c>
      <c r="U193" s="8" t="s">
        <v>31</v>
      </c>
      <c r="V193" s="8" t="s">
        <v>31</v>
      </c>
      <c r="W193" s="8" t="str">
        <f>_xlfn.IFNA(VLOOKUP(A193,[1]Sheet1!$A$1:$B$101,1,FALSE),"na")</f>
        <v>na</v>
      </c>
      <c r="X193" s="8" t="s">
        <v>434</v>
      </c>
      <c r="Y193" s="9">
        <v>323</v>
      </c>
      <c r="Z193" s="9">
        <v>161.5</v>
      </c>
      <c r="AA193" s="9">
        <v>323</v>
      </c>
      <c r="AB193" s="9">
        <v>323</v>
      </c>
    </row>
    <row r="194" spans="1:28" x14ac:dyDescent="0.25">
      <c r="A194" s="8" t="s">
        <v>435</v>
      </c>
      <c r="B194" s="8" t="s">
        <v>436</v>
      </c>
      <c r="C194" s="8" t="s">
        <v>38</v>
      </c>
      <c r="D194" s="10">
        <v>3.5999998999999998</v>
      </c>
      <c r="E194" s="10">
        <v>2</v>
      </c>
      <c r="F194" s="10">
        <v>1.6</v>
      </c>
      <c r="G194" s="10">
        <v>2</v>
      </c>
      <c r="H194" s="10">
        <v>1.6</v>
      </c>
      <c r="I194" s="10">
        <v>0</v>
      </c>
      <c r="J194" s="10">
        <v>0</v>
      </c>
      <c r="K194" s="10">
        <v>0</v>
      </c>
      <c r="L194" s="10">
        <v>0.2</v>
      </c>
      <c r="M194" s="10">
        <v>0</v>
      </c>
      <c r="N194" s="10">
        <v>0.60000001999999997</v>
      </c>
      <c r="O194" s="8" t="s">
        <v>31</v>
      </c>
      <c r="P194" s="8" t="s">
        <v>31</v>
      </c>
      <c r="Q194" s="8" t="s">
        <v>31</v>
      </c>
      <c r="R194" s="8" t="s">
        <v>31</v>
      </c>
      <c r="S194" s="8" t="s">
        <v>31</v>
      </c>
      <c r="T194" s="8" t="s">
        <v>31</v>
      </c>
      <c r="U194" s="8" t="s">
        <v>31</v>
      </c>
      <c r="V194" s="8" t="s">
        <v>31</v>
      </c>
      <c r="W194" s="8" t="str">
        <f>_xlfn.IFNA(VLOOKUP(A194,[1]Sheet1!$A$1:$B$101,1,FALSE),"na")</f>
        <v>na</v>
      </c>
      <c r="X194" s="8" t="s">
        <v>437</v>
      </c>
      <c r="Y194" s="9">
        <v>410</v>
      </c>
      <c r="Z194" s="9">
        <v>113.88889</v>
      </c>
      <c r="AA194" s="9">
        <v>205</v>
      </c>
      <c r="AB194" s="9">
        <v>256.25</v>
      </c>
    </row>
    <row r="195" spans="1:28" x14ac:dyDescent="0.25">
      <c r="A195" s="8" t="s">
        <v>438</v>
      </c>
      <c r="B195" s="8" t="s">
        <v>439</v>
      </c>
      <c r="C195" s="8" t="s">
        <v>30</v>
      </c>
      <c r="D195" s="10">
        <v>2.2000000000000002</v>
      </c>
      <c r="E195" s="10">
        <v>1</v>
      </c>
      <c r="F195" s="10">
        <v>1.2</v>
      </c>
      <c r="G195" s="10">
        <v>1</v>
      </c>
      <c r="H195" s="10">
        <v>1.2</v>
      </c>
      <c r="I195" s="10">
        <v>0</v>
      </c>
      <c r="J195" s="10">
        <v>0</v>
      </c>
      <c r="K195" s="10">
        <v>1</v>
      </c>
      <c r="L195" s="10">
        <v>0.2</v>
      </c>
      <c r="M195" s="10">
        <v>0</v>
      </c>
      <c r="N195" s="10">
        <v>0.2</v>
      </c>
      <c r="O195" s="8" t="s">
        <v>31</v>
      </c>
      <c r="P195" s="8" t="s">
        <v>31</v>
      </c>
      <c r="Q195" s="8" t="s">
        <v>31</v>
      </c>
      <c r="R195" s="8" t="s">
        <v>31</v>
      </c>
      <c r="S195" s="8" t="s">
        <v>31</v>
      </c>
      <c r="T195" s="8" t="s">
        <v>31</v>
      </c>
      <c r="U195" s="8" t="s">
        <v>31</v>
      </c>
      <c r="V195" s="8" t="s">
        <v>31</v>
      </c>
      <c r="W195" s="8" t="str">
        <f>_xlfn.IFNA(VLOOKUP(A195,[1]Sheet1!$A$1:$B$101,1,FALSE),"na")</f>
        <v>na</v>
      </c>
      <c r="X195" s="8" t="s">
        <v>426</v>
      </c>
      <c r="Y195" s="9">
        <v>223</v>
      </c>
      <c r="Z195" s="9">
        <v>101.36363</v>
      </c>
      <c r="AA195" s="9">
        <v>223</v>
      </c>
      <c r="AB195" s="9">
        <v>185.83332999999999</v>
      </c>
    </row>
    <row r="196" spans="1:28" x14ac:dyDescent="0.25">
      <c r="A196" s="8" t="s">
        <v>440</v>
      </c>
      <c r="B196" s="8" t="s">
        <v>441</v>
      </c>
      <c r="C196" s="8" t="s">
        <v>38</v>
      </c>
      <c r="D196" s="10">
        <v>2.2999999999999998</v>
      </c>
      <c r="E196" s="10">
        <v>2</v>
      </c>
      <c r="F196" s="10">
        <v>0.30000000999999998</v>
      </c>
      <c r="G196" s="10">
        <v>2</v>
      </c>
      <c r="H196" s="10">
        <v>0.30000000999999998</v>
      </c>
      <c r="I196" s="10">
        <v>0</v>
      </c>
      <c r="J196" s="10">
        <v>0</v>
      </c>
      <c r="K196" s="10">
        <v>0</v>
      </c>
      <c r="L196" s="10">
        <v>0.30000000999999998</v>
      </c>
      <c r="M196" s="10">
        <v>0</v>
      </c>
      <c r="N196" s="10">
        <v>0.30000000999999998</v>
      </c>
      <c r="O196" s="8" t="s">
        <v>31</v>
      </c>
      <c r="P196" s="8" t="s">
        <v>31</v>
      </c>
      <c r="Q196" s="8" t="s">
        <v>31</v>
      </c>
      <c r="R196" s="8" t="s">
        <v>31</v>
      </c>
      <c r="S196" s="8" t="s">
        <v>31</v>
      </c>
      <c r="T196" s="8" t="s">
        <v>31</v>
      </c>
      <c r="U196" s="8" t="s">
        <v>31</v>
      </c>
      <c r="V196" s="8" t="s">
        <v>31</v>
      </c>
      <c r="W196" s="8" t="str">
        <f>_xlfn.IFNA(VLOOKUP(A196,[1]Sheet1!$A$1:$B$101,1,FALSE),"na")</f>
        <v>na</v>
      </c>
      <c r="X196" s="8" t="s">
        <v>39</v>
      </c>
      <c r="Y196" s="9">
        <v>371</v>
      </c>
      <c r="Z196" s="9">
        <v>161.30435</v>
      </c>
      <c r="AA196" s="9">
        <v>185.5</v>
      </c>
      <c r="AB196" s="9">
        <v>371</v>
      </c>
    </row>
    <row r="197" spans="1:28" x14ac:dyDescent="0.25">
      <c r="A197" s="8" t="s">
        <v>442</v>
      </c>
      <c r="B197" s="8" t="s">
        <v>443</v>
      </c>
      <c r="C197" s="8" t="s">
        <v>444</v>
      </c>
      <c r="D197" s="10">
        <v>1.4</v>
      </c>
      <c r="E197" s="10">
        <v>1</v>
      </c>
      <c r="F197" s="10">
        <v>0.40000001000000002</v>
      </c>
      <c r="G197" s="10">
        <v>1</v>
      </c>
      <c r="H197" s="10">
        <v>0.40000001000000002</v>
      </c>
      <c r="I197" s="10">
        <v>0</v>
      </c>
      <c r="J197" s="10">
        <v>0</v>
      </c>
      <c r="K197" s="10">
        <v>1</v>
      </c>
      <c r="L197" s="10">
        <v>0.40000001000000002</v>
      </c>
      <c r="M197" s="10">
        <v>0</v>
      </c>
      <c r="N197" s="10">
        <v>0.40000001000000002</v>
      </c>
      <c r="O197" s="8" t="s">
        <v>31</v>
      </c>
      <c r="P197" s="8" t="s">
        <v>31</v>
      </c>
      <c r="Q197" s="8" t="s">
        <v>31</v>
      </c>
      <c r="R197" s="8" t="s">
        <v>31</v>
      </c>
      <c r="S197" s="8" t="s">
        <v>31</v>
      </c>
      <c r="T197" s="8" t="s">
        <v>31</v>
      </c>
      <c r="U197" s="8" t="s">
        <v>31</v>
      </c>
      <c r="V197" s="8" t="s">
        <v>31</v>
      </c>
      <c r="W197" s="8" t="str">
        <f>_xlfn.IFNA(VLOOKUP(A197,[1]Sheet1!$A$1:$B$101,1,FALSE),"na")</f>
        <v>na</v>
      </c>
      <c r="X197" s="8" t="s">
        <v>35</v>
      </c>
      <c r="Y197" s="9">
        <v>227</v>
      </c>
      <c r="Z197" s="9">
        <v>162.14285000000001</v>
      </c>
      <c r="AA197" s="9">
        <v>227</v>
      </c>
      <c r="AB197" s="9">
        <v>227</v>
      </c>
    </row>
    <row r="198" spans="1:28" x14ac:dyDescent="0.25">
      <c r="A198" s="8" t="s">
        <v>445</v>
      </c>
      <c r="B198" s="8" t="s">
        <v>446</v>
      </c>
      <c r="C198" s="8" t="s">
        <v>30</v>
      </c>
      <c r="D198" s="10">
        <v>4.4000000999999997</v>
      </c>
      <c r="E198" s="10">
        <v>1</v>
      </c>
      <c r="F198" s="10">
        <v>3.4000001000000002</v>
      </c>
      <c r="G198" s="10">
        <v>1</v>
      </c>
      <c r="H198" s="10">
        <v>3.4000001000000002</v>
      </c>
      <c r="I198" s="10">
        <v>0</v>
      </c>
      <c r="J198" s="10">
        <v>0</v>
      </c>
      <c r="K198" s="10">
        <v>0</v>
      </c>
      <c r="L198" s="10">
        <v>1.3</v>
      </c>
      <c r="M198" s="10">
        <v>0</v>
      </c>
      <c r="N198" s="10">
        <v>0.40000001000000002</v>
      </c>
      <c r="O198" s="8" t="s">
        <v>31</v>
      </c>
      <c r="P198" s="8" t="s">
        <v>31</v>
      </c>
      <c r="Q198" s="8" t="s">
        <v>31</v>
      </c>
      <c r="R198" s="8" t="s">
        <v>31</v>
      </c>
      <c r="S198" s="8" t="s">
        <v>31</v>
      </c>
      <c r="T198" s="8" t="s">
        <v>31</v>
      </c>
      <c r="U198" s="8" t="s">
        <v>31</v>
      </c>
      <c r="V198" s="8" t="s">
        <v>31</v>
      </c>
      <c r="W198" s="8" t="str">
        <f>_xlfn.IFNA(VLOOKUP(A198,[1]Sheet1!$A$1:$B$101,1,FALSE),"na")</f>
        <v>na</v>
      </c>
      <c r="X198" s="8" t="s">
        <v>434</v>
      </c>
      <c r="Y198" s="9">
        <v>317</v>
      </c>
      <c r="Z198" s="9">
        <v>72.045456000000001</v>
      </c>
      <c r="AA198" s="9">
        <v>317</v>
      </c>
      <c r="AB198" s="9">
        <v>93.235291000000004</v>
      </c>
    </row>
    <row r="199" spans="1:28" x14ac:dyDescent="0.25">
      <c r="A199" s="8" t="s">
        <v>447</v>
      </c>
      <c r="B199" s="8" t="s">
        <v>448</v>
      </c>
      <c r="C199" s="8" t="s">
        <v>30</v>
      </c>
      <c r="D199" s="10">
        <v>1.26667</v>
      </c>
      <c r="E199" s="10">
        <v>1</v>
      </c>
      <c r="F199" s="10">
        <v>0.26666999000000002</v>
      </c>
      <c r="G199" s="10">
        <v>1</v>
      </c>
      <c r="H199" s="10">
        <v>0.26666999000000002</v>
      </c>
      <c r="I199" s="10">
        <v>0</v>
      </c>
      <c r="J199" s="10">
        <v>0</v>
      </c>
      <c r="K199" s="10">
        <v>1</v>
      </c>
      <c r="L199" s="10">
        <v>6.6670001000000007E-2</v>
      </c>
      <c r="M199" s="10">
        <v>0</v>
      </c>
      <c r="N199" s="10">
        <v>0.26666999000000002</v>
      </c>
      <c r="O199" s="8" t="s">
        <v>31</v>
      </c>
      <c r="P199" s="8" t="s">
        <v>31</v>
      </c>
      <c r="Q199" s="8" t="s">
        <v>31</v>
      </c>
      <c r="R199" s="8" t="s">
        <v>31</v>
      </c>
      <c r="S199" s="8" t="s">
        <v>31</v>
      </c>
      <c r="T199" s="8" t="s">
        <v>31</v>
      </c>
      <c r="U199" s="8" t="s">
        <v>31</v>
      </c>
      <c r="V199" s="8" t="s">
        <v>31</v>
      </c>
      <c r="W199" s="8" t="str">
        <f>_xlfn.IFNA(VLOOKUP(A199,[1]Sheet1!$A$1:$B$101,1,FALSE),"na")</f>
        <v>na</v>
      </c>
      <c r="X199" s="8" t="s">
        <v>449</v>
      </c>
      <c r="Y199" s="9">
        <v>192</v>
      </c>
      <c r="Z199" s="9">
        <v>151.57855000000001</v>
      </c>
      <c r="AA199" s="9">
        <v>192</v>
      </c>
      <c r="AB199" s="9">
        <v>192</v>
      </c>
    </row>
    <row r="200" spans="1:28" x14ac:dyDescent="0.25">
      <c r="A200" s="8" t="s">
        <v>450</v>
      </c>
      <c r="B200" s="8" t="s">
        <v>451</v>
      </c>
      <c r="C200" s="8" t="s">
        <v>38</v>
      </c>
      <c r="D200" s="10">
        <v>2.5999998999999998</v>
      </c>
      <c r="E200" s="10">
        <v>1</v>
      </c>
      <c r="F200" s="10">
        <v>1.6</v>
      </c>
      <c r="G200" s="10">
        <v>1</v>
      </c>
      <c r="H200" s="10">
        <v>1.6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0.60000001999999997</v>
      </c>
      <c r="O200" s="8" t="s">
        <v>31</v>
      </c>
      <c r="P200" s="8" t="s">
        <v>31</v>
      </c>
      <c r="Q200" s="8" t="s">
        <v>31</v>
      </c>
      <c r="R200" s="8" t="s">
        <v>31</v>
      </c>
      <c r="S200" s="8" t="s">
        <v>31</v>
      </c>
      <c r="T200" s="8" t="s">
        <v>31</v>
      </c>
      <c r="U200" s="8" t="s">
        <v>31</v>
      </c>
      <c r="V200" s="8" t="s">
        <v>31</v>
      </c>
      <c r="W200" s="8" t="str">
        <f>_xlfn.IFNA(VLOOKUP(A200,[1]Sheet1!$A$1:$B$101,1,FALSE),"na")</f>
        <v>na</v>
      </c>
      <c r="X200" s="8" t="s">
        <v>434</v>
      </c>
      <c r="Y200" s="9">
        <v>736</v>
      </c>
      <c r="Z200" s="9">
        <v>283.07693</v>
      </c>
      <c r="AA200" s="9">
        <v>736</v>
      </c>
      <c r="AB200" s="9">
        <v>460</v>
      </c>
    </row>
    <row r="201" spans="1:28" x14ac:dyDescent="0.25">
      <c r="A201" s="8" t="s">
        <v>452</v>
      </c>
      <c r="B201" s="8" t="s">
        <v>453</v>
      </c>
      <c r="C201" s="8" t="s">
        <v>30</v>
      </c>
      <c r="D201" s="10">
        <v>2</v>
      </c>
      <c r="E201" s="10">
        <v>1</v>
      </c>
      <c r="F201" s="10">
        <v>1</v>
      </c>
      <c r="G201" s="10">
        <v>1</v>
      </c>
      <c r="H201" s="10">
        <v>1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8" t="s">
        <v>31</v>
      </c>
      <c r="P201" s="8" t="s">
        <v>31</v>
      </c>
      <c r="Q201" s="8" t="s">
        <v>31</v>
      </c>
      <c r="R201" s="8" t="s">
        <v>31</v>
      </c>
      <c r="S201" s="8" t="s">
        <v>31</v>
      </c>
      <c r="T201" s="8" t="s">
        <v>31</v>
      </c>
      <c r="U201" s="8" t="s">
        <v>31</v>
      </c>
      <c r="V201" s="8" t="s">
        <v>31</v>
      </c>
      <c r="W201" s="8" t="str">
        <f>_xlfn.IFNA(VLOOKUP(A201,[1]Sheet1!$A$1:$B$101,1,FALSE),"na")</f>
        <v>na</v>
      </c>
      <c r="X201" s="8" t="s">
        <v>35</v>
      </c>
      <c r="Y201" s="9">
        <v>296</v>
      </c>
      <c r="Z201" s="9">
        <v>148</v>
      </c>
      <c r="AA201" s="9">
        <v>296</v>
      </c>
      <c r="AB201" s="9">
        <v>296</v>
      </c>
    </row>
    <row r="202" spans="1:28" x14ac:dyDescent="0.25">
      <c r="A202" s="8" t="s">
        <v>454</v>
      </c>
      <c r="B202" s="8" t="s">
        <v>455</v>
      </c>
      <c r="C202" s="8" t="s">
        <v>38</v>
      </c>
      <c r="D202" s="10">
        <v>4.4000000999999997</v>
      </c>
      <c r="E202" s="10">
        <v>0</v>
      </c>
      <c r="F202" s="10">
        <v>4.4000000999999997</v>
      </c>
      <c r="G202" s="10">
        <v>0</v>
      </c>
      <c r="H202" s="10">
        <v>4.4000000999999997</v>
      </c>
      <c r="I202" s="10">
        <v>0</v>
      </c>
      <c r="J202" s="10">
        <v>0</v>
      </c>
      <c r="K202" s="10">
        <v>0</v>
      </c>
      <c r="L202" s="10">
        <v>0.40000001000000002</v>
      </c>
      <c r="M202" s="10">
        <v>0</v>
      </c>
      <c r="N202" s="10">
        <v>0.40000001000000002</v>
      </c>
      <c r="O202" s="8" t="s">
        <v>31</v>
      </c>
      <c r="P202" s="8" t="s">
        <v>31</v>
      </c>
      <c r="Q202" s="8" t="s">
        <v>31</v>
      </c>
      <c r="R202" s="8" t="s">
        <v>31</v>
      </c>
      <c r="S202" s="8" t="s">
        <v>31</v>
      </c>
      <c r="T202" s="8" t="s">
        <v>31</v>
      </c>
      <c r="U202" s="8" t="s">
        <v>31</v>
      </c>
      <c r="V202" s="8" t="s">
        <v>31</v>
      </c>
      <c r="W202" s="8" t="str">
        <f>_xlfn.IFNA(VLOOKUP(A202,[1]Sheet1!$A$1:$B$101,1,FALSE),"na")</f>
        <v>na</v>
      </c>
      <c r="X202" s="8" t="s">
        <v>51</v>
      </c>
      <c r="Y202" s="9">
        <v>386</v>
      </c>
      <c r="Z202" s="9">
        <v>87.727271999999999</v>
      </c>
      <c r="AA202" s="9">
        <v>386</v>
      </c>
      <c r="AB202" s="9">
        <v>87.727271999999999</v>
      </c>
    </row>
    <row r="203" spans="1:28" x14ac:dyDescent="0.25">
      <c r="A203" s="8" t="s">
        <v>456</v>
      </c>
      <c r="B203" s="8" t="s">
        <v>457</v>
      </c>
      <c r="C203" s="8" t="s">
        <v>67</v>
      </c>
      <c r="D203" s="10">
        <v>2.2000000000000002</v>
      </c>
      <c r="E203" s="10">
        <v>1</v>
      </c>
      <c r="F203" s="10">
        <v>1.2</v>
      </c>
      <c r="G203" s="10">
        <v>1</v>
      </c>
      <c r="H203" s="10">
        <v>1.2</v>
      </c>
      <c r="I203" s="10">
        <v>0</v>
      </c>
      <c r="J203" s="10">
        <v>0</v>
      </c>
      <c r="K203" s="10">
        <v>1</v>
      </c>
      <c r="L203" s="10">
        <v>0</v>
      </c>
      <c r="M203" s="10">
        <v>0</v>
      </c>
      <c r="N203" s="10">
        <v>0.2</v>
      </c>
      <c r="O203" s="8" t="s">
        <v>31</v>
      </c>
      <c r="P203" s="8" t="s">
        <v>31</v>
      </c>
      <c r="Q203" s="8" t="s">
        <v>31</v>
      </c>
      <c r="R203" s="8" t="s">
        <v>57</v>
      </c>
      <c r="S203" s="8" t="s">
        <v>31</v>
      </c>
      <c r="T203" s="8" t="s">
        <v>31</v>
      </c>
      <c r="U203" s="8" t="s">
        <v>31</v>
      </c>
      <c r="V203" s="8" t="s">
        <v>31</v>
      </c>
      <c r="W203" s="8" t="str">
        <f>_xlfn.IFNA(VLOOKUP(A203,[1]Sheet1!$A$1:$B$101,1,FALSE),"na")</f>
        <v>na</v>
      </c>
      <c r="X203" s="8" t="s">
        <v>35</v>
      </c>
      <c r="Y203" s="9">
        <v>170</v>
      </c>
      <c r="Z203" s="9">
        <v>77.272728000000001</v>
      </c>
      <c r="AA203" s="9">
        <v>170</v>
      </c>
      <c r="AB203" s="9">
        <v>141.66666000000001</v>
      </c>
    </row>
    <row r="204" spans="1:28" x14ac:dyDescent="0.25">
      <c r="A204" s="8" t="s">
        <v>458</v>
      </c>
      <c r="B204" s="8" t="s">
        <v>459</v>
      </c>
      <c r="C204" s="8" t="s">
        <v>62</v>
      </c>
      <c r="D204" s="10" t="s">
        <v>460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8" t="s">
        <v>31</v>
      </c>
      <c r="P204" s="8" t="s">
        <v>31</v>
      </c>
      <c r="Q204" s="8" t="s">
        <v>31</v>
      </c>
      <c r="R204" s="8" t="s">
        <v>31</v>
      </c>
      <c r="S204" s="8" t="s">
        <v>31</v>
      </c>
      <c r="T204" s="8" t="s">
        <v>31</v>
      </c>
      <c r="U204" s="8" t="s">
        <v>31</v>
      </c>
      <c r="V204" s="8" t="s">
        <v>31</v>
      </c>
      <c r="W204" s="8" t="str">
        <f>_xlfn.IFNA(VLOOKUP(A204,[1]Sheet1!$A$1:$B$101,1,FALSE),"na")</f>
        <v>na</v>
      </c>
      <c r="X204" s="8" t="s">
        <v>35</v>
      </c>
      <c r="Y204" s="9">
        <v>203</v>
      </c>
      <c r="Z204" s="9" t="s">
        <v>461</v>
      </c>
      <c r="AA204" s="9" t="s">
        <v>461</v>
      </c>
      <c r="AB204" s="9" t="s">
        <v>461</v>
      </c>
    </row>
    <row r="205" spans="1:28" x14ac:dyDescent="0.25">
      <c r="A205" s="8" t="s">
        <v>462</v>
      </c>
      <c r="B205" s="8" t="s">
        <v>463</v>
      </c>
      <c r="C205" s="8" t="s">
        <v>80</v>
      </c>
      <c r="D205" s="10">
        <v>4.1999997999999996</v>
      </c>
      <c r="E205" s="10">
        <v>3</v>
      </c>
      <c r="F205" s="10">
        <v>1.2</v>
      </c>
      <c r="G205" s="10">
        <v>3</v>
      </c>
      <c r="H205" s="10">
        <v>1.2</v>
      </c>
      <c r="I205" s="10">
        <v>0</v>
      </c>
      <c r="J205" s="10">
        <v>0</v>
      </c>
      <c r="K205" s="10">
        <v>2</v>
      </c>
      <c r="L205" s="10">
        <v>6.6670001000000007E-2</v>
      </c>
      <c r="M205" s="10">
        <v>0</v>
      </c>
      <c r="N205" s="10">
        <v>0.2</v>
      </c>
      <c r="O205" s="8" t="s">
        <v>31</v>
      </c>
      <c r="P205" s="8" t="s">
        <v>31</v>
      </c>
      <c r="Q205" s="8" t="s">
        <v>31</v>
      </c>
      <c r="R205" s="8" t="s">
        <v>31</v>
      </c>
      <c r="S205" s="8" t="s">
        <v>31</v>
      </c>
      <c r="T205" s="8" t="s">
        <v>31</v>
      </c>
      <c r="U205" s="8" t="s">
        <v>31</v>
      </c>
      <c r="V205" s="8" t="s">
        <v>31</v>
      </c>
      <c r="W205" s="8" t="str">
        <f>_xlfn.IFNA(VLOOKUP(A205,[1]Sheet1!$A$1:$B$101,1,FALSE),"na")</f>
        <v>na</v>
      </c>
      <c r="X205" s="8" t="s">
        <v>39</v>
      </c>
      <c r="Y205" s="9">
        <v>530</v>
      </c>
      <c r="Z205" s="9">
        <v>126.19047999999999</v>
      </c>
      <c r="AA205" s="9">
        <v>176.66667000000001</v>
      </c>
      <c r="AB205" s="9">
        <v>441.66665999999998</v>
      </c>
    </row>
    <row r="206" spans="1:28" x14ac:dyDescent="0.25">
      <c r="A206" s="8" t="s">
        <v>464</v>
      </c>
      <c r="B206" s="8" t="s">
        <v>465</v>
      </c>
      <c r="C206" s="8" t="s">
        <v>30</v>
      </c>
      <c r="D206" s="10">
        <v>2.2000000000000002</v>
      </c>
      <c r="E206" s="10">
        <v>1</v>
      </c>
      <c r="F206" s="10">
        <v>1.2</v>
      </c>
      <c r="G206" s="10">
        <v>1</v>
      </c>
      <c r="H206" s="10">
        <v>1.2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0.2</v>
      </c>
      <c r="O206" s="8" t="s">
        <v>57</v>
      </c>
      <c r="P206" s="8" t="s">
        <v>57</v>
      </c>
      <c r="Q206" s="8" t="s">
        <v>31</v>
      </c>
      <c r="R206" s="8" t="s">
        <v>31</v>
      </c>
      <c r="S206" s="8" t="s">
        <v>31</v>
      </c>
      <c r="T206" s="8" t="s">
        <v>31</v>
      </c>
      <c r="U206" s="8" t="s">
        <v>31</v>
      </c>
      <c r="V206" s="8" t="s">
        <v>31</v>
      </c>
      <c r="W206" s="8" t="str">
        <f>_xlfn.IFNA(VLOOKUP(A206,[1]Sheet1!$A$1:$B$101,1,FALSE),"na")</f>
        <v>na</v>
      </c>
      <c r="X206" s="8" t="s">
        <v>434</v>
      </c>
      <c r="Y206" s="9">
        <v>212</v>
      </c>
      <c r="Z206" s="9">
        <v>96.363631999999996</v>
      </c>
      <c r="AA206" s="9">
        <v>212</v>
      </c>
      <c r="AB206" s="9">
        <v>176.66666000000001</v>
      </c>
    </row>
    <row r="207" spans="1:28" x14ac:dyDescent="0.25">
      <c r="A207" s="8" t="s">
        <v>466</v>
      </c>
      <c r="B207" s="8" t="s">
        <v>467</v>
      </c>
      <c r="C207" s="8" t="s">
        <v>67</v>
      </c>
      <c r="D207" s="10">
        <v>1.26667</v>
      </c>
      <c r="E207" s="10">
        <v>0</v>
      </c>
      <c r="F207" s="10">
        <v>1.26667</v>
      </c>
      <c r="G207" s="10">
        <v>0</v>
      </c>
      <c r="H207" s="10">
        <v>1.26667</v>
      </c>
      <c r="I207" s="10">
        <v>0</v>
      </c>
      <c r="J207" s="10">
        <v>0</v>
      </c>
      <c r="K207" s="10">
        <v>0</v>
      </c>
      <c r="L207" s="10">
        <v>6.6670001000000007E-2</v>
      </c>
      <c r="M207" s="10">
        <v>0</v>
      </c>
      <c r="N207" s="10">
        <v>0.26666999000000002</v>
      </c>
      <c r="O207" s="8" t="s">
        <v>57</v>
      </c>
      <c r="P207" s="8" t="s">
        <v>31</v>
      </c>
      <c r="Q207" s="8" t="s">
        <v>31</v>
      </c>
      <c r="R207" s="8" t="s">
        <v>31</v>
      </c>
      <c r="S207" s="8" t="s">
        <v>31</v>
      </c>
      <c r="T207" s="8" t="s">
        <v>31</v>
      </c>
      <c r="U207" s="8" t="s">
        <v>31</v>
      </c>
      <c r="V207" s="8" t="s">
        <v>31</v>
      </c>
      <c r="W207" s="8" t="str">
        <f>_xlfn.IFNA(VLOOKUP(A207,[1]Sheet1!$A$1:$B$101,1,FALSE),"na")</f>
        <v>na</v>
      </c>
      <c r="X207" s="8" t="s">
        <v>426</v>
      </c>
      <c r="Y207" s="9">
        <v>133</v>
      </c>
      <c r="Z207" s="9">
        <v>104.99973</v>
      </c>
      <c r="AA207" s="9">
        <v>133</v>
      </c>
      <c r="AB207" s="9">
        <v>104.99973</v>
      </c>
    </row>
    <row r="208" spans="1:28" x14ac:dyDescent="0.25">
      <c r="A208" s="8" t="s">
        <v>468</v>
      </c>
      <c r="B208" s="8" t="s">
        <v>469</v>
      </c>
      <c r="C208" s="8" t="s">
        <v>62</v>
      </c>
      <c r="D208" s="10">
        <v>5.0999999000000003</v>
      </c>
      <c r="E208" s="10">
        <v>4</v>
      </c>
      <c r="F208" s="10">
        <v>1.1000000000000001</v>
      </c>
      <c r="G208" s="10">
        <v>4</v>
      </c>
      <c r="H208" s="10">
        <v>1.1000000000000001</v>
      </c>
      <c r="I208" s="10">
        <v>0</v>
      </c>
      <c r="J208" s="10">
        <v>0</v>
      </c>
      <c r="K208" s="10">
        <v>1</v>
      </c>
      <c r="L208" s="10">
        <v>0</v>
      </c>
      <c r="M208" s="10">
        <v>0</v>
      </c>
      <c r="N208" s="10">
        <v>0.1</v>
      </c>
      <c r="O208" s="8" t="s">
        <v>31</v>
      </c>
      <c r="P208" s="8" t="s">
        <v>31</v>
      </c>
      <c r="Q208" s="8" t="s">
        <v>31</v>
      </c>
      <c r="R208" s="8" t="s">
        <v>31</v>
      </c>
      <c r="S208" s="8" t="s">
        <v>31</v>
      </c>
      <c r="T208" s="8" t="s">
        <v>57</v>
      </c>
      <c r="U208" s="8" t="s">
        <v>31</v>
      </c>
      <c r="V208" s="8" t="s">
        <v>31</v>
      </c>
      <c r="W208" s="8" t="str">
        <f>_xlfn.IFNA(VLOOKUP(A208,[1]Sheet1!$A$1:$B$101,1,FALSE),"na")</f>
        <v>na</v>
      </c>
      <c r="X208" s="8" t="s">
        <v>35</v>
      </c>
      <c r="Y208" s="9">
        <v>1655</v>
      </c>
      <c r="Z208" s="9">
        <v>324.50979999999998</v>
      </c>
      <c r="AA208" s="9">
        <v>413.75</v>
      </c>
      <c r="AB208" s="9">
        <v>1504.5454</v>
      </c>
    </row>
    <row r="209" spans="1:28" x14ac:dyDescent="0.25">
      <c r="A209" s="8" t="s">
        <v>470</v>
      </c>
      <c r="B209" s="8" t="s">
        <v>471</v>
      </c>
      <c r="C209" s="8" t="s">
        <v>62</v>
      </c>
      <c r="D209" s="10">
        <v>3.2</v>
      </c>
      <c r="E209" s="10">
        <v>3</v>
      </c>
      <c r="F209" s="10">
        <v>0.2</v>
      </c>
      <c r="G209" s="10">
        <v>3</v>
      </c>
      <c r="H209" s="10">
        <v>0.2</v>
      </c>
      <c r="I209" s="10">
        <v>0</v>
      </c>
      <c r="J209" s="10">
        <v>0</v>
      </c>
      <c r="K209" s="10">
        <v>1</v>
      </c>
      <c r="L209" s="10">
        <v>0</v>
      </c>
      <c r="M209" s="10">
        <v>0</v>
      </c>
      <c r="N209" s="10">
        <v>0.2</v>
      </c>
      <c r="O209" s="8" t="s">
        <v>31</v>
      </c>
      <c r="P209" s="8" t="s">
        <v>31</v>
      </c>
      <c r="Q209" s="8" t="s">
        <v>31</v>
      </c>
      <c r="R209" s="8" t="s">
        <v>31</v>
      </c>
      <c r="S209" s="8" t="s">
        <v>31</v>
      </c>
      <c r="T209" s="8" t="s">
        <v>31</v>
      </c>
      <c r="U209" s="8" t="s">
        <v>31</v>
      </c>
      <c r="V209" s="8" t="s">
        <v>31</v>
      </c>
      <c r="W209" s="8" t="str">
        <f>_xlfn.IFNA(VLOOKUP(A209,[1]Sheet1!$A$1:$B$101,1,FALSE),"na")</f>
        <v>na</v>
      </c>
      <c r="X209" s="8" t="s">
        <v>35</v>
      </c>
      <c r="Y209" s="9">
        <v>399</v>
      </c>
      <c r="Z209" s="9">
        <v>124.6875</v>
      </c>
      <c r="AA209" s="9">
        <v>133</v>
      </c>
      <c r="AB209" s="9">
        <v>399</v>
      </c>
    </row>
    <row r="210" spans="1:28" x14ac:dyDescent="0.25">
      <c r="A210" s="8" t="s">
        <v>472</v>
      </c>
      <c r="B210" s="8" t="s">
        <v>473</v>
      </c>
      <c r="C210" s="8" t="s">
        <v>30</v>
      </c>
      <c r="D210" s="10">
        <v>1.2</v>
      </c>
      <c r="E210" s="10">
        <v>0</v>
      </c>
      <c r="F210" s="10">
        <v>1.2</v>
      </c>
      <c r="G210" s="10">
        <v>0</v>
      </c>
      <c r="H210" s="10">
        <v>1.2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0.2</v>
      </c>
      <c r="O210" s="8" t="s">
        <v>31</v>
      </c>
      <c r="P210" s="8" t="s">
        <v>31</v>
      </c>
      <c r="Q210" s="8" t="s">
        <v>31</v>
      </c>
      <c r="R210" s="8" t="s">
        <v>31</v>
      </c>
      <c r="S210" s="8" t="s">
        <v>31</v>
      </c>
      <c r="T210" s="8" t="s">
        <v>31</v>
      </c>
      <c r="U210" s="8" t="s">
        <v>31</v>
      </c>
      <c r="V210" s="8" t="s">
        <v>31</v>
      </c>
      <c r="W210" s="8" t="str">
        <f>_xlfn.IFNA(VLOOKUP(A210,[1]Sheet1!$A$1:$B$101,1,FALSE),"na")</f>
        <v>na</v>
      </c>
      <c r="X210" s="8" t="s">
        <v>35</v>
      </c>
      <c r="Y210" s="9">
        <v>169</v>
      </c>
      <c r="Z210" s="9">
        <v>140.83332999999999</v>
      </c>
      <c r="AA210" s="9">
        <v>169</v>
      </c>
      <c r="AB210" s="9">
        <v>140.83332999999999</v>
      </c>
    </row>
    <row r="211" spans="1:28" x14ac:dyDescent="0.25">
      <c r="A211" s="8" t="s">
        <v>474</v>
      </c>
      <c r="B211" s="8" t="s">
        <v>475</v>
      </c>
      <c r="C211" s="8" t="s">
        <v>62</v>
      </c>
      <c r="D211" s="10">
        <v>4</v>
      </c>
      <c r="E211" s="10">
        <v>2</v>
      </c>
      <c r="F211" s="10">
        <v>2</v>
      </c>
      <c r="G211" s="10">
        <v>2</v>
      </c>
      <c r="H211" s="10">
        <v>2</v>
      </c>
      <c r="I211" s="10">
        <v>0</v>
      </c>
      <c r="J211" s="10">
        <v>0</v>
      </c>
      <c r="K211" s="10">
        <v>1</v>
      </c>
      <c r="L211" s="10">
        <v>0</v>
      </c>
      <c r="M211" s="10">
        <v>0</v>
      </c>
      <c r="N211" s="10">
        <v>0</v>
      </c>
      <c r="O211" s="8" t="s">
        <v>31</v>
      </c>
      <c r="P211" s="8" t="s">
        <v>31</v>
      </c>
      <c r="Q211" s="8" t="s">
        <v>31</v>
      </c>
      <c r="R211" s="8" t="s">
        <v>31</v>
      </c>
      <c r="S211" s="8" t="s">
        <v>31</v>
      </c>
      <c r="T211" s="8" t="s">
        <v>31</v>
      </c>
      <c r="U211" s="8" t="s">
        <v>31</v>
      </c>
      <c r="V211" s="8" t="s">
        <v>31</v>
      </c>
      <c r="W211" s="8" t="str">
        <f>_xlfn.IFNA(VLOOKUP(A211,[1]Sheet1!$A$1:$B$101,1,FALSE),"na")</f>
        <v>na</v>
      </c>
      <c r="X211" s="8" t="s">
        <v>35</v>
      </c>
      <c r="Y211" s="9">
        <v>370</v>
      </c>
      <c r="Z211" s="9">
        <v>92.5</v>
      </c>
      <c r="AA211" s="9">
        <v>185</v>
      </c>
      <c r="AB211" s="9">
        <v>185</v>
      </c>
    </row>
    <row r="212" spans="1:28" x14ac:dyDescent="0.25">
      <c r="A212" s="8" t="s">
        <v>476</v>
      </c>
      <c r="B212" s="8" t="s">
        <v>477</v>
      </c>
      <c r="C212" s="8" t="s">
        <v>62</v>
      </c>
      <c r="D212" s="10">
        <v>4</v>
      </c>
      <c r="E212" s="10">
        <v>3</v>
      </c>
      <c r="F212" s="10">
        <v>1</v>
      </c>
      <c r="G212" s="10">
        <v>3</v>
      </c>
      <c r="H212" s="10">
        <v>1</v>
      </c>
      <c r="I212" s="10">
        <v>0</v>
      </c>
      <c r="J212" s="10">
        <v>0</v>
      </c>
      <c r="K212" s="10">
        <v>1</v>
      </c>
      <c r="L212" s="10">
        <v>0</v>
      </c>
      <c r="M212" s="10">
        <v>0</v>
      </c>
      <c r="N212" s="10">
        <v>0</v>
      </c>
      <c r="O212" s="8" t="s">
        <v>31</v>
      </c>
      <c r="P212" s="8" t="s">
        <v>31</v>
      </c>
      <c r="Q212" s="8" t="s">
        <v>31</v>
      </c>
      <c r="R212" s="8" t="s">
        <v>31</v>
      </c>
      <c r="S212" s="8" t="s">
        <v>31</v>
      </c>
      <c r="T212" s="8" t="s">
        <v>31</v>
      </c>
      <c r="U212" s="8" t="s">
        <v>31</v>
      </c>
      <c r="V212" s="8" t="s">
        <v>31</v>
      </c>
      <c r="W212" s="8" t="str">
        <f>_xlfn.IFNA(VLOOKUP(A212,[1]Sheet1!$A$1:$B$101,1,FALSE),"na")</f>
        <v>na</v>
      </c>
      <c r="X212" s="8" t="s">
        <v>35</v>
      </c>
      <c r="Y212" s="9">
        <v>480</v>
      </c>
      <c r="Z212" s="9">
        <v>120</v>
      </c>
      <c r="AA212" s="9">
        <v>160</v>
      </c>
      <c r="AB212" s="9">
        <v>480</v>
      </c>
    </row>
    <row r="213" spans="1:28" x14ac:dyDescent="0.25">
      <c r="A213" s="8" t="s">
        <v>478</v>
      </c>
      <c r="B213" s="8" t="s">
        <v>479</v>
      </c>
      <c r="C213" s="8" t="s">
        <v>62</v>
      </c>
      <c r="D213" s="10">
        <v>3</v>
      </c>
      <c r="E213" s="10">
        <v>3</v>
      </c>
      <c r="F213" s="10">
        <v>0</v>
      </c>
      <c r="G213" s="10">
        <v>3</v>
      </c>
      <c r="H213" s="10">
        <v>0</v>
      </c>
      <c r="I213" s="10">
        <v>0</v>
      </c>
      <c r="J213" s="10">
        <v>0</v>
      </c>
      <c r="K213" s="10">
        <v>1</v>
      </c>
      <c r="L213" s="10">
        <v>0</v>
      </c>
      <c r="M213" s="10">
        <v>0</v>
      </c>
      <c r="N213" s="10">
        <v>0</v>
      </c>
      <c r="O213" s="8" t="s">
        <v>31</v>
      </c>
      <c r="P213" s="8" t="s">
        <v>31</v>
      </c>
      <c r="Q213" s="8" t="s">
        <v>31</v>
      </c>
      <c r="R213" s="8" t="s">
        <v>31</v>
      </c>
      <c r="S213" s="8" t="s">
        <v>31</v>
      </c>
      <c r="T213" s="8" t="s">
        <v>31</v>
      </c>
      <c r="U213" s="8" t="s">
        <v>31</v>
      </c>
      <c r="V213" s="8" t="s">
        <v>31</v>
      </c>
      <c r="W213" s="8" t="str">
        <f>_xlfn.IFNA(VLOOKUP(A213,[1]Sheet1!$A$1:$B$101,1,FALSE),"na")</f>
        <v>na</v>
      </c>
      <c r="X213" s="8" t="s">
        <v>419</v>
      </c>
      <c r="Y213" s="9">
        <v>230</v>
      </c>
      <c r="Z213" s="9">
        <v>76.666663999999997</v>
      </c>
      <c r="AA213" s="9">
        <v>76.666663999999997</v>
      </c>
      <c r="AB213" s="9">
        <v>230</v>
      </c>
    </row>
    <row r="214" spans="1:28" x14ac:dyDescent="0.25">
      <c r="A214" s="8" t="s">
        <v>480</v>
      </c>
      <c r="B214" s="8" t="s">
        <v>481</v>
      </c>
      <c r="C214" s="8" t="s">
        <v>67</v>
      </c>
      <c r="D214" s="10">
        <v>2</v>
      </c>
      <c r="E214" s="10">
        <v>1</v>
      </c>
      <c r="F214" s="10">
        <v>1</v>
      </c>
      <c r="G214" s="10">
        <v>1</v>
      </c>
      <c r="H214" s="10">
        <v>1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8" t="s">
        <v>31</v>
      </c>
      <c r="P214" s="8" t="s">
        <v>31</v>
      </c>
      <c r="Q214" s="8" t="s">
        <v>31</v>
      </c>
      <c r="R214" s="8" t="s">
        <v>31</v>
      </c>
      <c r="S214" s="8" t="s">
        <v>31</v>
      </c>
      <c r="T214" s="8" t="s">
        <v>31</v>
      </c>
      <c r="U214" s="8" t="s">
        <v>31</v>
      </c>
      <c r="V214" s="8" t="s">
        <v>31</v>
      </c>
      <c r="W214" s="8" t="str">
        <f>_xlfn.IFNA(VLOOKUP(A214,[1]Sheet1!$A$1:$B$101,1,FALSE),"na")</f>
        <v>na</v>
      </c>
      <c r="X214" s="8" t="s">
        <v>434</v>
      </c>
      <c r="Y214" s="9">
        <v>257</v>
      </c>
      <c r="Z214" s="9">
        <v>128.5</v>
      </c>
      <c r="AA214" s="9">
        <v>257</v>
      </c>
      <c r="AB214" s="9">
        <v>257</v>
      </c>
    </row>
    <row r="215" spans="1:28" x14ac:dyDescent="0.25">
      <c r="A215" s="8" t="s">
        <v>482</v>
      </c>
      <c r="B215" s="8" t="s">
        <v>483</v>
      </c>
      <c r="C215" s="8" t="s">
        <v>38</v>
      </c>
      <c r="D215" s="10">
        <v>2.5999998999999998</v>
      </c>
      <c r="E215" s="10">
        <v>1</v>
      </c>
      <c r="F215" s="10">
        <v>1.6</v>
      </c>
      <c r="G215" s="10">
        <v>1</v>
      </c>
      <c r="H215" s="10">
        <v>1.6</v>
      </c>
      <c r="I215" s="10">
        <v>0</v>
      </c>
      <c r="J215" s="10">
        <v>0</v>
      </c>
      <c r="K215" s="10">
        <v>1</v>
      </c>
      <c r="L215" s="10">
        <v>0</v>
      </c>
      <c r="M215" s="10">
        <v>0</v>
      </c>
      <c r="N215" s="10">
        <v>0.60000001999999997</v>
      </c>
      <c r="O215" s="8" t="s">
        <v>57</v>
      </c>
      <c r="P215" s="8" t="s">
        <v>31</v>
      </c>
      <c r="Q215" s="8" t="s">
        <v>31</v>
      </c>
      <c r="R215" s="8" t="s">
        <v>31</v>
      </c>
      <c r="S215" s="8" t="s">
        <v>31</v>
      </c>
      <c r="T215" s="8" t="s">
        <v>31</v>
      </c>
      <c r="U215" s="8" t="s">
        <v>31</v>
      </c>
      <c r="V215" s="8" t="s">
        <v>31</v>
      </c>
      <c r="W215" s="8" t="str">
        <f>_xlfn.IFNA(VLOOKUP(A215,[1]Sheet1!$A$1:$B$101,1,FALSE),"na")</f>
        <v>na</v>
      </c>
      <c r="X215" s="8" t="s">
        <v>484</v>
      </c>
      <c r="Y215" s="9">
        <v>424</v>
      </c>
      <c r="Z215" s="9">
        <v>163.07693</v>
      </c>
      <c r="AA215" s="9">
        <v>424</v>
      </c>
      <c r="AB215" s="9">
        <v>265</v>
      </c>
    </row>
    <row r="216" spans="1:28" x14ac:dyDescent="0.25">
      <c r="A216" s="8" t="s">
        <v>485</v>
      </c>
      <c r="B216" s="8" t="s">
        <v>486</v>
      </c>
      <c r="C216" s="8" t="s">
        <v>30</v>
      </c>
      <c r="D216" s="10">
        <v>1.2</v>
      </c>
      <c r="E216" s="10">
        <v>1</v>
      </c>
      <c r="F216" s="10">
        <v>0.2</v>
      </c>
      <c r="G216" s="10">
        <v>1</v>
      </c>
      <c r="H216" s="10">
        <v>0.2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0.2</v>
      </c>
      <c r="O216" s="8" t="s">
        <v>31</v>
      </c>
      <c r="P216" s="8" t="s">
        <v>31</v>
      </c>
      <c r="Q216" s="8" t="s">
        <v>31</v>
      </c>
      <c r="R216" s="8" t="s">
        <v>31</v>
      </c>
      <c r="S216" s="8" t="s">
        <v>31</v>
      </c>
      <c r="T216" s="8" t="s">
        <v>31</v>
      </c>
      <c r="U216" s="8" t="s">
        <v>31</v>
      </c>
      <c r="V216" s="8" t="s">
        <v>31</v>
      </c>
      <c r="W216" s="8" t="str">
        <f>_xlfn.IFNA(VLOOKUP(A216,[1]Sheet1!$A$1:$B$101,1,FALSE),"na")</f>
        <v>na</v>
      </c>
      <c r="X216" s="8" t="s">
        <v>487</v>
      </c>
      <c r="Y216" s="9">
        <v>220</v>
      </c>
      <c r="Z216" s="9">
        <v>183.33332999999999</v>
      </c>
      <c r="AA216" s="9">
        <v>220</v>
      </c>
      <c r="AB216" s="9">
        <v>220</v>
      </c>
    </row>
    <row r="217" spans="1:28" x14ac:dyDescent="0.25">
      <c r="A217" s="8" t="s">
        <v>488</v>
      </c>
      <c r="B217" s="8" t="s">
        <v>489</v>
      </c>
      <c r="C217" s="8" t="s">
        <v>30</v>
      </c>
      <c r="D217" s="10">
        <v>2.4000001000000002</v>
      </c>
      <c r="E217" s="10">
        <v>1</v>
      </c>
      <c r="F217" s="10">
        <v>1.4</v>
      </c>
      <c r="G217" s="10">
        <v>1</v>
      </c>
      <c r="H217" s="10">
        <v>1.4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0.40000001000000002</v>
      </c>
      <c r="O217" s="8" t="s">
        <v>31</v>
      </c>
      <c r="P217" s="8" t="s">
        <v>31</v>
      </c>
      <c r="Q217" s="8" t="s">
        <v>31</v>
      </c>
      <c r="R217" s="8" t="s">
        <v>31</v>
      </c>
      <c r="S217" s="8" t="s">
        <v>31</v>
      </c>
      <c r="T217" s="8" t="s">
        <v>31</v>
      </c>
      <c r="U217" s="8" t="s">
        <v>31</v>
      </c>
      <c r="V217" s="8" t="s">
        <v>31</v>
      </c>
      <c r="W217" s="8" t="str">
        <f>_xlfn.IFNA(VLOOKUP(A217,[1]Sheet1!$A$1:$B$101,1,FALSE),"na")</f>
        <v>na</v>
      </c>
      <c r="X217" s="8" t="s">
        <v>35</v>
      </c>
      <c r="Y217" s="9">
        <v>276</v>
      </c>
      <c r="Z217" s="9">
        <v>114.99999</v>
      </c>
      <c r="AA217" s="9">
        <v>276</v>
      </c>
      <c r="AB217" s="9">
        <v>197.14286999999999</v>
      </c>
    </row>
    <row r="218" spans="1:28" x14ac:dyDescent="0.25">
      <c r="A218" s="8" t="s">
        <v>490</v>
      </c>
      <c r="B218" s="8" t="s">
        <v>491</v>
      </c>
      <c r="C218" s="8" t="s">
        <v>38</v>
      </c>
      <c r="D218" s="10">
        <v>2</v>
      </c>
      <c r="E218" s="10">
        <v>1</v>
      </c>
      <c r="F218" s="10">
        <v>1</v>
      </c>
      <c r="G218" s="10">
        <v>1</v>
      </c>
      <c r="H218" s="10">
        <v>1</v>
      </c>
      <c r="I218" s="10">
        <v>0</v>
      </c>
      <c r="J218" s="10">
        <v>0</v>
      </c>
      <c r="K218" s="10">
        <v>0</v>
      </c>
      <c r="L218" s="10">
        <v>1</v>
      </c>
      <c r="M218" s="10">
        <v>0</v>
      </c>
      <c r="N218" s="10">
        <v>1</v>
      </c>
      <c r="O218" s="8" t="s">
        <v>31</v>
      </c>
      <c r="P218" s="8" t="s">
        <v>31</v>
      </c>
      <c r="Q218" s="8" t="s">
        <v>31</v>
      </c>
      <c r="R218" s="8" t="s">
        <v>31</v>
      </c>
      <c r="S218" s="8" t="s">
        <v>31</v>
      </c>
      <c r="T218" s="8" t="s">
        <v>31</v>
      </c>
      <c r="U218" s="8" t="s">
        <v>31</v>
      </c>
      <c r="V218" s="8" t="s">
        <v>31</v>
      </c>
      <c r="W218" s="8" t="str">
        <f>_xlfn.IFNA(VLOOKUP(A218,[1]Sheet1!$A$1:$B$101,1,FALSE),"na")</f>
        <v>na</v>
      </c>
      <c r="X218" s="8" t="s">
        <v>35</v>
      </c>
      <c r="Y218" s="9">
        <v>369</v>
      </c>
      <c r="Z218" s="9">
        <v>184.5</v>
      </c>
      <c r="AA218" s="9">
        <v>369</v>
      </c>
      <c r="AB218" s="9">
        <v>369</v>
      </c>
    </row>
    <row r="219" spans="1:28" x14ac:dyDescent="0.25">
      <c r="A219" s="8" t="s">
        <v>492</v>
      </c>
      <c r="B219" s="8" t="s">
        <v>493</v>
      </c>
      <c r="C219" s="8" t="s">
        <v>30</v>
      </c>
      <c r="D219" s="10">
        <v>3.4000001000000002</v>
      </c>
      <c r="E219" s="10">
        <v>2</v>
      </c>
      <c r="F219" s="10">
        <v>1.4</v>
      </c>
      <c r="G219" s="10">
        <v>2</v>
      </c>
      <c r="H219" s="10">
        <v>1.4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0.40000001000000002</v>
      </c>
      <c r="O219" s="8" t="s">
        <v>31</v>
      </c>
      <c r="P219" s="8" t="s">
        <v>31</v>
      </c>
      <c r="Q219" s="8" t="s">
        <v>57</v>
      </c>
      <c r="R219" s="8" t="s">
        <v>31</v>
      </c>
      <c r="S219" s="8" t="s">
        <v>31</v>
      </c>
      <c r="T219" s="8" t="s">
        <v>31</v>
      </c>
      <c r="U219" s="8" t="s">
        <v>31</v>
      </c>
      <c r="V219" s="8" t="s">
        <v>31</v>
      </c>
      <c r="W219" s="8" t="str">
        <f>_xlfn.IFNA(VLOOKUP(A219,[1]Sheet1!$A$1:$B$101,1,FALSE),"na")</f>
        <v>na</v>
      </c>
      <c r="X219" s="8" t="s">
        <v>35</v>
      </c>
      <c r="Y219" s="9">
        <v>175</v>
      </c>
      <c r="Z219" s="9">
        <v>51.470588999999997</v>
      </c>
      <c r="AA219" s="9">
        <v>87.5</v>
      </c>
      <c r="AB219" s="9">
        <v>125</v>
      </c>
    </row>
    <row r="220" spans="1:28" x14ac:dyDescent="0.25">
      <c r="A220" s="8" t="s">
        <v>494</v>
      </c>
      <c r="B220" s="8" t="s">
        <v>495</v>
      </c>
      <c r="C220" s="8" t="s">
        <v>38</v>
      </c>
      <c r="D220" s="10">
        <v>2.4000001000000002</v>
      </c>
      <c r="E220" s="10">
        <v>2</v>
      </c>
      <c r="F220" s="10">
        <v>0.40000001000000002</v>
      </c>
      <c r="G220" s="10">
        <v>2</v>
      </c>
      <c r="H220" s="10">
        <v>0.40000001000000002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0.40000001000000002</v>
      </c>
      <c r="O220" s="8" t="s">
        <v>31</v>
      </c>
      <c r="P220" s="8" t="s">
        <v>31</v>
      </c>
      <c r="Q220" s="8" t="s">
        <v>31</v>
      </c>
      <c r="R220" s="8" t="s">
        <v>31</v>
      </c>
      <c r="S220" s="8" t="s">
        <v>31</v>
      </c>
      <c r="T220" s="8" t="s">
        <v>31</v>
      </c>
      <c r="U220" s="8" t="s">
        <v>31</v>
      </c>
      <c r="V220" s="8" t="s">
        <v>31</v>
      </c>
      <c r="W220" s="8" t="str">
        <f>_xlfn.IFNA(VLOOKUP(A220,[1]Sheet1!$A$1:$B$101,1,FALSE),"na")</f>
        <v>na</v>
      </c>
      <c r="X220" s="8" t="s">
        <v>496</v>
      </c>
      <c r="Y220" s="9">
        <v>412</v>
      </c>
      <c r="Z220" s="9">
        <v>171.66666000000001</v>
      </c>
      <c r="AA220" s="9">
        <v>206</v>
      </c>
      <c r="AB220" s="9">
        <v>412</v>
      </c>
    </row>
    <row r="221" spans="1:28" x14ac:dyDescent="0.25">
      <c r="A221" s="8" t="s">
        <v>497</v>
      </c>
      <c r="B221" s="8" t="s">
        <v>498</v>
      </c>
      <c r="C221" s="8" t="s">
        <v>30</v>
      </c>
      <c r="D221" s="10">
        <v>2.2000000000000002</v>
      </c>
      <c r="E221" s="10">
        <v>1</v>
      </c>
      <c r="F221" s="10">
        <v>1.2</v>
      </c>
      <c r="G221" s="10">
        <v>1</v>
      </c>
      <c r="H221" s="10">
        <v>1.2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0.2</v>
      </c>
      <c r="O221" s="8" t="s">
        <v>57</v>
      </c>
      <c r="P221" s="8" t="s">
        <v>31</v>
      </c>
      <c r="Q221" s="8" t="s">
        <v>31</v>
      </c>
      <c r="R221" s="8" t="s">
        <v>31</v>
      </c>
      <c r="S221" s="8" t="s">
        <v>31</v>
      </c>
      <c r="T221" s="8" t="s">
        <v>31</v>
      </c>
      <c r="U221" s="8" t="s">
        <v>31</v>
      </c>
      <c r="V221" s="8" t="s">
        <v>31</v>
      </c>
      <c r="W221" s="8" t="str">
        <f>_xlfn.IFNA(VLOOKUP(A221,[1]Sheet1!$A$1:$B$101,1,FALSE),"na")</f>
        <v>na</v>
      </c>
      <c r="X221" s="8" t="s">
        <v>35</v>
      </c>
      <c r="Y221" s="9">
        <v>264</v>
      </c>
      <c r="Z221" s="9">
        <v>120</v>
      </c>
      <c r="AA221" s="9">
        <v>264</v>
      </c>
      <c r="AB221" s="9">
        <v>219.99997999999999</v>
      </c>
    </row>
    <row r="222" spans="1:28" x14ac:dyDescent="0.25">
      <c r="A222" s="8" t="s">
        <v>499</v>
      </c>
      <c r="B222" s="8" t="s">
        <v>500</v>
      </c>
      <c r="C222" s="8" t="s">
        <v>30</v>
      </c>
      <c r="D222" s="10">
        <v>1.2</v>
      </c>
      <c r="E222" s="10">
        <v>1</v>
      </c>
      <c r="F222" s="10">
        <v>0.2</v>
      </c>
      <c r="G222" s="10">
        <v>1</v>
      </c>
      <c r="H222" s="10">
        <v>0.2</v>
      </c>
      <c r="I222" s="10">
        <v>0</v>
      </c>
      <c r="J222" s="10">
        <v>0</v>
      </c>
      <c r="K222" s="10">
        <v>1</v>
      </c>
      <c r="L222" s="10">
        <v>0.2</v>
      </c>
      <c r="M222" s="10">
        <v>0</v>
      </c>
      <c r="N222" s="10">
        <v>0.2</v>
      </c>
      <c r="O222" s="8" t="s">
        <v>31</v>
      </c>
      <c r="P222" s="8" t="s">
        <v>31</v>
      </c>
      <c r="Q222" s="8" t="s">
        <v>31</v>
      </c>
      <c r="R222" s="8" t="s">
        <v>31</v>
      </c>
      <c r="S222" s="8" t="s">
        <v>31</v>
      </c>
      <c r="T222" s="8" t="s">
        <v>31</v>
      </c>
      <c r="U222" s="8" t="s">
        <v>31</v>
      </c>
      <c r="V222" s="8" t="s">
        <v>31</v>
      </c>
      <c r="W222" s="8" t="str">
        <f>_xlfn.IFNA(VLOOKUP(A222,[1]Sheet1!$A$1:$B$101,1,FALSE),"na")</f>
        <v>na</v>
      </c>
      <c r="X222" s="8" t="s">
        <v>501</v>
      </c>
      <c r="Y222" s="9">
        <v>234</v>
      </c>
      <c r="Z222" s="9">
        <v>194.99997999999999</v>
      </c>
      <c r="AA222" s="9">
        <v>234</v>
      </c>
      <c r="AB222" s="9">
        <v>234</v>
      </c>
    </row>
    <row r="223" spans="1:28" x14ac:dyDescent="0.25">
      <c r="A223" s="8" t="s">
        <v>502</v>
      </c>
      <c r="B223" s="8" t="s">
        <v>503</v>
      </c>
      <c r="C223" s="8" t="s">
        <v>30</v>
      </c>
      <c r="D223" s="10">
        <v>2.4000001000000002</v>
      </c>
      <c r="E223" s="10">
        <v>2</v>
      </c>
      <c r="F223" s="10">
        <v>0.40000001000000002</v>
      </c>
      <c r="G223" s="10">
        <v>2</v>
      </c>
      <c r="H223" s="10">
        <v>0.40000001000000002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0.40000001000000002</v>
      </c>
      <c r="O223" s="8" t="s">
        <v>31</v>
      </c>
      <c r="P223" s="8" t="s">
        <v>31</v>
      </c>
      <c r="Q223" s="8" t="s">
        <v>31</v>
      </c>
      <c r="R223" s="8" t="s">
        <v>31</v>
      </c>
      <c r="S223" s="8" t="s">
        <v>31</v>
      </c>
      <c r="T223" s="8" t="s">
        <v>31</v>
      </c>
      <c r="U223" s="8" t="s">
        <v>31</v>
      </c>
      <c r="V223" s="8" t="s">
        <v>31</v>
      </c>
      <c r="W223" s="8" t="str">
        <f>_xlfn.IFNA(VLOOKUP(A223,[1]Sheet1!$A$1:$B$101,1,FALSE),"na")</f>
        <v>na</v>
      </c>
      <c r="X223" s="8" t="s">
        <v>35</v>
      </c>
      <c r="Y223" s="9">
        <v>226</v>
      </c>
      <c r="Z223" s="9">
        <v>94.166663999999997</v>
      </c>
      <c r="AA223" s="9">
        <v>113</v>
      </c>
      <c r="AB223" s="9">
        <v>226</v>
      </c>
    </row>
    <row r="224" spans="1:28" x14ac:dyDescent="0.25">
      <c r="A224" s="8" t="s">
        <v>504</v>
      </c>
      <c r="B224" s="8" t="s">
        <v>505</v>
      </c>
      <c r="C224" s="8" t="s">
        <v>80</v>
      </c>
      <c r="D224" s="10">
        <v>3</v>
      </c>
      <c r="E224" s="10">
        <v>2</v>
      </c>
      <c r="F224" s="10">
        <v>1</v>
      </c>
      <c r="G224" s="10">
        <v>2</v>
      </c>
      <c r="H224" s="10">
        <v>1</v>
      </c>
      <c r="I224" s="10">
        <v>0</v>
      </c>
      <c r="J224" s="10">
        <v>0</v>
      </c>
      <c r="K224" s="10">
        <v>1</v>
      </c>
      <c r="L224" s="10">
        <v>0</v>
      </c>
      <c r="M224" s="10">
        <v>0</v>
      </c>
      <c r="N224" s="10">
        <v>0</v>
      </c>
      <c r="O224" s="8" t="s">
        <v>31</v>
      </c>
      <c r="P224" s="8" t="s">
        <v>31</v>
      </c>
      <c r="Q224" s="8" t="s">
        <v>31</v>
      </c>
      <c r="R224" s="8" t="s">
        <v>31</v>
      </c>
      <c r="S224" s="8" t="s">
        <v>31</v>
      </c>
      <c r="T224" s="8" t="s">
        <v>57</v>
      </c>
      <c r="U224" s="8" t="s">
        <v>57</v>
      </c>
      <c r="V224" s="8" t="s">
        <v>57</v>
      </c>
      <c r="W224" s="8" t="str">
        <f>_xlfn.IFNA(VLOOKUP(A224,[1]Sheet1!$A$1:$B$101,1,FALSE),"na")</f>
        <v>na</v>
      </c>
      <c r="X224" s="8" t="s">
        <v>35</v>
      </c>
      <c r="Y224" s="9">
        <v>233</v>
      </c>
      <c r="Z224" s="9">
        <v>77.666663999999997</v>
      </c>
      <c r="AA224" s="9">
        <v>116.5</v>
      </c>
      <c r="AB224" s="9">
        <v>233</v>
      </c>
    </row>
    <row r="225" spans="1:28" x14ac:dyDescent="0.25">
      <c r="A225" s="8" t="s">
        <v>506</v>
      </c>
      <c r="B225" s="8" t="s">
        <v>507</v>
      </c>
      <c r="C225" s="8" t="s">
        <v>30</v>
      </c>
      <c r="D225" s="10">
        <v>1.2</v>
      </c>
      <c r="E225" s="10">
        <v>1</v>
      </c>
      <c r="F225" s="10">
        <v>0.2</v>
      </c>
      <c r="G225" s="10">
        <v>1</v>
      </c>
      <c r="H225" s="10">
        <v>0.2</v>
      </c>
      <c r="I225" s="10">
        <v>0</v>
      </c>
      <c r="J225" s="10">
        <v>0</v>
      </c>
      <c r="K225" s="10">
        <v>0</v>
      </c>
      <c r="L225" s="10">
        <v>0.2</v>
      </c>
      <c r="M225" s="10">
        <v>0</v>
      </c>
      <c r="N225" s="10">
        <v>0.2</v>
      </c>
      <c r="O225" s="8" t="s">
        <v>31</v>
      </c>
      <c r="P225" s="8" t="s">
        <v>31</v>
      </c>
      <c r="Q225" s="8" t="s">
        <v>31</v>
      </c>
      <c r="R225" s="8" t="s">
        <v>31</v>
      </c>
      <c r="S225" s="8" t="s">
        <v>31</v>
      </c>
      <c r="T225" s="8" t="s">
        <v>31</v>
      </c>
      <c r="U225" s="8" t="s">
        <v>31</v>
      </c>
      <c r="V225" s="8" t="s">
        <v>31</v>
      </c>
      <c r="W225" s="8" t="str">
        <f>_xlfn.IFNA(VLOOKUP(A225,[1]Sheet1!$A$1:$B$101,1,FALSE),"na")</f>
        <v>na</v>
      </c>
      <c r="X225" s="8" t="s">
        <v>35</v>
      </c>
      <c r="Y225" s="9">
        <v>184</v>
      </c>
      <c r="Z225" s="9">
        <v>153.33332999999999</v>
      </c>
      <c r="AA225" s="9">
        <v>184</v>
      </c>
      <c r="AB225" s="9">
        <v>184</v>
      </c>
    </row>
    <row r="226" spans="1:28" x14ac:dyDescent="0.25">
      <c r="A226" s="8" t="s">
        <v>508</v>
      </c>
      <c r="B226" s="8" t="s">
        <v>509</v>
      </c>
      <c r="C226" s="8" t="s">
        <v>62</v>
      </c>
      <c r="D226" s="10">
        <v>2</v>
      </c>
      <c r="E226" s="10">
        <v>1</v>
      </c>
      <c r="F226" s="10">
        <v>1</v>
      </c>
      <c r="G226" s="10">
        <v>1</v>
      </c>
      <c r="H226" s="10">
        <v>1</v>
      </c>
      <c r="I226" s="10">
        <v>0</v>
      </c>
      <c r="J226" s="10">
        <v>0</v>
      </c>
      <c r="K226" s="10">
        <v>1</v>
      </c>
      <c r="L226" s="10">
        <v>0</v>
      </c>
      <c r="M226" s="10">
        <v>0</v>
      </c>
      <c r="N226" s="10">
        <v>0</v>
      </c>
      <c r="O226" s="8" t="s">
        <v>57</v>
      </c>
      <c r="P226" s="8" t="s">
        <v>31</v>
      </c>
      <c r="Q226" s="8" t="s">
        <v>31</v>
      </c>
      <c r="R226" s="8" t="s">
        <v>31</v>
      </c>
      <c r="S226" s="8" t="s">
        <v>31</v>
      </c>
      <c r="T226" s="8" t="s">
        <v>31</v>
      </c>
      <c r="U226" s="8" t="s">
        <v>31</v>
      </c>
      <c r="V226" s="8" t="s">
        <v>31</v>
      </c>
      <c r="W226" s="8" t="str">
        <f>_xlfn.IFNA(VLOOKUP(A226,[1]Sheet1!$A$1:$B$101,1,FALSE),"na")</f>
        <v>na</v>
      </c>
      <c r="X226" s="8" t="s">
        <v>35</v>
      </c>
      <c r="Y226" s="9">
        <v>159</v>
      </c>
      <c r="Z226" s="9">
        <v>79.5</v>
      </c>
      <c r="AA226" s="9">
        <v>159</v>
      </c>
      <c r="AB226" s="9">
        <v>159</v>
      </c>
    </row>
    <row r="227" spans="1:28" x14ac:dyDescent="0.25">
      <c r="A227" s="8" t="s">
        <v>510</v>
      </c>
      <c r="B227" s="8" t="s">
        <v>511</v>
      </c>
      <c r="C227" s="8" t="s">
        <v>38</v>
      </c>
      <c r="D227" s="10">
        <v>3.5999998999999998</v>
      </c>
      <c r="E227" s="10">
        <v>2</v>
      </c>
      <c r="F227" s="10">
        <v>1.6</v>
      </c>
      <c r="G227" s="10">
        <v>2</v>
      </c>
      <c r="H227" s="10">
        <v>1.6</v>
      </c>
      <c r="I227" s="10">
        <v>0</v>
      </c>
      <c r="J227" s="10">
        <v>0</v>
      </c>
      <c r="K227" s="10">
        <v>0</v>
      </c>
      <c r="L227" s="10">
        <v>0.60000001999999997</v>
      </c>
      <c r="M227" s="10">
        <v>0</v>
      </c>
      <c r="N227" s="10">
        <v>0.60000001999999997</v>
      </c>
      <c r="O227" s="8" t="s">
        <v>31</v>
      </c>
      <c r="P227" s="8" t="s">
        <v>31</v>
      </c>
      <c r="Q227" s="8" t="s">
        <v>57</v>
      </c>
      <c r="R227" s="8" t="s">
        <v>31</v>
      </c>
      <c r="S227" s="8" t="s">
        <v>31</v>
      </c>
      <c r="T227" s="8" t="s">
        <v>31</v>
      </c>
      <c r="U227" s="8" t="s">
        <v>31</v>
      </c>
      <c r="V227" s="8" t="s">
        <v>31</v>
      </c>
      <c r="W227" s="8" t="str">
        <f>_xlfn.IFNA(VLOOKUP(A227,[1]Sheet1!$A$1:$B$101,1,FALSE),"na")</f>
        <v>na</v>
      </c>
      <c r="X227" s="8" t="s">
        <v>512</v>
      </c>
      <c r="Y227" s="9">
        <v>551</v>
      </c>
      <c r="Z227" s="9">
        <v>153.05556000000001</v>
      </c>
      <c r="AA227" s="9">
        <v>275.5</v>
      </c>
      <c r="AB227" s="9">
        <v>344.375</v>
      </c>
    </row>
    <row r="228" spans="1:28" x14ac:dyDescent="0.25">
      <c r="A228" s="8" t="s">
        <v>513</v>
      </c>
      <c r="B228" s="8" t="s">
        <v>514</v>
      </c>
      <c r="C228" s="8" t="s">
        <v>30</v>
      </c>
      <c r="D228" s="10">
        <v>2.4000001000000002</v>
      </c>
      <c r="E228" s="10">
        <v>1</v>
      </c>
      <c r="F228" s="10">
        <v>1.4</v>
      </c>
      <c r="G228" s="10">
        <v>1</v>
      </c>
      <c r="H228" s="10">
        <v>1.4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0.40000001000000002</v>
      </c>
      <c r="O228" s="8" t="s">
        <v>31</v>
      </c>
      <c r="P228" s="8" t="s">
        <v>31</v>
      </c>
      <c r="Q228" s="8" t="s">
        <v>57</v>
      </c>
      <c r="R228" s="8" t="s">
        <v>31</v>
      </c>
      <c r="S228" s="8" t="s">
        <v>31</v>
      </c>
      <c r="T228" s="8" t="s">
        <v>31</v>
      </c>
      <c r="U228" s="8" t="s">
        <v>31</v>
      </c>
      <c r="V228" s="8" t="s">
        <v>31</v>
      </c>
      <c r="W228" s="8" t="str">
        <f>_xlfn.IFNA(VLOOKUP(A228,[1]Sheet1!$A$1:$B$101,1,FALSE),"na")</f>
        <v>na</v>
      </c>
      <c r="X228" s="8" t="s">
        <v>375</v>
      </c>
      <c r="Y228" s="9">
        <v>295</v>
      </c>
      <c r="Z228" s="9">
        <v>122.91665999999999</v>
      </c>
      <c r="AA228" s="9">
        <v>295</v>
      </c>
      <c r="AB228" s="9">
        <v>210.71429000000001</v>
      </c>
    </row>
    <row r="229" spans="1:28" x14ac:dyDescent="0.25">
      <c r="A229" s="8" t="s">
        <v>515</v>
      </c>
      <c r="B229" s="8" t="s">
        <v>516</v>
      </c>
      <c r="C229" s="8" t="s">
        <v>30</v>
      </c>
      <c r="D229" s="10">
        <v>2.4000001000000002</v>
      </c>
      <c r="E229" s="10">
        <v>1</v>
      </c>
      <c r="F229" s="10">
        <v>1.4</v>
      </c>
      <c r="G229" s="10">
        <v>1</v>
      </c>
      <c r="H229" s="10">
        <v>1.4</v>
      </c>
      <c r="I229" s="10">
        <v>0</v>
      </c>
      <c r="J229" s="10">
        <v>0</v>
      </c>
      <c r="K229" s="10">
        <v>0</v>
      </c>
      <c r="L229" s="10">
        <v>0.40000001000000002</v>
      </c>
      <c r="M229" s="10">
        <v>0</v>
      </c>
      <c r="N229" s="10">
        <v>0.40000001000000002</v>
      </c>
      <c r="O229" s="8" t="s">
        <v>57</v>
      </c>
      <c r="P229" s="8" t="s">
        <v>31</v>
      </c>
      <c r="Q229" s="8" t="s">
        <v>31</v>
      </c>
      <c r="R229" s="8" t="s">
        <v>31</v>
      </c>
      <c r="S229" s="8" t="s">
        <v>31</v>
      </c>
      <c r="T229" s="8" t="s">
        <v>31</v>
      </c>
      <c r="U229" s="8" t="s">
        <v>31</v>
      </c>
      <c r="V229" s="8" t="s">
        <v>31</v>
      </c>
      <c r="W229" s="8" t="str">
        <f>_xlfn.IFNA(VLOOKUP(A229,[1]Sheet1!$A$1:$B$101,1,FALSE),"na")</f>
        <v>na</v>
      </c>
      <c r="X229" s="8" t="s">
        <v>426</v>
      </c>
      <c r="Y229" s="9">
        <v>150</v>
      </c>
      <c r="Z229" s="9">
        <v>62.499996000000003</v>
      </c>
      <c r="AA229" s="9">
        <v>150</v>
      </c>
      <c r="AB229" s="9">
        <v>107.14286</v>
      </c>
    </row>
    <row r="230" spans="1:28" x14ac:dyDescent="0.25">
      <c r="A230" s="8" t="s">
        <v>517</v>
      </c>
      <c r="B230" s="8" t="s">
        <v>518</v>
      </c>
      <c r="C230" s="8" t="s">
        <v>30</v>
      </c>
      <c r="D230" s="10">
        <v>3.5999998999999998</v>
      </c>
      <c r="E230" s="10">
        <v>1</v>
      </c>
      <c r="F230" s="10">
        <v>2.5999998999999998</v>
      </c>
      <c r="G230" s="10">
        <v>1</v>
      </c>
      <c r="H230" s="10">
        <v>2.5999998999999998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0.60000001999999997</v>
      </c>
      <c r="O230" s="8" t="s">
        <v>31</v>
      </c>
      <c r="P230" s="8" t="s">
        <v>31</v>
      </c>
      <c r="Q230" s="8" t="s">
        <v>57</v>
      </c>
      <c r="R230" s="8" t="s">
        <v>31</v>
      </c>
      <c r="S230" s="8" t="s">
        <v>31</v>
      </c>
      <c r="T230" s="8" t="s">
        <v>31</v>
      </c>
      <c r="U230" s="8" t="s">
        <v>31</v>
      </c>
      <c r="V230" s="8" t="s">
        <v>31</v>
      </c>
      <c r="W230" s="8" t="str">
        <f>_xlfn.IFNA(VLOOKUP(A230,[1]Sheet1!$A$1:$B$101,1,FALSE),"na")</f>
        <v>na</v>
      </c>
      <c r="X230" s="8" t="s">
        <v>35</v>
      </c>
      <c r="Y230" s="9">
        <v>212</v>
      </c>
      <c r="Z230" s="9">
        <v>58.888888999999999</v>
      </c>
      <c r="AA230" s="9">
        <v>212</v>
      </c>
      <c r="AB230" s="9">
        <v>81.538466999999997</v>
      </c>
    </row>
    <row r="231" spans="1:28" x14ac:dyDescent="0.25">
      <c r="A231" s="8" t="s">
        <v>519</v>
      </c>
      <c r="B231" s="8" t="s">
        <v>520</v>
      </c>
      <c r="C231" s="8" t="s">
        <v>30</v>
      </c>
      <c r="D231" s="10">
        <v>3</v>
      </c>
      <c r="E231" s="10">
        <v>2</v>
      </c>
      <c r="F231" s="10">
        <v>1</v>
      </c>
      <c r="G231" s="10">
        <v>2</v>
      </c>
      <c r="H231" s="10">
        <v>1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8" t="s">
        <v>31</v>
      </c>
      <c r="P231" s="8" t="s">
        <v>31</v>
      </c>
      <c r="Q231" s="8" t="s">
        <v>31</v>
      </c>
      <c r="R231" s="8" t="s">
        <v>31</v>
      </c>
      <c r="S231" s="8" t="s">
        <v>31</v>
      </c>
      <c r="T231" s="8" t="s">
        <v>31</v>
      </c>
      <c r="U231" s="8" t="s">
        <v>31</v>
      </c>
      <c r="V231" s="8" t="s">
        <v>31</v>
      </c>
      <c r="W231" s="8" t="str">
        <f>_xlfn.IFNA(VLOOKUP(A231,[1]Sheet1!$A$1:$B$101,1,FALSE),"na")</f>
        <v>na</v>
      </c>
      <c r="X231" s="8" t="s">
        <v>35</v>
      </c>
      <c r="Y231" s="9">
        <v>282</v>
      </c>
      <c r="Z231" s="9">
        <v>94</v>
      </c>
      <c r="AA231" s="9">
        <v>141</v>
      </c>
      <c r="AB231" s="9">
        <v>282</v>
      </c>
    </row>
    <row r="232" spans="1:28" x14ac:dyDescent="0.25">
      <c r="A232" s="8" t="s">
        <v>521</v>
      </c>
      <c r="B232" s="8" t="s">
        <v>522</v>
      </c>
      <c r="C232" s="8" t="s">
        <v>62</v>
      </c>
      <c r="D232" s="10">
        <v>2</v>
      </c>
      <c r="E232" s="10">
        <v>1</v>
      </c>
      <c r="F232" s="10">
        <v>1</v>
      </c>
      <c r="G232" s="10">
        <v>1</v>
      </c>
      <c r="H232" s="10">
        <v>1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8" t="s">
        <v>57</v>
      </c>
      <c r="P232" s="8" t="s">
        <v>31</v>
      </c>
      <c r="Q232" s="8" t="s">
        <v>31</v>
      </c>
      <c r="R232" s="8" t="s">
        <v>31</v>
      </c>
      <c r="S232" s="8" t="s">
        <v>31</v>
      </c>
      <c r="T232" s="8" t="s">
        <v>31</v>
      </c>
      <c r="U232" s="8" t="s">
        <v>31</v>
      </c>
      <c r="V232" s="8" t="s">
        <v>31</v>
      </c>
      <c r="W232" s="8" t="str">
        <f>_xlfn.IFNA(VLOOKUP(A232,[1]Sheet1!$A$1:$B$101,1,FALSE),"na")</f>
        <v>na</v>
      </c>
      <c r="X232" s="8" t="s">
        <v>35</v>
      </c>
      <c r="Y232" s="9">
        <v>198</v>
      </c>
      <c r="Z232" s="9">
        <v>99</v>
      </c>
      <c r="AA232" s="9">
        <v>198</v>
      </c>
      <c r="AB232" s="9">
        <v>198</v>
      </c>
    </row>
    <row r="233" spans="1:28" x14ac:dyDescent="0.25">
      <c r="A233" s="8" t="s">
        <v>523</v>
      </c>
      <c r="B233" s="8" t="s">
        <v>524</v>
      </c>
      <c r="C233" s="8" t="s">
        <v>67</v>
      </c>
      <c r="D233" s="10">
        <v>2.2000000000000002</v>
      </c>
      <c r="E233" s="10">
        <v>1</v>
      </c>
      <c r="F233" s="10">
        <v>1.2</v>
      </c>
      <c r="G233" s="10">
        <v>1</v>
      </c>
      <c r="H233" s="10">
        <v>1.2</v>
      </c>
      <c r="I233" s="10">
        <v>0</v>
      </c>
      <c r="J233" s="10">
        <v>0</v>
      </c>
      <c r="K233" s="10">
        <v>0</v>
      </c>
      <c r="L233" s="10">
        <v>1</v>
      </c>
      <c r="M233" s="10">
        <v>0</v>
      </c>
      <c r="N233" s="10">
        <v>0.2</v>
      </c>
      <c r="O233" s="8" t="s">
        <v>57</v>
      </c>
      <c r="P233" s="8" t="s">
        <v>31</v>
      </c>
      <c r="Q233" s="8" t="s">
        <v>31</v>
      </c>
      <c r="R233" s="8" t="s">
        <v>31</v>
      </c>
      <c r="S233" s="8" t="s">
        <v>31</v>
      </c>
      <c r="T233" s="8" t="s">
        <v>31</v>
      </c>
      <c r="U233" s="8" t="s">
        <v>31</v>
      </c>
      <c r="V233" s="8" t="s">
        <v>31</v>
      </c>
      <c r="W233" s="8" t="str">
        <f>_xlfn.IFNA(VLOOKUP(A233,[1]Sheet1!$A$1:$B$101,1,FALSE),"na")</f>
        <v>na</v>
      </c>
      <c r="X233" s="8" t="s">
        <v>434</v>
      </c>
      <c r="Y233" s="9">
        <v>86</v>
      </c>
      <c r="Z233" s="9">
        <v>39.090907999999999</v>
      </c>
      <c r="AA233" s="9">
        <v>86</v>
      </c>
      <c r="AB233" s="9">
        <v>71.666663999999997</v>
      </c>
    </row>
    <row r="234" spans="1:28" x14ac:dyDescent="0.25">
      <c r="A234" s="8" t="s">
        <v>525</v>
      </c>
      <c r="B234" s="8" t="s">
        <v>526</v>
      </c>
      <c r="C234" s="8" t="s">
        <v>62</v>
      </c>
      <c r="D234" s="10">
        <v>3.2</v>
      </c>
      <c r="E234" s="10">
        <v>2</v>
      </c>
      <c r="F234" s="10">
        <v>1.2</v>
      </c>
      <c r="G234" s="10">
        <v>2</v>
      </c>
      <c r="H234" s="10">
        <v>1.2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0.2</v>
      </c>
      <c r="O234" s="8" t="s">
        <v>57</v>
      </c>
      <c r="P234" s="8" t="s">
        <v>31</v>
      </c>
      <c r="Q234" s="8" t="s">
        <v>31</v>
      </c>
      <c r="R234" s="8" t="s">
        <v>31</v>
      </c>
      <c r="S234" s="8" t="s">
        <v>31</v>
      </c>
      <c r="T234" s="8" t="s">
        <v>57</v>
      </c>
      <c r="U234" s="8" t="s">
        <v>31</v>
      </c>
      <c r="V234" s="8" t="s">
        <v>57</v>
      </c>
      <c r="W234" s="8" t="str">
        <f>_xlfn.IFNA(VLOOKUP(A234,[1]Sheet1!$A$1:$B$101,1,FALSE),"na")</f>
        <v>na</v>
      </c>
      <c r="X234" s="8" t="s">
        <v>35</v>
      </c>
      <c r="Y234" s="9">
        <v>278</v>
      </c>
      <c r="Z234" s="9">
        <v>86.875</v>
      </c>
      <c r="AA234" s="9">
        <v>139</v>
      </c>
      <c r="AB234" s="9">
        <v>231.66666000000001</v>
      </c>
    </row>
    <row r="235" spans="1:28" x14ac:dyDescent="0.25">
      <c r="A235" s="8" t="s">
        <v>527</v>
      </c>
      <c r="B235" s="8" t="s">
        <v>528</v>
      </c>
      <c r="C235" s="8" t="s">
        <v>30</v>
      </c>
      <c r="D235" s="10">
        <v>2.2000000000000002</v>
      </c>
      <c r="E235" s="10">
        <v>1</v>
      </c>
      <c r="F235" s="10">
        <v>1.2</v>
      </c>
      <c r="G235" s="10">
        <v>1</v>
      </c>
      <c r="H235" s="10">
        <v>1.2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0.2</v>
      </c>
      <c r="O235" s="8" t="s">
        <v>57</v>
      </c>
      <c r="P235" s="8" t="s">
        <v>31</v>
      </c>
      <c r="Q235" s="8" t="s">
        <v>31</v>
      </c>
      <c r="R235" s="8" t="s">
        <v>31</v>
      </c>
      <c r="S235" s="8" t="s">
        <v>31</v>
      </c>
      <c r="T235" s="8" t="s">
        <v>31</v>
      </c>
      <c r="U235" s="8" t="s">
        <v>31</v>
      </c>
      <c r="V235" s="8" t="s">
        <v>31</v>
      </c>
      <c r="W235" s="8" t="str">
        <f>_xlfn.IFNA(VLOOKUP(A235,[1]Sheet1!$A$1:$B$101,1,FALSE),"na")</f>
        <v>na</v>
      </c>
      <c r="X235" s="8" t="s">
        <v>35</v>
      </c>
      <c r="Y235" s="9">
        <v>140</v>
      </c>
      <c r="Z235" s="9">
        <v>63.636364</v>
      </c>
      <c r="AA235" s="9">
        <v>140</v>
      </c>
      <c r="AB235" s="9">
        <v>116.66665999999999</v>
      </c>
    </row>
    <row r="236" spans="1:28" x14ac:dyDescent="0.25">
      <c r="A236" s="8" t="s">
        <v>529</v>
      </c>
      <c r="B236" s="8" t="s">
        <v>530</v>
      </c>
      <c r="C236" s="8" t="s">
        <v>80</v>
      </c>
      <c r="D236" s="10">
        <v>3.2</v>
      </c>
      <c r="E236" s="10">
        <v>2</v>
      </c>
      <c r="F236" s="10">
        <v>1.2</v>
      </c>
      <c r="G236" s="10">
        <v>2</v>
      </c>
      <c r="H236" s="10">
        <v>1.2</v>
      </c>
      <c r="I236" s="10">
        <v>0</v>
      </c>
      <c r="J236" s="10">
        <v>0</v>
      </c>
      <c r="K236" s="10">
        <v>1</v>
      </c>
      <c r="L236" s="10">
        <v>0</v>
      </c>
      <c r="M236" s="10">
        <v>0</v>
      </c>
      <c r="N236" s="10">
        <v>0.2</v>
      </c>
      <c r="O236" s="8" t="s">
        <v>57</v>
      </c>
      <c r="P236" s="8" t="s">
        <v>31</v>
      </c>
      <c r="Q236" s="8" t="s">
        <v>31</v>
      </c>
      <c r="R236" s="8" t="s">
        <v>31</v>
      </c>
      <c r="S236" s="8" t="s">
        <v>31</v>
      </c>
      <c r="T236" s="8" t="s">
        <v>31</v>
      </c>
      <c r="U236" s="8" t="s">
        <v>31</v>
      </c>
      <c r="V236" s="8" t="s">
        <v>31</v>
      </c>
      <c r="W236" s="8" t="str">
        <f>_xlfn.IFNA(VLOOKUP(A236,[1]Sheet1!$A$1:$B$101,1,FALSE),"na")</f>
        <v>na</v>
      </c>
      <c r="X236" s="8" t="s">
        <v>35</v>
      </c>
      <c r="Y236" s="9">
        <v>721</v>
      </c>
      <c r="Z236" s="9">
        <v>225.3125</v>
      </c>
      <c r="AA236" s="9">
        <v>360.5</v>
      </c>
      <c r="AB236" s="9">
        <v>600.83330999999998</v>
      </c>
    </row>
    <row r="237" spans="1:28" x14ac:dyDescent="0.25">
      <c r="A237" s="8" t="s">
        <v>531</v>
      </c>
      <c r="B237" s="8" t="s">
        <v>532</v>
      </c>
      <c r="C237" s="8" t="s">
        <v>62</v>
      </c>
      <c r="D237" s="10">
        <v>3</v>
      </c>
      <c r="E237" s="10">
        <v>2</v>
      </c>
      <c r="F237" s="10">
        <v>1</v>
      </c>
      <c r="G237" s="10">
        <v>2</v>
      </c>
      <c r="H237" s="10">
        <v>1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8" t="s">
        <v>31</v>
      </c>
      <c r="P237" s="8" t="s">
        <v>31</v>
      </c>
      <c r="Q237" s="8" t="s">
        <v>31</v>
      </c>
      <c r="R237" s="8" t="s">
        <v>31</v>
      </c>
      <c r="S237" s="8" t="s">
        <v>31</v>
      </c>
      <c r="T237" s="8" t="s">
        <v>31</v>
      </c>
      <c r="U237" s="8" t="s">
        <v>31</v>
      </c>
      <c r="V237" s="8" t="s">
        <v>31</v>
      </c>
      <c r="W237" s="8" t="str">
        <f>_xlfn.IFNA(VLOOKUP(A237,[1]Sheet1!$A$1:$B$101,1,FALSE),"na")</f>
        <v>na</v>
      </c>
      <c r="X237" s="8" t="s">
        <v>35</v>
      </c>
      <c r="Y237" s="9">
        <v>175</v>
      </c>
      <c r="Z237" s="9">
        <v>58.333331999999999</v>
      </c>
      <c r="AA237" s="9">
        <v>87.5</v>
      </c>
      <c r="AB237" s="9">
        <v>175</v>
      </c>
    </row>
    <row r="238" spans="1:28" x14ac:dyDescent="0.25">
      <c r="A238" s="8" t="s">
        <v>533</v>
      </c>
      <c r="B238" s="8" t="s">
        <v>534</v>
      </c>
      <c r="C238" s="8" t="s">
        <v>67</v>
      </c>
      <c r="D238" s="10">
        <v>2.2000000000000002</v>
      </c>
      <c r="E238" s="10">
        <v>1</v>
      </c>
      <c r="F238" s="10">
        <v>1.2</v>
      </c>
      <c r="G238" s="10">
        <v>1</v>
      </c>
      <c r="H238" s="10">
        <v>1.2</v>
      </c>
      <c r="I238" s="10">
        <v>0</v>
      </c>
      <c r="J238" s="10">
        <v>0</v>
      </c>
      <c r="K238" s="10">
        <v>0</v>
      </c>
      <c r="L238" s="10">
        <v>0.2</v>
      </c>
      <c r="M238" s="10">
        <v>0</v>
      </c>
      <c r="N238" s="10">
        <v>0.2</v>
      </c>
      <c r="O238" s="8" t="s">
        <v>57</v>
      </c>
      <c r="P238" s="8" t="s">
        <v>31</v>
      </c>
      <c r="Q238" s="8" t="s">
        <v>31</v>
      </c>
      <c r="R238" s="8" t="s">
        <v>31</v>
      </c>
      <c r="S238" s="8" t="s">
        <v>31</v>
      </c>
      <c r="T238" s="8" t="s">
        <v>31</v>
      </c>
      <c r="U238" s="8" t="s">
        <v>31</v>
      </c>
      <c r="V238" s="8" t="s">
        <v>31</v>
      </c>
      <c r="W238" s="8" t="str">
        <f>_xlfn.IFNA(VLOOKUP(A238,[1]Sheet1!$A$1:$B$101,1,FALSE),"na")</f>
        <v>na</v>
      </c>
      <c r="X238" s="8" t="s">
        <v>501</v>
      </c>
      <c r="Y238" s="9">
        <v>73</v>
      </c>
      <c r="Z238" s="9">
        <v>33.181815999999998</v>
      </c>
      <c r="AA238" s="9">
        <v>73</v>
      </c>
      <c r="AB238" s="9">
        <v>60.833331999999999</v>
      </c>
    </row>
    <row r="239" spans="1:28" x14ac:dyDescent="0.25">
      <c r="A239" s="8" t="s">
        <v>535</v>
      </c>
      <c r="B239" s="8" t="s">
        <v>536</v>
      </c>
      <c r="C239" s="8" t="s">
        <v>80</v>
      </c>
      <c r="D239" s="10">
        <v>6</v>
      </c>
      <c r="E239" s="10">
        <v>4</v>
      </c>
      <c r="F239" s="10">
        <v>2</v>
      </c>
      <c r="G239" s="10">
        <v>4</v>
      </c>
      <c r="H239" s="10">
        <v>2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8" t="s">
        <v>31</v>
      </c>
      <c r="P239" s="8" t="s">
        <v>31</v>
      </c>
      <c r="Q239" s="8" t="s">
        <v>57</v>
      </c>
      <c r="R239" s="8" t="s">
        <v>31</v>
      </c>
      <c r="S239" s="8" t="s">
        <v>31</v>
      </c>
      <c r="T239" s="8" t="s">
        <v>31</v>
      </c>
      <c r="U239" s="8" t="s">
        <v>31</v>
      </c>
      <c r="V239" s="8" t="s">
        <v>31</v>
      </c>
      <c r="W239" s="8" t="str">
        <f>_xlfn.IFNA(VLOOKUP(A239,[1]Sheet1!$A$1:$B$101,1,FALSE),"na")</f>
        <v>na</v>
      </c>
      <c r="X239" s="8" t="s">
        <v>35</v>
      </c>
      <c r="Y239" s="9">
        <v>621</v>
      </c>
      <c r="Z239" s="9">
        <v>103.5</v>
      </c>
      <c r="AA239" s="9">
        <v>155.25</v>
      </c>
      <c r="AB239" s="9">
        <v>310.5</v>
      </c>
    </row>
    <row r="240" spans="1:28" x14ac:dyDescent="0.25">
      <c r="A240" s="8" t="s">
        <v>537</v>
      </c>
      <c r="B240" s="8" t="s">
        <v>538</v>
      </c>
      <c r="C240" s="8" t="s">
        <v>67</v>
      </c>
      <c r="D240" s="10">
        <v>2.2000000000000002</v>
      </c>
      <c r="E240" s="10">
        <v>1</v>
      </c>
      <c r="F240" s="10">
        <v>1.2</v>
      </c>
      <c r="G240" s="10">
        <v>1</v>
      </c>
      <c r="H240" s="10">
        <v>1.2</v>
      </c>
      <c r="I240" s="10">
        <v>0</v>
      </c>
      <c r="J240" s="10">
        <v>0</v>
      </c>
      <c r="K240" s="10">
        <v>0</v>
      </c>
      <c r="L240" s="10">
        <v>0.2</v>
      </c>
      <c r="M240" s="10">
        <v>0</v>
      </c>
      <c r="N240" s="10">
        <v>0.2</v>
      </c>
      <c r="O240" s="8" t="s">
        <v>57</v>
      </c>
      <c r="P240" s="8" t="s">
        <v>31</v>
      </c>
      <c r="Q240" s="8" t="s">
        <v>31</v>
      </c>
      <c r="R240" s="8" t="s">
        <v>31</v>
      </c>
      <c r="S240" s="8" t="s">
        <v>31</v>
      </c>
      <c r="T240" s="8" t="s">
        <v>31</v>
      </c>
      <c r="U240" s="8" t="s">
        <v>31</v>
      </c>
      <c r="V240" s="8" t="s">
        <v>31</v>
      </c>
      <c r="W240" s="8" t="str">
        <f>_xlfn.IFNA(VLOOKUP(A240,[1]Sheet1!$A$1:$B$101,1,FALSE),"na")</f>
        <v>na</v>
      </c>
      <c r="X240" s="8" t="s">
        <v>35</v>
      </c>
      <c r="Y240" s="9">
        <v>93</v>
      </c>
      <c r="Z240" s="9">
        <v>42.272728000000001</v>
      </c>
      <c r="AA240" s="9">
        <v>93</v>
      </c>
      <c r="AB240" s="9">
        <v>77.5</v>
      </c>
    </row>
    <row r="241" spans="1:28" x14ac:dyDescent="0.25">
      <c r="A241" s="8" t="s">
        <v>539</v>
      </c>
      <c r="B241" s="8" t="s">
        <v>540</v>
      </c>
      <c r="C241" s="8" t="s">
        <v>38</v>
      </c>
      <c r="D241" s="10">
        <v>1.2</v>
      </c>
      <c r="E241" s="10">
        <v>0</v>
      </c>
      <c r="F241" s="10">
        <v>1.2</v>
      </c>
      <c r="G241" s="10">
        <v>0</v>
      </c>
      <c r="H241" s="10">
        <v>1.2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0.2</v>
      </c>
      <c r="O241" s="8" t="s">
        <v>31</v>
      </c>
      <c r="P241" s="8" t="s">
        <v>31</v>
      </c>
      <c r="Q241" s="8" t="s">
        <v>31</v>
      </c>
      <c r="R241" s="8" t="s">
        <v>31</v>
      </c>
      <c r="S241" s="8" t="s">
        <v>31</v>
      </c>
      <c r="T241" s="8" t="s">
        <v>31</v>
      </c>
      <c r="U241" s="8" t="s">
        <v>31</v>
      </c>
      <c r="V241" s="8" t="s">
        <v>31</v>
      </c>
      <c r="W241" s="8" t="str">
        <f>_xlfn.IFNA(VLOOKUP(A241,[1]Sheet1!$A$1:$B$101,1,FALSE),"na")</f>
        <v>na</v>
      </c>
      <c r="X241" s="8" t="s">
        <v>35</v>
      </c>
      <c r="Y241" s="9">
        <v>298</v>
      </c>
      <c r="Z241" s="9">
        <v>248.33332999999999</v>
      </c>
      <c r="AA241" s="9">
        <v>298</v>
      </c>
      <c r="AB241" s="9">
        <v>248.33332999999999</v>
      </c>
    </row>
    <row r="242" spans="1:28" x14ac:dyDescent="0.25">
      <c r="A242" s="8" t="s">
        <v>541</v>
      </c>
      <c r="B242" s="8" t="s">
        <v>542</v>
      </c>
      <c r="C242" s="8" t="s">
        <v>80</v>
      </c>
      <c r="D242" s="10">
        <v>3</v>
      </c>
      <c r="E242" s="10">
        <v>2</v>
      </c>
      <c r="F242" s="10">
        <v>1</v>
      </c>
      <c r="G242" s="10">
        <v>2</v>
      </c>
      <c r="H242" s="10">
        <v>1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8" t="s">
        <v>57</v>
      </c>
      <c r="P242" s="8" t="s">
        <v>31</v>
      </c>
      <c r="Q242" s="8" t="s">
        <v>31</v>
      </c>
      <c r="R242" s="8" t="s">
        <v>31</v>
      </c>
      <c r="S242" s="8" t="s">
        <v>31</v>
      </c>
      <c r="T242" s="8" t="s">
        <v>31</v>
      </c>
      <c r="U242" s="8" t="s">
        <v>31</v>
      </c>
      <c r="V242" s="8" t="s">
        <v>31</v>
      </c>
      <c r="W242" s="8" t="str">
        <f>_xlfn.IFNA(VLOOKUP(A242,[1]Sheet1!$A$1:$B$101,1,FALSE),"na")</f>
        <v>na</v>
      </c>
      <c r="X242" s="8" t="s">
        <v>35</v>
      </c>
      <c r="Y242" s="9">
        <v>414</v>
      </c>
      <c r="Z242" s="9">
        <v>138</v>
      </c>
      <c r="AA242" s="9">
        <v>207</v>
      </c>
      <c r="AB242" s="9">
        <v>414</v>
      </c>
    </row>
    <row r="243" spans="1:28" x14ac:dyDescent="0.25">
      <c r="A243" s="8" t="s">
        <v>543</v>
      </c>
      <c r="B243" s="8" t="s">
        <v>544</v>
      </c>
      <c r="C243" s="8" t="s">
        <v>62</v>
      </c>
      <c r="D243" s="10">
        <v>2.2000000000000002</v>
      </c>
      <c r="E243" s="10">
        <v>2</v>
      </c>
      <c r="F243" s="10">
        <v>0.2</v>
      </c>
      <c r="G243" s="10">
        <v>2</v>
      </c>
      <c r="H243" s="10">
        <v>0.2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0.2</v>
      </c>
      <c r="O243" s="8" t="s">
        <v>31</v>
      </c>
      <c r="P243" s="8" t="s">
        <v>31</v>
      </c>
      <c r="Q243" s="8" t="s">
        <v>31</v>
      </c>
      <c r="R243" s="8" t="s">
        <v>31</v>
      </c>
      <c r="S243" s="8" t="s">
        <v>31</v>
      </c>
      <c r="T243" s="8" t="s">
        <v>31</v>
      </c>
      <c r="U243" s="8" t="s">
        <v>31</v>
      </c>
      <c r="V243" s="8" t="s">
        <v>31</v>
      </c>
      <c r="W243" s="8" t="str">
        <f>_xlfn.IFNA(VLOOKUP(A243,[1]Sheet1!$A$1:$B$101,1,FALSE),"na")</f>
        <v>na</v>
      </c>
      <c r="X243" s="8" t="s">
        <v>35</v>
      </c>
      <c r="Y243" s="9">
        <v>576</v>
      </c>
      <c r="Z243" s="9">
        <v>261.81817999999998</v>
      </c>
      <c r="AA243" s="9">
        <v>288</v>
      </c>
      <c r="AB243" s="9">
        <v>576</v>
      </c>
    </row>
    <row r="244" spans="1:28" x14ac:dyDescent="0.25">
      <c r="A244" s="8" t="s">
        <v>545</v>
      </c>
      <c r="B244" s="8" t="s">
        <v>546</v>
      </c>
      <c r="C244" s="8" t="s">
        <v>30</v>
      </c>
      <c r="D244" s="10">
        <v>2.5999998999999998</v>
      </c>
      <c r="E244" s="10">
        <v>1</v>
      </c>
      <c r="F244" s="10">
        <v>1.6</v>
      </c>
      <c r="G244" s="10">
        <v>1</v>
      </c>
      <c r="H244" s="10">
        <v>1.6</v>
      </c>
      <c r="I244" s="10">
        <v>0</v>
      </c>
      <c r="J244" s="10">
        <v>0</v>
      </c>
      <c r="K244" s="10">
        <v>0</v>
      </c>
      <c r="L244" s="10">
        <v>0.60000001999999997</v>
      </c>
      <c r="M244" s="10">
        <v>0</v>
      </c>
      <c r="N244" s="10">
        <v>0.60000001999999997</v>
      </c>
      <c r="O244" s="8" t="s">
        <v>31</v>
      </c>
      <c r="P244" s="8" t="s">
        <v>31</v>
      </c>
      <c r="Q244" s="8" t="s">
        <v>31</v>
      </c>
      <c r="R244" s="8" t="s">
        <v>31</v>
      </c>
      <c r="S244" s="8" t="s">
        <v>31</v>
      </c>
      <c r="T244" s="8" t="s">
        <v>31</v>
      </c>
      <c r="U244" s="8" t="s">
        <v>31</v>
      </c>
      <c r="V244" s="8" t="s">
        <v>31</v>
      </c>
      <c r="W244" s="8" t="str">
        <f>_xlfn.IFNA(VLOOKUP(A244,[1]Sheet1!$A$1:$B$101,1,FALSE),"na")</f>
        <v>na</v>
      </c>
      <c r="X244" s="8" t="s">
        <v>35</v>
      </c>
      <c r="Y244" s="9">
        <v>435</v>
      </c>
      <c r="Z244" s="9">
        <v>167.30769000000001</v>
      </c>
      <c r="AA244" s="9">
        <v>435</v>
      </c>
      <c r="AB244" s="9">
        <v>271.875</v>
      </c>
    </row>
    <row r="245" spans="1:28" x14ac:dyDescent="0.25">
      <c r="A245" s="8" t="s">
        <v>547</v>
      </c>
      <c r="B245" s="8" t="s">
        <v>548</v>
      </c>
      <c r="C245" s="8" t="s">
        <v>30</v>
      </c>
      <c r="D245" s="10">
        <v>2.4000001000000002</v>
      </c>
      <c r="E245" s="10">
        <v>1</v>
      </c>
      <c r="F245" s="10">
        <v>1.4000001</v>
      </c>
      <c r="G245" s="10">
        <v>1</v>
      </c>
      <c r="H245" s="10">
        <v>0.80000000999999998</v>
      </c>
      <c r="I245" s="10">
        <v>0</v>
      </c>
      <c r="J245" s="10">
        <v>0.60000001999999997</v>
      </c>
      <c r="K245" s="10">
        <v>0</v>
      </c>
      <c r="L245" s="10">
        <v>0.80000000999999998</v>
      </c>
      <c r="M245" s="10">
        <v>0</v>
      </c>
      <c r="N245" s="10">
        <v>0.80000000999999998</v>
      </c>
      <c r="O245" s="8" t="s">
        <v>31</v>
      </c>
      <c r="P245" s="8" t="s">
        <v>31</v>
      </c>
      <c r="Q245" s="8" t="s">
        <v>31</v>
      </c>
      <c r="R245" s="8" t="s">
        <v>31</v>
      </c>
      <c r="S245" s="8" t="s">
        <v>31</v>
      </c>
      <c r="T245" s="8" t="s">
        <v>31</v>
      </c>
      <c r="U245" s="8" t="s">
        <v>31</v>
      </c>
      <c r="V245" s="8" t="s">
        <v>31</v>
      </c>
      <c r="W245" s="8" t="str">
        <f>_xlfn.IFNA(VLOOKUP(A245,[1]Sheet1!$A$1:$B$101,1,FALSE),"na")</f>
        <v>na</v>
      </c>
      <c r="X245" s="8" t="s">
        <v>35</v>
      </c>
      <c r="Y245" s="9">
        <v>431</v>
      </c>
      <c r="Z245" s="9">
        <v>179.58332999999999</v>
      </c>
      <c r="AA245" s="9">
        <v>431</v>
      </c>
      <c r="AB245" s="9">
        <v>307.85712000000001</v>
      </c>
    </row>
    <row r="246" spans="1:28" x14ac:dyDescent="0.25">
      <c r="A246" s="8" t="s">
        <v>549</v>
      </c>
      <c r="B246" s="8" t="s">
        <v>550</v>
      </c>
      <c r="C246" s="8" t="s">
        <v>30</v>
      </c>
      <c r="D246" s="10">
        <v>2.4000001000000002</v>
      </c>
      <c r="E246" s="10">
        <v>1</v>
      </c>
      <c r="F246" s="10">
        <v>1.4</v>
      </c>
      <c r="G246" s="10">
        <v>1</v>
      </c>
      <c r="H246" s="10">
        <v>1.4</v>
      </c>
      <c r="I246" s="10">
        <v>0</v>
      </c>
      <c r="J246" s="10">
        <v>0</v>
      </c>
      <c r="K246" s="10">
        <v>0</v>
      </c>
      <c r="L246" s="10">
        <v>0.40000001000000002</v>
      </c>
      <c r="M246" s="10">
        <v>0</v>
      </c>
      <c r="N246" s="10">
        <v>0.40000001000000002</v>
      </c>
      <c r="O246" s="8" t="s">
        <v>57</v>
      </c>
      <c r="P246" s="8" t="s">
        <v>31</v>
      </c>
      <c r="Q246" s="8" t="s">
        <v>31</v>
      </c>
      <c r="R246" s="8" t="s">
        <v>31</v>
      </c>
      <c r="S246" s="8" t="s">
        <v>31</v>
      </c>
      <c r="T246" s="8" t="s">
        <v>31</v>
      </c>
      <c r="U246" s="8" t="s">
        <v>31</v>
      </c>
      <c r="V246" s="8" t="s">
        <v>31</v>
      </c>
      <c r="W246" s="8" t="str">
        <f>_xlfn.IFNA(VLOOKUP(A246,[1]Sheet1!$A$1:$B$101,1,FALSE),"na")</f>
        <v>na</v>
      </c>
      <c r="X246" s="8" t="s">
        <v>35</v>
      </c>
      <c r="Y246" s="9">
        <v>362</v>
      </c>
      <c r="Z246" s="9">
        <v>150.83332999999999</v>
      </c>
      <c r="AA246" s="9">
        <v>362</v>
      </c>
      <c r="AB246" s="9">
        <v>258.57144</v>
      </c>
    </row>
    <row r="247" spans="1:28" x14ac:dyDescent="0.25">
      <c r="A247" s="8" t="s">
        <v>551</v>
      </c>
      <c r="B247" s="8" t="s">
        <v>552</v>
      </c>
      <c r="C247" s="8" t="s">
        <v>38</v>
      </c>
      <c r="D247" s="10">
        <v>2.4000001000000002</v>
      </c>
      <c r="E247" s="10">
        <v>1</v>
      </c>
      <c r="F247" s="10">
        <v>1.4</v>
      </c>
      <c r="G247" s="10">
        <v>1</v>
      </c>
      <c r="H247" s="10">
        <v>1.4</v>
      </c>
      <c r="I247" s="10">
        <v>0</v>
      </c>
      <c r="J247" s="10">
        <v>0</v>
      </c>
      <c r="K247" s="10">
        <v>0</v>
      </c>
      <c r="L247" s="10">
        <v>0.40000001000000002</v>
      </c>
      <c r="M247" s="10">
        <v>0</v>
      </c>
      <c r="N247" s="10">
        <v>0.40000001000000002</v>
      </c>
      <c r="O247" s="8" t="s">
        <v>57</v>
      </c>
      <c r="P247" s="8" t="s">
        <v>31</v>
      </c>
      <c r="Q247" s="8" t="s">
        <v>31</v>
      </c>
      <c r="R247" s="8" t="s">
        <v>31</v>
      </c>
      <c r="S247" s="8" t="s">
        <v>31</v>
      </c>
      <c r="T247" s="8" t="s">
        <v>31</v>
      </c>
      <c r="U247" s="8" t="s">
        <v>31</v>
      </c>
      <c r="V247" s="8" t="s">
        <v>31</v>
      </c>
      <c r="W247" s="8" t="str">
        <f>_xlfn.IFNA(VLOOKUP(A247,[1]Sheet1!$A$1:$B$101,1,FALSE),"na")</f>
        <v>na</v>
      </c>
      <c r="X247" s="8" t="s">
        <v>35</v>
      </c>
      <c r="Y247" s="9">
        <v>186</v>
      </c>
      <c r="Z247" s="9">
        <v>77.5</v>
      </c>
      <c r="AA247" s="9">
        <v>186</v>
      </c>
      <c r="AB247" s="9">
        <v>132.85714999999999</v>
      </c>
    </row>
    <row r="248" spans="1:28" x14ac:dyDescent="0.25">
      <c r="A248" s="8" t="s">
        <v>553</v>
      </c>
      <c r="B248" s="8" t="s">
        <v>554</v>
      </c>
      <c r="C248" s="8" t="s">
        <v>30</v>
      </c>
      <c r="D248" s="10">
        <v>1.5</v>
      </c>
      <c r="E248" s="10">
        <v>1</v>
      </c>
      <c r="F248" s="10">
        <v>0.5</v>
      </c>
      <c r="G248" s="10">
        <v>1</v>
      </c>
      <c r="H248" s="10">
        <v>0.5</v>
      </c>
      <c r="I248" s="10">
        <v>0</v>
      </c>
      <c r="J248" s="10">
        <v>0</v>
      </c>
      <c r="K248" s="10">
        <v>0</v>
      </c>
      <c r="L248" s="10">
        <v>0.5</v>
      </c>
      <c r="M248" s="10">
        <v>0</v>
      </c>
      <c r="N248" s="10">
        <v>0.5</v>
      </c>
      <c r="O248" s="8" t="s">
        <v>31</v>
      </c>
      <c r="P248" s="8" t="s">
        <v>31</v>
      </c>
      <c r="Q248" s="8" t="s">
        <v>31</v>
      </c>
      <c r="R248" s="8" t="s">
        <v>31</v>
      </c>
      <c r="S248" s="8" t="s">
        <v>31</v>
      </c>
      <c r="T248" s="8" t="s">
        <v>31</v>
      </c>
      <c r="U248" s="8" t="s">
        <v>31</v>
      </c>
      <c r="V248" s="8" t="s">
        <v>31</v>
      </c>
      <c r="W248" s="8" t="str">
        <f>_xlfn.IFNA(VLOOKUP(A248,[1]Sheet1!$A$1:$B$101,1,FALSE),"na")</f>
        <v>na</v>
      </c>
      <c r="X248" s="8" t="s">
        <v>35</v>
      </c>
      <c r="Y248" s="9">
        <v>383</v>
      </c>
      <c r="Z248" s="9">
        <v>255.33332999999999</v>
      </c>
      <c r="AA248" s="9">
        <v>383</v>
      </c>
      <c r="AB248" s="9">
        <v>383</v>
      </c>
    </row>
    <row r="249" spans="1:28" x14ac:dyDescent="0.25">
      <c r="A249" s="8" t="s">
        <v>555</v>
      </c>
      <c r="B249" s="8" t="s">
        <v>556</v>
      </c>
      <c r="C249" s="8" t="s">
        <v>30</v>
      </c>
      <c r="D249" s="10">
        <v>1.3</v>
      </c>
      <c r="E249" s="10">
        <v>1</v>
      </c>
      <c r="F249" s="10">
        <v>0.30000000999999998</v>
      </c>
      <c r="G249" s="10">
        <v>1</v>
      </c>
      <c r="H249" s="10">
        <v>0.30000000999999998</v>
      </c>
      <c r="I249" s="10">
        <v>0</v>
      </c>
      <c r="J249" s="10">
        <v>0</v>
      </c>
      <c r="K249" s="10">
        <v>1</v>
      </c>
      <c r="L249" s="10">
        <v>0.30000000999999998</v>
      </c>
      <c r="M249" s="10">
        <v>0</v>
      </c>
      <c r="N249" s="10">
        <v>0.30000000999999998</v>
      </c>
      <c r="O249" s="8" t="s">
        <v>31</v>
      </c>
      <c r="P249" s="8" t="s">
        <v>31</v>
      </c>
      <c r="Q249" s="8" t="s">
        <v>31</v>
      </c>
      <c r="R249" s="8" t="s">
        <v>31</v>
      </c>
      <c r="S249" s="8" t="s">
        <v>31</v>
      </c>
      <c r="T249" s="8" t="s">
        <v>31</v>
      </c>
      <c r="U249" s="8" t="s">
        <v>31</v>
      </c>
      <c r="V249" s="8" t="s">
        <v>31</v>
      </c>
      <c r="W249" s="8" t="str">
        <f>_xlfn.IFNA(VLOOKUP(A249,[1]Sheet1!$A$1:$B$101,1,FALSE),"na")</f>
        <v>na</v>
      </c>
      <c r="X249" s="8" t="s">
        <v>35</v>
      </c>
      <c r="Y249" s="9">
        <v>385</v>
      </c>
      <c r="Z249" s="9">
        <v>296.15386999999998</v>
      </c>
      <c r="AA249" s="9">
        <v>385</v>
      </c>
      <c r="AB249" s="9">
        <v>385</v>
      </c>
    </row>
    <row r="250" spans="1:28" x14ac:dyDescent="0.25">
      <c r="A250" s="8" t="s">
        <v>557</v>
      </c>
      <c r="B250" s="8" t="s">
        <v>558</v>
      </c>
      <c r="C250" s="8" t="s">
        <v>67</v>
      </c>
      <c r="D250" s="10">
        <v>1.2</v>
      </c>
      <c r="E250" s="10">
        <v>0</v>
      </c>
      <c r="F250" s="10">
        <v>1.2</v>
      </c>
      <c r="G250" s="10">
        <v>0</v>
      </c>
      <c r="H250" s="10">
        <v>1.2</v>
      </c>
      <c r="I250" s="10">
        <v>0</v>
      </c>
      <c r="J250" s="10">
        <v>0</v>
      </c>
      <c r="K250" s="10">
        <v>0</v>
      </c>
      <c r="L250" s="10">
        <v>0.2</v>
      </c>
      <c r="M250" s="10">
        <v>0</v>
      </c>
      <c r="N250" s="10">
        <v>0.2</v>
      </c>
      <c r="O250" s="8" t="s">
        <v>31</v>
      </c>
      <c r="P250" s="8" t="s">
        <v>31</v>
      </c>
      <c r="Q250" s="8" t="s">
        <v>31</v>
      </c>
      <c r="R250" s="8" t="s">
        <v>31</v>
      </c>
      <c r="S250" s="8" t="s">
        <v>31</v>
      </c>
      <c r="T250" s="8" t="s">
        <v>31</v>
      </c>
      <c r="U250" s="8" t="s">
        <v>31</v>
      </c>
      <c r="V250" s="8" t="s">
        <v>31</v>
      </c>
      <c r="W250" s="8" t="str">
        <f>_xlfn.IFNA(VLOOKUP(A250,[1]Sheet1!$A$1:$B$101,1,FALSE),"na")</f>
        <v>na</v>
      </c>
      <c r="X250" s="8" t="s">
        <v>35</v>
      </c>
      <c r="Y250" s="9">
        <v>131</v>
      </c>
      <c r="Z250" s="9">
        <v>109.16665999999999</v>
      </c>
      <c r="AA250" s="9">
        <v>131</v>
      </c>
      <c r="AB250" s="9">
        <v>109.16665999999999</v>
      </c>
    </row>
    <row r="251" spans="1:28" x14ac:dyDescent="0.25">
      <c r="A251" s="8" t="s">
        <v>559</v>
      </c>
      <c r="B251" s="8" t="s">
        <v>560</v>
      </c>
      <c r="C251" s="8" t="s">
        <v>30</v>
      </c>
      <c r="D251" s="10">
        <v>2.2000000000000002</v>
      </c>
      <c r="E251" s="10">
        <v>1</v>
      </c>
      <c r="F251" s="10">
        <v>1.2</v>
      </c>
      <c r="G251" s="10">
        <v>1</v>
      </c>
      <c r="H251" s="10">
        <v>1.2</v>
      </c>
      <c r="I251" s="10">
        <v>0</v>
      </c>
      <c r="J251" s="10">
        <v>0</v>
      </c>
      <c r="K251" s="10">
        <v>1</v>
      </c>
      <c r="L251" s="10">
        <v>0.2</v>
      </c>
      <c r="M251" s="10">
        <v>0</v>
      </c>
      <c r="N251" s="10">
        <v>0.2</v>
      </c>
      <c r="O251" s="8" t="s">
        <v>57</v>
      </c>
      <c r="P251" s="8" t="s">
        <v>31</v>
      </c>
      <c r="Q251" s="8" t="s">
        <v>31</v>
      </c>
      <c r="R251" s="8" t="s">
        <v>31</v>
      </c>
      <c r="S251" s="8" t="s">
        <v>31</v>
      </c>
      <c r="T251" s="8" t="s">
        <v>31</v>
      </c>
      <c r="U251" s="8" t="s">
        <v>31</v>
      </c>
      <c r="V251" s="8" t="s">
        <v>31</v>
      </c>
      <c r="W251" s="8" t="str">
        <f>_xlfn.IFNA(VLOOKUP(A251,[1]Sheet1!$A$1:$B$101,1,FALSE),"na")</f>
        <v>na</v>
      </c>
      <c r="X251" s="8" t="s">
        <v>35</v>
      </c>
      <c r="Y251" s="9">
        <v>298</v>
      </c>
      <c r="Z251" s="9">
        <v>135.45454000000001</v>
      </c>
      <c r="AA251" s="9">
        <v>298</v>
      </c>
      <c r="AB251" s="9">
        <v>248.33332999999999</v>
      </c>
    </row>
    <row r="252" spans="1:28" x14ac:dyDescent="0.25">
      <c r="A252" s="8" t="s">
        <v>561</v>
      </c>
      <c r="B252" s="8" t="s">
        <v>562</v>
      </c>
      <c r="C252" s="8" t="s">
        <v>30</v>
      </c>
      <c r="D252" s="10">
        <v>2.5999998999999998</v>
      </c>
      <c r="E252" s="10">
        <v>1</v>
      </c>
      <c r="F252" s="10">
        <v>1.6</v>
      </c>
      <c r="G252" s="10">
        <v>1</v>
      </c>
      <c r="H252" s="10">
        <v>1.4</v>
      </c>
      <c r="I252" s="10">
        <v>0</v>
      </c>
      <c r="J252" s="10">
        <v>0.2</v>
      </c>
      <c r="K252" s="10">
        <v>1</v>
      </c>
      <c r="L252" s="10">
        <v>0.40000001000000002</v>
      </c>
      <c r="M252" s="10">
        <v>0</v>
      </c>
      <c r="N252" s="10">
        <v>0.40000001000000002</v>
      </c>
      <c r="O252" s="8" t="s">
        <v>31</v>
      </c>
      <c r="P252" s="8" t="s">
        <v>31</v>
      </c>
      <c r="Q252" s="8" t="s">
        <v>31</v>
      </c>
      <c r="R252" s="8" t="s">
        <v>31</v>
      </c>
      <c r="S252" s="8" t="s">
        <v>31</v>
      </c>
      <c r="T252" s="8" t="s">
        <v>31</v>
      </c>
      <c r="U252" s="8" t="s">
        <v>31</v>
      </c>
      <c r="V252" s="8" t="s">
        <v>31</v>
      </c>
      <c r="W252" s="8" t="str">
        <f>_xlfn.IFNA(VLOOKUP(A252,[1]Sheet1!$A$1:$B$101,1,FALSE),"na")</f>
        <v>na</v>
      </c>
      <c r="X252" s="8" t="s">
        <v>35</v>
      </c>
      <c r="Y252" s="9">
        <v>420</v>
      </c>
      <c r="Z252" s="9">
        <v>161.53846999999999</v>
      </c>
      <c r="AA252" s="9">
        <v>420</v>
      </c>
      <c r="AB252" s="9">
        <v>262.5</v>
      </c>
    </row>
    <row r="253" spans="1:28" x14ac:dyDescent="0.25">
      <c r="A253" s="8" t="s">
        <v>563</v>
      </c>
      <c r="B253" s="8" t="s">
        <v>564</v>
      </c>
      <c r="C253" s="8" t="s">
        <v>30</v>
      </c>
      <c r="D253" s="10">
        <v>1.6</v>
      </c>
      <c r="E253" s="10">
        <v>1</v>
      </c>
      <c r="F253" s="10">
        <v>0.60000001999999997</v>
      </c>
      <c r="G253" s="10">
        <v>1</v>
      </c>
      <c r="H253" s="10">
        <v>0.60000001999999997</v>
      </c>
      <c r="I253" s="10">
        <v>0</v>
      </c>
      <c r="J253" s="10">
        <v>0</v>
      </c>
      <c r="K253" s="10">
        <v>0</v>
      </c>
      <c r="L253" s="10">
        <v>0.60000001999999997</v>
      </c>
      <c r="M253" s="10">
        <v>0</v>
      </c>
      <c r="N253" s="10">
        <v>0.60000001999999997</v>
      </c>
      <c r="O253" s="8" t="s">
        <v>31</v>
      </c>
      <c r="P253" s="8" t="s">
        <v>31</v>
      </c>
      <c r="Q253" s="8" t="s">
        <v>31</v>
      </c>
      <c r="R253" s="8" t="s">
        <v>31</v>
      </c>
      <c r="S253" s="8" t="s">
        <v>31</v>
      </c>
      <c r="T253" s="8" t="s">
        <v>31</v>
      </c>
      <c r="U253" s="8" t="s">
        <v>31</v>
      </c>
      <c r="V253" s="8" t="s">
        <v>31</v>
      </c>
      <c r="W253" s="8" t="str">
        <f>_xlfn.IFNA(VLOOKUP(A253,[1]Sheet1!$A$1:$B$101,1,FALSE),"na")</f>
        <v>na</v>
      </c>
      <c r="X253" s="8" t="s">
        <v>35</v>
      </c>
      <c r="Y253" s="9">
        <v>358</v>
      </c>
      <c r="Z253" s="9">
        <v>223.75</v>
      </c>
      <c r="AA253" s="9">
        <v>358</v>
      </c>
      <c r="AB253" s="9">
        <v>358</v>
      </c>
    </row>
    <row r="254" spans="1:28" x14ac:dyDescent="0.25">
      <c r="A254" s="8" t="s">
        <v>565</v>
      </c>
      <c r="B254" s="8" t="s">
        <v>566</v>
      </c>
      <c r="C254" s="8" t="s">
        <v>30</v>
      </c>
      <c r="D254" s="10">
        <v>1.6</v>
      </c>
      <c r="E254" s="10">
        <v>1</v>
      </c>
      <c r="F254" s="10">
        <v>0.60000001999999997</v>
      </c>
      <c r="G254" s="10">
        <v>1</v>
      </c>
      <c r="H254" s="10">
        <v>0.60000001999999997</v>
      </c>
      <c r="I254" s="10">
        <v>0</v>
      </c>
      <c r="J254" s="10">
        <v>0</v>
      </c>
      <c r="K254" s="10">
        <v>1</v>
      </c>
      <c r="L254" s="10">
        <v>0.60000001999999997</v>
      </c>
      <c r="M254" s="10">
        <v>0</v>
      </c>
      <c r="N254" s="10">
        <v>0.60000001999999997</v>
      </c>
      <c r="O254" s="8" t="s">
        <v>31</v>
      </c>
      <c r="P254" s="8" t="s">
        <v>31</v>
      </c>
      <c r="Q254" s="8" t="s">
        <v>31</v>
      </c>
      <c r="R254" s="8" t="s">
        <v>31</v>
      </c>
      <c r="S254" s="8" t="s">
        <v>31</v>
      </c>
      <c r="T254" s="8" t="s">
        <v>31</v>
      </c>
      <c r="U254" s="8" t="s">
        <v>31</v>
      </c>
      <c r="V254" s="8" t="s">
        <v>31</v>
      </c>
      <c r="W254" s="8" t="str">
        <f>_xlfn.IFNA(VLOOKUP(A254,[1]Sheet1!$A$1:$B$101,1,FALSE),"na")</f>
        <v>na</v>
      </c>
      <c r="X254" s="8" t="s">
        <v>35</v>
      </c>
      <c r="Y254" s="9">
        <v>451</v>
      </c>
      <c r="Z254" s="9">
        <v>281.875</v>
      </c>
      <c r="AA254" s="9">
        <v>451</v>
      </c>
      <c r="AB254" s="9">
        <v>451</v>
      </c>
    </row>
    <row r="255" spans="1:28" x14ac:dyDescent="0.25">
      <c r="A255" s="8" t="s">
        <v>567</v>
      </c>
      <c r="B255" s="8" t="s">
        <v>568</v>
      </c>
      <c r="C255" s="8" t="s">
        <v>30</v>
      </c>
      <c r="D255" s="10">
        <v>1.4</v>
      </c>
      <c r="E255" s="10">
        <v>1</v>
      </c>
      <c r="F255" s="10">
        <v>0.40000001000000002</v>
      </c>
      <c r="G255" s="10">
        <v>1</v>
      </c>
      <c r="H255" s="10">
        <v>0.40000001000000002</v>
      </c>
      <c r="I255" s="10">
        <v>0</v>
      </c>
      <c r="J255" s="10">
        <v>0</v>
      </c>
      <c r="K255" s="10">
        <v>1</v>
      </c>
      <c r="L255" s="10">
        <v>0.40000001000000002</v>
      </c>
      <c r="M255" s="10">
        <v>0</v>
      </c>
      <c r="N255" s="10">
        <v>0.40000001000000002</v>
      </c>
      <c r="O255" s="8" t="s">
        <v>31</v>
      </c>
      <c r="P255" s="8" t="s">
        <v>31</v>
      </c>
      <c r="Q255" s="8" t="s">
        <v>31</v>
      </c>
      <c r="R255" s="8" t="s">
        <v>31</v>
      </c>
      <c r="S255" s="8" t="s">
        <v>31</v>
      </c>
      <c r="T255" s="8" t="s">
        <v>31</v>
      </c>
      <c r="U255" s="8" t="s">
        <v>31</v>
      </c>
      <c r="V255" s="8" t="s">
        <v>31</v>
      </c>
      <c r="W255" s="8" t="str">
        <f>_xlfn.IFNA(VLOOKUP(A255,[1]Sheet1!$A$1:$B$101,1,FALSE),"na")</f>
        <v>na</v>
      </c>
      <c r="X255" s="8" t="s">
        <v>569</v>
      </c>
      <c r="Y255" s="9">
        <v>200</v>
      </c>
      <c r="Z255" s="9">
        <v>142.85714999999999</v>
      </c>
      <c r="AA255" s="9">
        <v>200</v>
      </c>
      <c r="AB255" s="9">
        <v>200</v>
      </c>
    </row>
    <row r="256" spans="1:28" x14ac:dyDescent="0.25">
      <c r="A256" s="8" t="s">
        <v>570</v>
      </c>
      <c r="B256" s="8" t="s">
        <v>571</v>
      </c>
      <c r="C256" s="8" t="s">
        <v>67</v>
      </c>
      <c r="D256" s="10">
        <v>2.2000000000000002</v>
      </c>
      <c r="E256" s="10">
        <v>1</v>
      </c>
      <c r="F256" s="10">
        <v>1.2</v>
      </c>
      <c r="G256" s="10">
        <v>1</v>
      </c>
      <c r="H256" s="10">
        <v>1.2</v>
      </c>
      <c r="I256" s="10">
        <v>0</v>
      </c>
      <c r="J256" s="10">
        <v>0</v>
      </c>
      <c r="K256" s="10">
        <v>1</v>
      </c>
      <c r="L256" s="10">
        <v>0.2</v>
      </c>
      <c r="M256" s="10">
        <v>0</v>
      </c>
      <c r="N256" s="10">
        <v>0.2</v>
      </c>
      <c r="O256" s="8" t="s">
        <v>57</v>
      </c>
      <c r="P256" s="8" t="s">
        <v>31</v>
      </c>
      <c r="Q256" s="8" t="s">
        <v>31</v>
      </c>
      <c r="R256" s="8" t="s">
        <v>31</v>
      </c>
      <c r="S256" s="8" t="s">
        <v>31</v>
      </c>
      <c r="T256" s="8" t="s">
        <v>31</v>
      </c>
      <c r="U256" s="8" t="s">
        <v>31</v>
      </c>
      <c r="V256" s="8" t="s">
        <v>31</v>
      </c>
      <c r="W256" s="8" t="str">
        <f>_xlfn.IFNA(VLOOKUP(A256,[1]Sheet1!$A$1:$B$101,1,FALSE),"na")</f>
        <v>na</v>
      </c>
      <c r="X256" s="8" t="s">
        <v>35</v>
      </c>
      <c r="Y256" s="9">
        <v>164</v>
      </c>
      <c r="Z256" s="9">
        <v>74.545456000000001</v>
      </c>
      <c r="AA256" s="9">
        <v>164</v>
      </c>
      <c r="AB256" s="9">
        <v>136.66666000000001</v>
      </c>
    </row>
    <row r="257" spans="1:28" x14ac:dyDescent="0.25">
      <c r="A257" s="8" t="s">
        <v>572</v>
      </c>
      <c r="B257" s="8" t="s">
        <v>573</v>
      </c>
      <c r="C257" s="8" t="s">
        <v>30</v>
      </c>
      <c r="D257" s="10">
        <v>2.8</v>
      </c>
      <c r="E257" s="10">
        <v>1</v>
      </c>
      <c r="F257" s="10">
        <v>1.8</v>
      </c>
      <c r="G257" s="10">
        <v>1</v>
      </c>
      <c r="H257" s="10">
        <v>1.8</v>
      </c>
      <c r="I257" s="10">
        <v>0</v>
      </c>
      <c r="J257" s="10">
        <v>0</v>
      </c>
      <c r="K257" s="10">
        <v>1</v>
      </c>
      <c r="L257" s="10">
        <v>0.80000000999999998</v>
      </c>
      <c r="M257" s="10">
        <v>0</v>
      </c>
      <c r="N257" s="10">
        <v>0.80000000999999998</v>
      </c>
      <c r="O257" s="8" t="s">
        <v>31</v>
      </c>
      <c r="P257" s="8" t="s">
        <v>31</v>
      </c>
      <c r="Q257" s="8" t="s">
        <v>31</v>
      </c>
      <c r="R257" s="8" t="s">
        <v>31</v>
      </c>
      <c r="S257" s="8" t="s">
        <v>31</v>
      </c>
      <c r="T257" s="8" t="s">
        <v>31</v>
      </c>
      <c r="U257" s="8" t="s">
        <v>31</v>
      </c>
      <c r="V257" s="8" t="s">
        <v>31</v>
      </c>
      <c r="W257" s="8" t="str">
        <f>_xlfn.IFNA(VLOOKUP(A257,[1]Sheet1!$A$1:$B$101,1,FALSE),"na")</f>
        <v>na</v>
      </c>
      <c r="X257" s="8" t="s">
        <v>484</v>
      </c>
      <c r="Y257" s="9">
        <v>460</v>
      </c>
      <c r="Z257" s="9">
        <v>164.28572</v>
      </c>
      <c r="AA257" s="9">
        <v>460</v>
      </c>
      <c r="AB257" s="9">
        <v>255.55556000000001</v>
      </c>
    </row>
    <row r="258" spans="1:28" x14ac:dyDescent="0.25">
      <c r="A258" s="8" t="s">
        <v>574</v>
      </c>
      <c r="B258" s="8" t="s">
        <v>575</v>
      </c>
      <c r="C258" s="8" t="s">
        <v>30</v>
      </c>
      <c r="D258" s="10">
        <v>1.4</v>
      </c>
      <c r="E258" s="10">
        <v>1</v>
      </c>
      <c r="F258" s="10">
        <v>0.40000001000000002</v>
      </c>
      <c r="G258" s="10">
        <v>1</v>
      </c>
      <c r="H258" s="10">
        <v>0.40000001000000002</v>
      </c>
      <c r="I258" s="10">
        <v>0</v>
      </c>
      <c r="J258" s="10">
        <v>0</v>
      </c>
      <c r="K258" s="10">
        <v>0</v>
      </c>
      <c r="L258" s="10">
        <v>0.40000001000000002</v>
      </c>
      <c r="M258" s="10">
        <v>0</v>
      </c>
      <c r="N258" s="10">
        <v>0.40000001000000002</v>
      </c>
      <c r="O258" s="8" t="s">
        <v>31</v>
      </c>
      <c r="P258" s="8" t="s">
        <v>31</v>
      </c>
      <c r="Q258" s="8" t="s">
        <v>31</v>
      </c>
      <c r="R258" s="8" t="s">
        <v>31</v>
      </c>
      <c r="S258" s="8" t="s">
        <v>31</v>
      </c>
      <c r="T258" s="8" t="s">
        <v>31</v>
      </c>
      <c r="U258" s="8" t="s">
        <v>31</v>
      </c>
      <c r="V258" s="8" t="s">
        <v>31</v>
      </c>
      <c r="W258" s="8" t="str">
        <f>_xlfn.IFNA(VLOOKUP(A258,[1]Sheet1!$A$1:$B$101,1,FALSE),"na")</f>
        <v>na</v>
      </c>
      <c r="X258" s="8" t="s">
        <v>576</v>
      </c>
      <c r="Y258" s="9">
        <v>404</v>
      </c>
      <c r="Z258" s="9">
        <v>288.57144</v>
      </c>
      <c r="AA258" s="9">
        <v>404</v>
      </c>
      <c r="AB258" s="9">
        <v>404</v>
      </c>
    </row>
    <row r="259" spans="1:28" x14ac:dyDescent="0.25">
      <c r="A259" s="8" t="s">
        <v>577</v>
      </c>
      <c r="B259" s="8" t="s">
        <v>578</v>
      </c>
      <c r="C259" s="8" t="s">
        <v>38</v>
      </c>
      <c r="D259" s="10">
        <v>2.8</v>
      </c>
      <c r="E259" s="10">
        <v>2</v>
      </c>
      <c r="F259" s="10">
        <v>0.80000000999999998</v>
      </c>
      <c r="G259" s="10">
        <v>2</v>
      </c>
      <c r="H259" s="10">
        <v>0.80000000999999998</v>
      </c>
      <c r="I259" s="10">
        <v>0</v>
      </c>
      <c r="J259" s="10">
        <v>0</v>
      </c>
      <c r="K259" s="10">
        <v>0</v>
      </c>
      <c r="L259" s="10">
        <v>0.80000000999999998</v>
      </c>
      <c r="M259" s="10">
        <v>0</v>
      </c>
      <c r="N259" s="10">
        <v>0.80000000999999998</v>
      </c>
      <c r="O259" s="8" t="s">
        <v>31</v>
      </c>
      <c r="P259" s="8" t="s">
        <v>31</v>
      </c>
      <c r="Q259" s="8" t="s">
        <v>31</v>
      </c>
      <c r="R259" s="8" t="s">
        <v>31</v>
      </c>
      <c r="S259" s="8" t="s">
        <v>31</v>
      </c>
      <c r="T259" s="8" t="s">
        <v>31</v>
      </c>
      <c r="U259" s="8" t="s">
        <v>31</v>
      </c>
      <c r="V259" s="8" t="s">
        <v>31</v>
      </c>
      <c r="W259" s="8" t="str">
        <f>_xlfn.IFNA(VLOOKUP(A259,[1]Sheet1!$A$1:$B$101,1,FALSE),"na")</f>
        <v>na</v>
      </c>
      <c r="X259" s="8" t="s">
        <v>35</v>
      </c>
      <c r="Y259" s="9">
        <v>609</v>
      </c>
      <c r="Z259" s="9">
        <v>217.5</v>
      </c>
      <c r="AA259" s="9">
        <v>304.5</v>
      </c>
      <c r="AB259" s="9">
        <v>609</v>
      </c>
    </row>
    <row r="260" spans="1:28" x14ac:dyDescent="0.25">
      <c r="A260" s="8" t="s">
        <v>579</v>
      </c>
      <c r="B260" s="8" t="s">
        <v>580</v>
      </c>
      <c r="C260" s="8" t="s">
        <v>30</v>
      </c>
      <c r="D260" s="10">
        <v>2.4000001000000002</v>
      </c>
      <c r="E260" s="10">
        <v>0</v>
      </c>
      <c r="F260" s="10">
        <v>2.4000001000000002</v>
      </c>
      <c r="G260" s="10">
        <v>0</v>
      </c>
      <c r="H260" s="10">
        <v>2.4000001000000002</v>
      </c>
      <c r="I260" s="10">
        <v>0</v>
      </c>
      <c r="J260" s="10">
        <v>0</v>
      </c>
      <c r="K260" s="10">
        <v>0</v>
      </c>
      <c r="L260" s="10">
        <v>0.40000001000000002</v>
      </c>
      <c r="M260" s="10">
        <v>0</v>
      </c>
      <c r="N260" s="10">
        <v>0.40000001000000002</v>
      </c>
      <c r="O260" s="8" t="s">
        <v>31</v>
      </c>
      <c r="P260" s="8" t="s">
        <v>31</v>
      </c>
      <c r="Q260" s="8" t="s">
        <v>31</v>
      </c>
      <c r="R260" s="8" t="s">
        <v>31</v>
      </c>
      <c r="S260" s="8" t="s">
        <v>31</v>
      </c>
      <c r="T260" s="8" t="s">
        <v>31</v>
      </c>
      <c r="U260" s="8" t="s">
        <v>31</v>
      </c>
      <c r="V260" s="8" t="s">
        <v>31</v>
      </c>
      <c r="W260" s="8" t="str">
        <f>_xlfn.IFNA(VLOOKUP(A260,[1]Sheet1!$A$1:$B$101,1,FALSE),"na")</f>
        <v>na</v>
      </c>
      <c r="X260" s="8" t="s">
        <v>35</v>
      </c>
      <c r="Y260" s="9">
        <v>257</v>
      </c>
      <c r="Z260" s="9">
        <v>107.08333</v>
      </c>
      <c r="AA260" s="9">
        <v>257</v>
      </c>
      <c r="AB260" s="9">
        <v>107.08333</v>
      </c>
    </row>
    <row r="261" spans="1:28" x14ac:dyDescent="0.25">
      <c r="A261" s="8" t="s">
        <v>581</v>
      </c>
      <c r="B261" s="8" t="s">
        <v>582</v>
      </c>
      <c r="C261" s="8" t="s">
        <v>38</v>
      </c>
      <c r="D261" s="10">
        <v>3.4000001000000002</v>
      </c>
      <c r="E261" s="10">
        <v>3</v>
      </c>
      <c r="F261" s="10">
        <v>0.40000001000000002</v>
      </c>
      <c r="G261" s="10">
        <v>3</v>
      </c>
      <c r="H261" s="10">
        <v>0.40000001000000002</v>
      </c>
      <c r="I261" s="10">
        <v>0</v>
      </c>
      <c r="J261" s="10">
        <v>0</v>
      </c>
      <c r="K261" s="10">
        <v>0</v>
      </c>
      <c r="L261" s="10">
        <v>0.40000001000000002</v>
      </c>
      <c r="M261" s="10">
        <v>0</v>
      </c>
      <c r="N261" s="10">
        <v>0.40000001000000002</v>
      </c>
      <c r="O261" s="8" t="s">
        <v>31</v>
      </c>
      <c r="P261" s="8" t="s">
        <v>31</v>
      </c>
      <c r="Q261" s="8" t="s">
        <v>31</v>
      </c>
      <c r="R261" s="8" t="s">
        <v>31</v>
      </c>
      <c r="S261" s="8" t="s">
        <v>31</v>
      </c>
      <c r="T261" s="8" t="s">
        <v>31</v>
      </c>
      <c r="U261" s="8" t="s">
        <v>31</v>
      </c>
      <c r="V261" s="8" t="s">
        <v>31</v>
      </c>
      <c r="W261" s="8" t="str">
        <f>_xlfn.IFNA(VLOOKUP(A261,[1]Sheet1!$A$1:$B$101,1,FALSE),"na")</f>
        <v>na</v>
      </c>
      <c r="X261" s="8" t="s">
        <v>35</v>
      </c>
      <c r="Y261" s="9">
        <v>750</v>
      </c>
      <c r="Z261" s="9">
        <v>220.58823000000001</v>
      </c>
      <c r="AA261" s="9">
        <v>250</v>
      </c>
      <c r="AB261" s="9">
        <v>750</v>
      </c>
    </row>
    <row r="262" spans="1:28" x14ac:dyDescent="0.25">
      <c r="A262" s="8" t="s">
        <v>583</v>
      </c>
      <c r="B262" s="8" t="s">
        <v>584</v>
      </c>
      <c r="C262" s="8" t="s">
        <v>30</v>
      </c>
      <c r="D262" s="10">
        <v>1.3</v>
      </c>
      <c r="E262" s="10">
        <v>1</v>
      </c>
      <c r="F262" s="10">
        <v>0.30000000999999998</v>
      </c>
      <c r="G262" s="10">
        <v>1</v>
      </c>
      <c r="H262" s="10">
        <v>0.30000000999999998</v>
      </c>
      <c r="I262" s="10">
        <v>0</v>
      </c>
      <c r="J262" s="10">
        <v>0</v>
      </c>
      <c r="K262" s="10">
        <v>0</v>
      </c>
      <c r="L262" s="10">
        <v>0.30000000999999998</v>
      </c>
      <c r="M262" s="10">
        <v>0</v>
      </c>
      <c r="N262" s="10">
        <v>0.30000000999999998</v>
      </c>
      <c r="O262" s="8" t="s">
        <v>31</v>
      </c>
      <c r="P262" s="8" t="s">
        <v>31</v>
      </c>
      <c r="Q262" s="8" t="s">
        <v>31</v>
      </c>
      <c r="R262" s="8" t="s">
        <v>31</v>
      </c>
      <c r="S262" s="8" t="s">
        <v>31</v>
      </c>
      <c r="T262" s="8" t="s">
        <v>31</v>
      </c>
      <c r="U262" s="8" t="s">
        <v>31</v>
      </c>
      <c r="V262" s="8" t="s">
        <v>31</v>
      </c>
      <c r="W262" s="8" t="str">
        <f>_xlfn.IFNA(VLOOKUP(A262,[1]Sheet1!$A$1:$B$101,1,FALSE),"na")</f>
        <v>na</v>
      </c>
      <c r="X262" s="8" t="s">
        <v>35</v>
      </c>
      <c r="Y262" s="9">
        <v>431</v>
      </c>
      <c r="Z262" s="9">
        <v>331.53847999999999</v>
      </c>
      <c r="AA262" s="9">
        <v>431</v>
      </c>
      <c r="AB262" s="9">
        <v>431</v>
      </c>
    </row>
    <row r="263" spans="1:28" x14ac:dyDescent="0.25">
      <c r="A263" s="8" t="s">
        <v>585</v>
      </c>
      <c r="B263" s="8" t="s">
        <v>586</v>
      </c>
      <c r="C263" s="8" t="s">
        <v>30</v>
      </c>
      <c r="D263" s="10">
        <v>1.3</v>
      </c>
      <c r="E263" s="10">
        <v>1</v>
      </c>
      <c r="F263" s="10">
        <v>0.30000000999999998</v>
      </c>
      <c r="G263" s="10">
        <v>1</v>
      </c>
      <c r="H263" s="10">
        <v>0.30000000999999998</v>
      </c>
      <c r="I263" s="10">
        <v>0</v>
      </c>
      <c r="J263" s="10">
        <v>0</v>
      </c>
      <c r="K263" s="10">
        <v>0</v>
      </c>
      <c r="L263" s="10">
        <v>0.30000000999999998</v>
      </c>
      <c r="M263" s="10">
        <v>0</v>
      </c>
      <c r="N263" s="10">
        <v>0.30000000999999998</v>
      </c>
      <c r="O263" s="8" t="s">
        <v>31</v>
      </c>
      <c r="P263" s="8" t="s">
        <v>31</v>
      </c>
      <c r="Q263" s="8" t="s">
        <v>31</v>
      </c>
      <c r="R263" s="8" t="s">
        <v>31</v>
      </c>
      <c r="S263" s="8" t="s">
        <v>31</v>
      </c>
      <c r="T263" s="8" t="s">
        <v>31</v>
      </c>
      <c r="U263" s="8" t="s">
        <v>31</v>
      </c>
      <c r="V263" s="8" t="s">
        <v>31</v>
      </c>
      <c r="W263" s="8" t="str">
        <f>_xlfn.IFNA(VLOOKUP(A263,[1]Sheet1!$A$1:$B$101,1,FALSE),"na")</f>
        <v>na</v>
      </c>
      <c r="X263" s="8" t="s">
        <v>35</v>
      </c>
      <c r="Y263" s="9">
        <v>219</v>
      </c>
      <c r="Z263" s="9">
        <v>168.46154999999999</v>
      </c>
      <c r="AA263" s="9">
        <v>219</v>
      </c>
      <c r="AB263" s="9">
        <v>219</v>
      </c>
    </row>
    <row r="264" spans="1:28" x14ac:dyDescent="0.25">
      <c r="A264" s="8" t="s">
        <v>587</v>
      </c>
      <c r="B264" s="8" t="s">
        <v>588</v>
      </c>
      <c r="C264" s="8" t="s">
        <v>67</v>
      </c>
      <c r="D264" s="10">
        <v>3.3</v>
      </c>
      <c r="E264" s="10">
        <v>3</v>
      </c>
      <c r="F264" s="10">
        <v>0.30000000999999998</v>
      </c>
      <c r="G264" s="10">
        <v>3</v>
      </c>
      <c r="H264" s="10">
        <v>0.30000000999999998</v>
      </c>
      <c r="I264" s="10">
        <v>0</v>
      </c>
      <c r="J264" s="10">
        <v>0</v>
      </c>
      <c r="K264" s="10">
        <v>0</v>
      </c>
      <c r="L264" s="10">
        <v>0.30000000999999998</v>
      </c>
      <c r="M264" s="10">
        <v>0</v>
      </c>
      <c r="N264" s="10">
        <v>0.30000000999999998</v>
      </c>
      <c r="O264" s="8" t="s">
        <v>31</v>
      </c>
      <c r="P264" s="8" t="s">
        <v>57</v>
      </c>
      <c r="Q264" s="8" t="s">
        <v>31</v>
      </c>
      <c r="R264" s="8" t="s">
        <v>31</v>
      </c>
      <c r="S264" s="8" t="s">
        <v>31</v>
      </c>
      <c r="T264" s="8" t="s">
        <v>31</v>
      </c>
      <c r="U264" s="8" t="s">
        <v>31</v>
      </c>
      <c r="V264" s="8" t="s">
        <v>31</v>
      </c>
      <c r="W264" s="8" t="str">
        <f>_xlfn.IFNA(VLOOKUP(A264,[1]Sheet1!$A$1:$B$101,1,FALSE),"na")</f>
        <v>na</v>
      </c>
      <c r="X264" s="8" t="s">
        <v>35</v>
      </c>
      <c r="Y264" s="9">
        <v>286</v>
      </c>
      <c r="Z264" s="9">
        <v>86.666663999999997</v>
      </c>
      <c r="AA264" s="9">
        <v>95.333336000000003</v>
      </c>
      <c r="AB264" s="9">
        <v>286</v>
      </c>
    </row>
    <row r="265" spans="1:28" x14ac:dyDescent="0.25">
      <c r="A265" s="8" t="s">
        <v>589</v>
      </c>
      <c r="B265" s="8" t="s">
        <v>590</v>
      </c>
      <c r="C265" s="8" t="s">
        <v>38</v>
      </c>
      <c r="D265" s="10">
        <v>2.4000001000000002</v>
      </c>
      <c r="E265" s="10">
        <v>1</v>
      </c>
      <c r="F265" s="10">
        <v>1.4</v>
      </c>
      <c r="G265" s="10">
        <v>1</v>
      </c>
      <c r="H265" s="10">
        <v>1.4</v>
      </c>
      <c r="I265" s="10">
        <v>0</v>
      </c>
      <c r="J265" s="10">
        <v>0</v>
      </c>
      <c r="K265" s="10">
        <v>1</v>
      </c>
      <c r="L265" s="10">
        <v>0.40000001000000002</v>
      </c>
      <c r="M265" s="10">
        <v>0</v>
      </c>
      <c r="N265" s="10">
        <v>0.40000001000000002</v>
      </c>
      <c r="O265" s="8" t="s">
        <v>57</v>
      </c>
      <c r="P265" s="8" t="s">
        <v>31</v>
      </c>
      <c r="Q265" s="8" t="s">
        <v>31</v>
      </c>
      <c r="R265" s="8" t="s">
        <v>31</v>
      </c>
      <c r="S265" s="8" t="s">
        <v>31</v>
      </c>
      <c r="T265" s="8" t="s">
        <v>31</v>
      </c>
      <c r="U265" s="8" t="s">
        <v>31</v>
      </c>
      <c r="V265" s="8" t="s">
        <v>31</v>
      </c>
      <c r="W265" s="8" t="str">
        <f>_xlfn.IFNA(VLOOKUP(A265,[1]Sheet1!$A$1:$B$101,1,FALSE),"na")</f>
        <v>na</v>
      </c>
      <c r="X265" s="8" t="s">
        <v>35</v>
      </c>
      <c r="Y265" s="9">
        <v>399</v>
      </c>
      <c r="Z265" s="9">
        <v>166.25</v>
      </c>
      <c r="AA265" s="9">
        <v>399</v>
      </c>
      <c r="AB265" s="9">
        <v>285</v>
      </c>
    </row>
    <row r="266" spans="1:28" x14ac:dyDescent="0.25">
      <c r="A266" s="8" t="s">
        <v>591</v>
      </c>
      <c r="B266" s="8" t="s">
        <v>592</v>
      </c>
      <c r="C266" s="8" t="s">
        <v>62</v>
      </c>
      <c r="D266" s="10">
        <v>5</v>
      </c>
      <c r="E266" s="10">
        <v>3</v>
      </c>
      <c r="F266" s="10">
        <v>2</v>
      </c>
      <c r="G266" s="10">
        <v>3</v>
      </c>
      <c r="H266" s="10">
        <v>2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8" t="s">
        <v>31</v>
      </c>
      <c r="P266" s="8" t="s">
        <v>31</v>
      </c>
      <c r="Q266" s="8" t="s">
        <v>31</v>
      </c>
      <c r="R266" s="8" t="s">
        <v>31</v>
      </c>
      <c r="S266" s="8" t="s">
        <v>31</v>
      </c>
      <c r="T266" s="8" t="s">
        <v>57</v>
      </c>
      <c r="U266" s="8" t="s">
        <v>57</v>
      </c>
      <c r="V266" s="8" t="s">
        <v>31</v>
      </c>
      <c r="W266" s="8" t="str">
        <f>_xlfn.IFNA(VLOOKUP(A266,[1]Sheet1!$A$1:$B$101,1,FALSE),"na")</f>
        <v>na</v>
      </c>
      <c r="X266" s="8" t="s">
        <v>35</v>
      </c>
      <c r="Y266" s="9">
        <v>377</v>
      </c>
      <c r="Z266" s="9">
        <v>75.400002000000001</v>
      </c>
      <c r="AA266" s="9">
        <v>125.66665999999999</v>
      </c>
      <c r="AB266" s="9">
        <v>188.5</v>
      </c>
    </row>
    <row r="267" spans="1:28" x14ac:dyDescent="0.25">
      <c r="A267" s="8" t="s">
        <v>593</v>
      </c>
      <c r="B267" s="8" t="s">
        <v>594</v>
      </c>
      <c r="C267" s="8" t="s">
        <v>67</v>
      </c>
      <c r="D267" s="10">
        <v>2.0999998999999998</v>
      </c>
      <c r="E267" s="10">
        <v>1</v>
      </c>
      <c r="F267" s="10">
        <v>1.1000000000000001</v>
      </c>
      <c r="G267" s="10">
        <v>1</v>
      </c>
      <c r="H267" s="10">
        <v>1.1000000000000001</v>
      </c>
      <c r="I267" s="10">
        <v>0</v>
      </c>
      <c r="J267" s="10">
        <v>0</v>
      </c>
      <c r="K267" s="10">
        <v>0</v>
      </c>
      <c r="L267" s="10">
        <v>0.1</v>
      </c>
      <c r="M267" s="10">
        <v>0</v>
      </c>
      <c r="N267" s="10">
        <v>0.1</v>
      </c>
      <c r="O267" s="8" t="s">
        <v>57</v>
      </c>
      <c r="P267" s="8" t="s">
        <v>31</v>
      </c>
      <c r="Q267" s="8" t="s">
        <v>31</v>
      </c>
      <c r="R267" s="8" t="s">
        <v>31</v>
      </c>
      <c r="S267" s="8" t="s">
        <v>31</v>
      </c>
      <c r="T267" s="8" t="s">
        <v>31</v>
      </c>
      <c r="U267" s="8" t="s">
        <v>31</v>
      </c>
      <c r="V267" s="8" t="s">
        <v>31</v>
      </c>
      <c r="W267" s="8" t="str">
        <f>_xlfn.IFNA(VLOOKUP(A267,[1]Sheet1!$A$1:$B$101,1,FALSE),"na")</f>
        <v>na</v>
      </c>
      <c r="X267" s="8" t="s">
        <v>35</v>
      </c>
      <c r="Y267" s="9">
        <v>317</v>
      </c>
      <c r="Z267" s="9">
        <v>150.95239000000001</v>
      </c>
      <c r="AA267" s="9">
        <v>317</v>
      </c>
      <c r="AB267" s="9">
        <v>288.18182000000002</v>
      </c>
    </row>
    <row r="268" spans="1:28" x14ac:dyDescent="0.25">
      <c r="A268" s="8" t="s">
        <v>595</v>
      </c>
      <c r="B268" s="8" t="s">
        <v>596</v>
      </c>
      <c r="C268" s="8" t="s">
        <v>38</v>
      </c>
      <c r="D268" s="10">
        <v>2.4000001000000002</v>
      </c>
      <c r="E268" s="10">
        <v>1</v>
      </c>
      <c r="F268" s="10">
        <v>1.4</v>
      </c>
      <c r="G268" s="10">
        <v>1</v>
      </c>
      <c r="H268" s="10">
        <v>1.4</v>
      </c>
      <c r="I268" s="10">
        <v>0</v>
      </c>
      <c r="J268" s="10">
        <v>0</v>
      </c>
      <c r="K268" s="10">
        <v>0</v>
      </c>
      <c r="L268" s="10">
        <v>0.40000001000000002</v>
      </c>
      <c r="M268" s="10">
        <v>0</v>
      </c>
      <c r="N268" s="10">
        <v>0.40000001000000002</v>
      </c>
      <c r="O268" s="8" t="s">
        <v>57</v>
      </c>
      <c r="P268" s="8" t="s">
        <v>31</v>
      </c>
      <c r="Q268" s="8" t="s">
        <v>31</v>
      </c>
      <c r="R268" s="8" t="s">
        <v>31</v>
      </c>
      <c r="S268" s="8" t="s">
        <v>31</v>
      </c>
      <c r="T268" s="8" t="s">
        <v>31</v>
      </c>
      <c r="U268" s="8" t="s">
        <v>31</v>
      </c>
      <c r="V268" s="8" t="s">
        <v>31</v>
      </c>
      <c r="W268" s="8" t="str">
        <f>_xlfn.IFNA(VLOOKUP(A268,[1]Sheet1!$A$1:$B$101,1,FALSE),"na")</f>
        <v>na</v>
      </c>
      <c r="X268" s="8" t="s">
        <v>35</v>
      </c>
      <c r="Y268" s="9">
        <v>261</v>
      </c>
      <c r="Z268" s="9">
        <v>108.74999</v>
      </c>
      <c r="AA268" s="9">
        <v>261</v>
      </c>
      <c r="AB268" s="9">
        <v>186.42857000000001</v>
      </c>
    </row>
    <row r="269" spans="1:28" x14ac:dyDescent="0.25">
      <c r="A269" s="8" t="s">
        <v>597</v>
      </c>
      <c r="B269" s="8" t="s">
        <v>598</v>
      </c>
      <c r="C269" s="8" t="s">
        <v>80</v>
      </c>
      <c r="D269" s="10">
        <v>3.0999998999999998</v>
      </c>
      <c r="E269" s="10">
        <v>3</v>
      </c>
      <c r="F269" s="10">
        <v>0.1</v>
      </c>
      <c r="G269" s="10">
        <v>3</v>
      </c>
      <c r="H269" s="10">
        <v>0.1</v>
      </c>
      <c r="I269" s="10">
        <v>0</v>
      </c>
      <c r="J269" s="10">
        <v>0</v>
      </c>
      <c r="K269" s="10">
        <v>1</v>
      </c>
      <c r="L269" s="10">
        <v>0.1</v>
      </c>
      <c r="M269" s="10">
        <v>0</v>
      </c>
      <c r="N269" s="10">
        <v>0.1</v>
      </c>
      <c r="O269" s="8" t="s">
        <v>31</v>
      </c>
      <c r="P269" s="8" t="s">
        <v>31</v>
      </c>
      <c r="Q269" s="8" t="s">
        <v>31</v>
      </c>
      <c r="R269" s="8" t="s">
        <v>31</v>
      </c>
      <c r="S269" s="8" t="s">
        <v>31</v>
      </c>
      <c r="T269" s="8" t="s">
        <v>31</v>
      </c>
      <c r="U269" s="8" t="s">
        <v>31</v>
      </c>
      <c r="V269" s="8" t="s">
        <v>31</v>
      </c>
      <c r="W269" s="8" t="str">
        <f>_xlfn.IFNA(VLOOKUP(A269,[1]Sheet1!$A$1:$B$101,1,FALSE),"na")</f>
        <v>na</v>
      </c>
      <c r="X269" s="8" t="s">
        <v>35</v>
      </c>
      <c r="Y269" s="9">
        <v>572</v>
      </c>
      <c r="Z269" s="9">
        <v>184.51613</v>
      </c>
      <c r="AA269" s="9">
        <v>190.66667000000001</v>
      </c>
      <c r="AB269" s="9">
        <v>572</v>
      </c>
    </row>
    <row r="270" spans="1:28" x14ac:dyDescent="0.25">
      <c r="A270" s="8" t="s">
        <v>599</v>
      </c>
      <c r="B270" s="8" t="s">
        <v>600</v>
      </c>
      <c r="C270" s="8" t="s">
        <v>38</v>
      </c>
      <c r="D270" s="10">
        <v>2.2000000000000002</v>
      </c>
      <c r="E270" s="10">
        <v>1</v>
      </c>
      <c r="F270" s="10">
        <v>1.2</v>
      </c>
      <c r="G270" s="10">
        <v>1</v>
      </c>
      <c r="H270" s="10">
        <v>1.2</v>
      </c>
      <c r="I270" s="10">
        <v>0</v>
      </c>
      <c r="J270" s="10">
        <v>0</v>
      </c>
      <c r="K270" s="10">
        <v>0</v>
      </c>
      <c r="L270" s="10">
        <v>0.2</v>
      </c>
      <c r="M270" s="10">
        <v>0</v>
      </c>
      <c r="N270" s="10">
        <v>0.2</v>
      </c>
      <c r="O270" s="8" t="s">
        <v>57</v>
      </c>
      <c r="P270" s="8" t="s">
        <v>31</v>
      </c>
      <c r="Q270" s="8" t="s">
        <v>31</v>
      </c>
      <c r="R270" s="8" t="s">
        <v>31</v>
      </c>
      <c r="S270" s="8" t="s">
        <v>31</v>
      </c>
      <c r="T270" s="8" t="s">
        <v>31</v>
      </c>
      <c r="U270" s="8" t="s">
        <v>31</v>
      </c>
      <c r="V270" s="8" t="s">
        <v>31</v>
      </c>
      <c r="W270" s="8" t="str">
        <f>_xlfn.IFNA(VLOOKUP(A270,[1]Sheet1!$A$1:$B$101,1,FALSE),"na")</f>
        <v>na</v>
      </c>
      <c r="X270" s="8" t="s">
        <v>35</v>
      </c>
      <c r="Y270" s="9">
        <v>392</v>
      </c>
      <c r="Z270" s="9">
        <v>178.18181000000001</v>
      </c>
      <c r="AA270" s="9">
        <v>392</v>
      </c>
      <c r="AB270" s="9">
        <v>326.66665999999998</v>
      </c>
    </row>
    <row r="271" spans="1:28" x14ac:dyDescent="0.25">
      <c r="A271" s="8" t="s">
        <v>601</v>
      </c>
      <c r="B271" s="8" t="s">
        <v>602</v>
      </c>
      <c r="C271" s="8" t="s">
        <v>30</v>
      </c>
      <c r="D271" s="10">
        <v>2.2000000000000002</v>
      </c>
      <c r="E271" s="10">
        <v>1</v>
      </c>
      <c r="F271" s="10">
        <v>1.2</v>
      </c>
      <c r="G271" s="10">
        <v>1</v>
      </c>
      <c r="H271" s="10">
        <v>1.2</v>
      </c>
      <c r="I271" s="10">
        <v>0</v>
      </c>
      <c r="J271" s="10">
        <v>0</v>
      </c>
      <c r="K271" s="10">
        <v>0</v>
      </c>
      <c r="L271" s="10">
        <v>0.2</v>
      </c>
      <c r="M271" s="10">
        <v>0</v>
      </c>
      <c r="N271" s="10">
        <v>0.2</v>
      </c>
      <c r="O271" s="8" t="s">
        <v>57</v>
      </c>
      <c r="P271" s="8" t="s">
        <v>31</v>
      </c>
      <c r="Q271" s="8" t="s">
        <v>31</v>
      </c>
      <c r="R271" s="8" t="s">
        <v>31</v>
      </c>
      <c r="S271" s="8" t="s">
        <v>31</v>
      </c>
      <c r="T271" s="8" t="s">
        <v>31</v>
      </c>
      <c r="U271" s="8" t="s">
        <v>31</v>
      </c>
      <c r="V271" s="8" t="s">
        <v>31</v>
      </c>
      <c r="W271" s="8" t="str">
        <f>_xlfn.IFNA(VLOOKUP(A271,[1]Sheet1!$A$1:$B$101,1,FALSE),"na")</f>
        <v>na</v>
      </c>
      <c r="X271" s="8" t="s">
        <v>35</v>
      </c>
      <c r="Y271" s="9">
        <v>290</v>
      </c>
      <c r="Z271" s="9">
        <v>131.81818000000001</v>
      </c>
      <c r="AA271" s="9">
        <v>290</v>
      </c>
      <c r="AB271" s="9">
        <v>241.66666000000001</v>
      </c>
    </row>
    <row r="272" spans="1:28" x14ac:dyDescent="0.25">
      <c r="A272" s="8" t="s">
        <v>603</v>
      </c>
      <c r="B272" s="8" t="s">
        <v>604</v>
      </c>
      <c r="C272" s="8" t="s">
        <v>67</v>
      </c>
      <c r="D272" s="10">
        <v>1.1333299999999999</v>
      </c>
      <c r="E272" s="10">
        <v>1</v>
      </c>
      <c r="F272" s="10">
        <v>0.13333</v>
      </c>
      <c r="G272" s="10">
        <v>1</v>
      </c>
      <c r="H272" s="10">
        <v>0.13333</v>
      </c>
      <c r="I272" s="10">
        <v>0</v>
      </c>
      <c r="J272" s="10">
        <v>0</v>
      </c>
      <c r="K272" s="10">
        <v>0</v>
      </c>
      <c r="L272" s="10">
        <v>0.13333</v>
      </c>
      <c r="M272" s="10">
        <v>0</v>
      </c>
      <c r="N272" s="10">
        <v>0.13333</v>
      </c>
      <c r="O272" s="8" t="s">
        <v>31</v>
      </c>
      <c r="P272" s="8" t="s">
        <v>31</v>
      </c>
      <c r="Q272" s="8" t="s">
        <v>31</v>
      </c>
      <c r="R272" s="8" t="s">
        <v>31</v>
      </c>
      <c r="S272" s="8" t="s">
        <v>31</v>
      </c>
      <c r="T272" s="8" t="s">
        <v>31</v>
      </c>
      <c r="U272" s="8" t="s">
        <v>31</v>
      </c>
      <c r="V272" s="8" t="s">
        <v>31</v>
      </c>
      <c r="W272" s="8" t="str">
        <f>_xlfn.IFNA(VLOOKUP(A272,[1]Sheet1!$A$1:$B$101,1,FALSE),"na")</f>
        <v>na</v>
      </c>
      <c r="X272" s="8" t="s">
        <v>35</v>
      </c>
      <c r="Y272" s="9">
        <v>228</v>
      </c>
      <c r="Z272" s="9">
        <v>201.17706000000001</v>
      </c>
      <c r="AA272" s="9">
        <v>228</v>
      </c>
      <c r="AB272" s="9">
        <v>228</v>
      </c>
    </row>
    <row r="273" spans="1:28" x14ac:dyDescent="0.25">
      <c r="A273" s="8" t="s">
        <v>605</v>
      </c>
      <c r="B273" s="8" t="s">
        <v>606</v>
      </c>
      <c r="C273" s="8" t="s">
        <v>67</v>
      </c>
      <c r="D273" s="10">
        <v>1.1000000000000001</v>
      </c>
      <c r="E273" s="10">
        <v>1</v>
      </c>
      <c r="F273" s="10">
        <v>0.1</v>
      </c>
      <c r="G273" s="10">
        <v>1</v>
      </c>
      <c r="H273" s="10">
        <v>0.1</v>
      </c>
      <c r="I273" s="10">
        <v>0</v>
      </c>
      <c r="J273" s="10">
        <v>0</v>
      </c>
      <c r="K273" s="10">
        <v>0</v>
      </c>
      <c r="L273" s="10">
        <v>0.1</v>
      </c>
      <c r="M273" s="10">
        <v>0</v>
      </c>
      <c r="N273" s="10">
        <v>0.1</v>
      </c>
      <c r="O273" s="8" t="s">
        <v>31</v>
      </c>
      <c r="P273" s="8" t="s">
        <v>57</v>
      </c>
      <c r="Q273" s="8" t="s">
        <v>31</v>
      </c>
      <c r="R273" s="8" t="s">
        <v>31</v>
      </c>
      <c r="S273" s="8" t="s">
        <v>31</v>
      </c>
      <c r="T273" s="8" t="s">
        <v>31</v>
      </c>
      <c r="U273" s="8" t="s">
        <v>31</v>
      </c>
      <c r="V273" s="8" t="s">
        <v>31</v>
      </c>
      <c r="W273" s="8" t="str">
        <f>_xlfn.IFNA(VLOOKUP(A273,[1]Sheet1!$A$1:$B$101,1,FALSE),"na")</f>
        <v>na</v>
      </c>
      <c r="X273" s="8" t="s">
        <v>484</v>
      </c>
      <c r="Y273" s="9">
        <v>234</v>
      </c>
      <c r="Z273" s="9">
        <v>212.72726</v>
      </c>
      <c r="AA273" s="9">
        <v>234</v>
      </c>
      <c r="AB273" s="9">
        <v>234</v>
      </c>
    </row>
    <row r="274" spans="1:28" x14ac:dyDescent="0.25">
      <c r="A274" s="8" t="s">
        <v>607</v>
      </c>
      <c r="B274" s="8" t="s">
        <v>608</v>
      </c>
      <c r="C274" s="8" t="s">
        <v>67</v>
      </c>
      <c r="D274" s="10">
        <v>1.1333299999999999</v>
      </c>
      <c r="E274" s="10">
        <v>1</v>
      </c>
      <c r="F274" s="10">
        <v>0.13333</v>
      </c>
      <c r="G274" s="10">
        <v>1</v>
      </c>
      <c r="H274" s="10">
        <v>0.13333</v>
      </c>
      <c r="I274" s="10">
        <v>0</v>
      </c>
      <c r="J274" s="10">
        <v>0</v>
      </c>
      <c r="K274" s="10">
        <v>1</v>
      </c>
      <c r="L274" s="10">
        <v>0.13333</v>
      </c>
      <c r="M274" s="10">
        <v>0</v>
      </c>
      <c r="N274" s="10">
        <v>0.13333</v>
      </c>
      <c r="O274" s="8" t="s">
        <v>31</v>
      </c>
      <c r="P274" s="8" t="s">
        <v>31</v>
      </c>
      <c r="Q274" s="8" t="s">
        <v>31</v>
      </c>
      <c r="R274" s="8" t="s">
        <v>31</v>
      </c>
      <c r="S274" s="8" t="s">
        <v>31</v>
      </c>
      <c r="T274" s="8" t="s">
        <v>31</v>
      </c>
      <c r="U274" s="8" t="s">
        <v>31</v>
      </c>
      <c r="V274" s="8" t="s">
        <v>31</v>
      </c>
      <c r="W274" s="8" t="str">
        <f>_xlfn.IFNA(VLOOKUP(A274,[1]Sheet1!$A$1:$B$101,1,FALSE),"na")</f>
        <v>na</v>
      </c>
      <c r="X274" s="8" t="s">
        <v>484</v>
      </c>
      <c r="Y274" s="9">
        <v>185</v>
      </c>
      <c r="Z274" s="9">
        <v>163.23578000000001</v>
      </c>
      <c r="AA274" s="9">
        <v>185</v>
      </c>
      <c r="AB274" s="9">
        <v>185</v>
      </c>
    </row>
    <row r="275" spans="1:28" x14ac:dyDescent="0.25">
      <c r="A275" s="8" t="s">
        <v>609</v>
      </c>
      <c r="B275" s="8" t="s">
        <v>610</v>
      </c>
      <c r="C275" s="8" t="s">
        <v>67</v>
      </c>
      <c r="D275" s="10">
        <v>2.0999998999999998</v>
      </c>
      <c r="E275" s="10">
        <v>1</v>
      </c>
      <c r="F275" s="10">
        <v>1.1000000000000001</v>
      </c>
      <c r="G275" s="10">
        <v>1</v>
      </c>
      <c r="H275" s="10">
        <v>1.1000000000000001</v>
      </c>
      <c r="I275" s="10">
        <v>0</v>
      </c>
      <c r="J275" s="10">
        <v>0</v>
      </c>
      <c r="K275" s="10">
        <v>0</v>
      </c>
      <c r="L275" s="10">
        <v>0.1</v>
      </c>
      <c r="M275" s="10">
        <v>0</v>
      </c>
      <c r="N275" s="10">
        <v>0.1</v>
      </c>
      <c r="O275" s="8" t="s">
        <v>57</v>
      </c>
      <c r="P275" s="8" t="s">
        <v>31</v>
      </c>
      <c r="Q275" s="8" t="s">
        <v>31</v>
      </c>
      <c r="R275" s="8" t="s">
        <v>31</v>
      </c>
      <c r="S275" s="8" t="s">
        <v>31</v>
      </c>
      <c r="T275" s="8" t="s">
        <v>31</v>
      </c>
      <c r="U275" s="8" t="s">
        <v>31</v>
      </c>
      <c r="V275" s="8" t="s">
        <v>31</v>
      </c>
      <c r="W275" s="8" t="str">
        <f>_xlfn.IFNA(VLOOKUP(A275,[1]Sheet1!$A$1:$B$101,1,FALSE),"na")</f>
        <v>na</v>
      </c>
      <c r="X275" s="8" t="s">
        <v>35</v>
      </c>
      <c r="Y275" s="9">
        <v>115</v>
      </c>
      <c r="Z275" s="9">
        <v>54.761906000000003</v>
      </c>
      <c r="AA275" s="9">
        <v>115</v>
      </c>
      <c r="AB275" s="9">
        <v>104.54546000000001</v>
      </c>
    </row>
    <row r="276" spans="1:28" x14ac:dyDescent="0.25">
      <c r="A276" s="8" t="s">
        <v>611</v>
      </c>
      <c r="B276" s="8" t="s">
        <v>612</v>
      </c>
      <c r="C276" s="8" t="s">
        <v>80</v>
      </c>
      <c r="D276" s="10">
        <v>4.1999997999999996</v>
      </c>
      <c r="E276" s="10">
        <v>3</v>
      </c>
      <c r="F276" s="10">
        <v>1.2</v>
      </c>
      <c r="G276" s="10">
        <v>3</v>
      </c>
      <c r="H276" s="10">
        <v>1.2</v>
      </c>
      <c r="I276" s="10">
        <v>0</v>
      </c>
      <c r="J276" s="10">
        <v>0</v>
      </c>
      <c r="K276" s="10">
        <v>0</v>
      </c>
      <c r="L276" s="10">
        <v>0.2</v>
      </c>
      <c r="M276" s="10">
        <v>0</v>
      </c>
      <c r="N276" s="10">
        <v>0.2</v>
      </c>
      <c r="O276" s="8" t="s">
        <v>31</v>
      </c>
      <c r="P276" s="8" t="s">
        <v>31</v>
      </c>
      <c r="Q276" s="8" t="s">
        <v>31</v>
      </c>
      <c r="R276" s="8" t="s">
        <v>31</v>
      </c>
      <c r="S276" s="8" t="s">
        <v>31</v>
      </c>
      <c r="T276" s="8" t="s">
        <v>31</v>
      </c>
      <c r="U276" s="8" t="s">
        <v>31</v>
      </c>
      <c r="V276" s="8" t="s">
        <v>31</v>
      </c>
      <c r="W276" s="8" t="str">
        <f>_xlfn.IFNA(VLOOKUP(A276,[1]Sheet1!$A$1:$B$101,1,FALSE),"na")</f>
        <v>na</v>
      </c>
      <c r="X276" s="8" t="s">
        <v>35</v>
      </c>
      <c r="Y276" s="9">
        <v>551</v>
      </c>
      <c r="Z276" s="9">
        <v>131.19048000000001</v>
      </c>
      <c r="AA276" s="9">
        <v>183.66667000000001</v>
      </c>
      <c r="AB276" s="9">
        <v>459.16665999999998</v>
      </c>
    </row>
    <row r="277" spans="1:28" x14ac:dyDescent="0.25">
      <c r="A277" s="8" t="s">
        <v>613</v>
      </c>
      <c r="B277" s="8" t="s">
        <v>614</v>
      </c>
      <c r="C277" s="8" t="s">
        <v>89</v>
      </c>
      <c r="D277" s="10">
        <v>7.4000000999999997</v>
      </c>
      <c r="E277" s="10">
        <v>4</v>
      </c>
      <c r="F277" s="10">
        <v>3.4000001000000002</v>
      </c>
      <c r="G277" s="10">
        <v>4</v>
      </c>
      <c r="H277" s="10">
        <v>3.4000001000000002</v>
      </c>
      <c r="I277" s="10">
        <v>0</v>
      </c>
      <c r="J277" s="10">
        <v>0</v>
      </c>
      <c r="K277" s="10">
        <v>0</v>
      </c>
      <c r="L277" s="10">
        <v>0.40000001000000002</v>
      </c>
      <c r="M277" s="10">
        <v>0</v>
      </c>
      <c r="N277" s="10">
        <v>0.40000001000000002</v>
      </c>
      <c r="O277" s="8" t="s">
        <v>31</v>
      </c>
      <c r="P277" s="8" t="s">
        <v>31</v>
      </c>
      <c r="Q277" s="8" t="s">
        <v>31</v>
      </c>
      <c r="R277" s="8" t="s">
        <v>31</v>
      </c>
      <c r="S277" s="8" t="s">
        <v>31</v>
      </c>
      <c r="T277" s="8" t="s">
        <v>57</v>
      </c>
      <c r="U277" s="8" t="s">
        <v>31</v>
      </c>
      <c r="V277" s="8" t="s">
        <v>31</v>
      </c>
      <c r="W277" s="8" t="str">
        <f>_xlfn.IFNA(VLOOKUP(A277,[1]Sheet1!$A$1:$B$101,1,FALSE),"na")</f>
        <v>na</v>
      </c>
      <c r="X277" s="8" t="s">
        <v>35</v>
      </c>
      <c r="Y277" s="9">
        <v>910</v>
      </c>
      <c r="Z277" s="9">
        <v>122.97297</v>
      </c>
      <c r="AA277" s="9">
        <v>227.5</v>
      </c>
      <c r="AB277" s="9">
        <v>267.64706000000001</v>
      </c>
    </row>
    <row r="278" spans="1:28" x14ac:dyDescent="0.25">
      <c r="A278" s="8" t="s">
        <v>615</v>
      </c>
      <c r="B278" s="8" t="s">
        <v>616</v>
      </c>
      <c r="C278" s="8" t="s">
        <v>38</v>
      </c>
      <c r="D278" s="10">
        <v>2.2000000000000002</v>
      </c>
      <c r="E278" s="10">
        <v>1</v>
      </c>
      <c r="F278" s="10">
        <v>1.2</v>
      </c>
      <c r="G278" s="10">
        <v>1</v>
      </c>
      <c r="H278" s="10">
        <v>1.2</v>
      </c>
      <c r="I278" s="10">
        <v>0</v>
      </c>
      <c r="J278" s="10">
        <v>0</v>
      </c>
      <c r="K278" s="10">
        <v>0</v>
      </c>
      <c r="L278" s="10">
        <v>0.2</v>
      </c>
      <c r="M278" s="10">
        <v>0</v>
      </c>
      <c r="N278" s="10">
        <v>0.2</v>
      </c>
      <c r="O278" s="8" t="s">
        <v>57</v>
      </c>
      <c r="P278" s="8" t="s">
        <v>31</v>
      </c>
      <c r="Q278" s="8" t="s">
        <v>31</v>
      </c>
      <c r="R278" s="8" t="s">
        <v>31</v>
      </c>
      <c r="S278" s="8" t="s">
        <v>31</v>
      </c>
      <c r="T278" s="8" t="s">
        <v>31</v>
      </c>
      <c r="U278" s="8" t="s">
        <v>31</v>
      </c>
      <c r="V278" s="8" t="s">
        <v>31</v>
      </c>
      <c r="W278" s="8" t="str">
        <f>_xlfn.IFNA(VLOOKUP(A278,[1]Sheet1!$A$1:$B$101,1,FALSE),"na")</f>
        <v>na</v>
      </c>
      <c r="X278" s="8" t="s">
        <v>35</v>
      </c>
      <c r="Y278" s="9">
        <v>459</v>
      </c>
      <c r="Z278" s="9">
        <v>208.63634999999999</v>
      </c>
      <c r="AA278" s="9">
        <v>459</v>
      </c>
      <c r="AB278" s="9">
        <v>382.5</v>
      </c>
    </row>
    <row r="279" spans="1:28" x14ac:dyDescent="0.25">
      <c r="A279" s="8" t="s">
        <v>617</v>
      </c>
      <c r="B279" s="8" t="s">
        <v>618</v>
      </c>
      <c r="C279" s="8" t="s">
        <v>30</v>
      </c>
      <c r="D279" s="10">
        <v>2.4000001000000002</v>
      </c>
      <c r="E279" s="10">
        <v>1</v>
      </c>
      <c r="F279" s="10">
        <v>1.4</v>
      </c>
      <c r="G279" s="10">
        <v>1</v>
      </c>
      <c r="H279" s="10">
        <v>1.4</v>
      </c>
      <c r="I279" s="10">
        <v>0</v>
      </c>
      <c r="J279" s="10">
        <v>0</v>
      </c>
      <c r="K279" s="10">
        <v>0</v>
      </c>
      <c r="L279" s="10">
        <v>0.40000001000000002</v>
      </c>
      <c r="M279" s="10">
        <v>0</v>
      </c>
      <c r="N279" s="10">
        <v>0.40000001000000002</v>
      </c>
      <c r="O279" s="8" t="s">
        <v>57</v>
      </c>
      <c r="P279" s="8" t="s">
        <v>31</v>
      </c>
      <c r="Q279" s="8" t="s">
        <v>31</v>
      </c>
      <c r="R279" s="8" t="s">
        <v>31</v>
      </c>
      <c r="S279" s="8" t="s">
        <v>31</v>
      </c>
      <c r="T279" s="8" t="s">
        <v>31</v>
      </c>
      <c r="U279" s="8" t="s">
        <v>31</v>
      </c>
      <c r="V279" s="8" t="s">
        <v>31</v>
      </c>
      <c r="W279" s="8" t="str">
        <f>_xlfn.IFNA(VLOOKUP(A279,[1]Sheet1!$A$1:$B$101,1,FALSE),"na")</f>
        <v>na</v>
      </c>
      <c r="X279" s="8" t="s">
        <v>619</v>
      </c>
      <c r="Y279" s="9">
        <v>316</v>
      </c>
      <c r="Z279" s="9">
        <v>131.66666000000001</v>
      </c>
      <c r="AA279" s="9">
        <v>316</v>
      </c>
      <c r="AB279" s="9">
        <v>225.71429000000001</v>
      </c>
    </row>
    <row r="280" spans="1:28" x14ac:dyDescent="0.25">
      <c r="A280" s="8" t="s">
        <v>620</v>
      </c>
      <c r="B280" s="8" t="s">
        <v>621</v>
      </c>
      <c r="C280" s="8" t="s">
        <v>62</v>
      </c>
      <c r="D280" s="10">
        <v>2</v>
      </c>
      <c r="E280" s="10">
        <v>1</v>
      </c>
      <c r="F280" s="10">
        <v>1</v>
      </c>
      <c r="G280" s="10">
        <v>1</v>
      </c>
      <c r="H280" s="10">
        <v>1</v>
      </c>
      <c r="I280" s="10">
        <v>0</v>
      </c>
      <c r="J280" s="10">
        <v>0</v>
      </c>
      <c r="K280" s="10">
        <v>1</v>
      </c>
      <c r="L280" s="10">
        <v>0</v>
      </c>
      <c r="M280" s="10">
        <v>0</v>
      </c>
      <c r="N280" s="10">
        <v>0</v>
      </c>
      <c r="O280" s="8" t="s">
        <v>57</v>
      </c>
      <c r="P280" s="8" t="s">
        <v>31</v>
      </c>
      <c r="Q280" s="8" t="s">
        <v>31</v>
      </c>
      <c r="R280" s="8" t="s">
        <v>31</v>
      </c>
      <c r="S280" s="8" t="s">
        <v>31</v>
      </c>
      <c r="T280" s="8" t="s">
        <v>57</v>
      </c>
      <c r="U280" s="8" t="s">
        <v>31</v>
      </c>
      <c r="V280" s="8" t="s">
        <v>31</v>
      </c>
      <c r="W280" s="8" t="str">
        <f>_xlfn.IFNA(VLOOKUP(A280,[1]Sheet1!$A$1:$B$101,1,FALSE),"na")</f>
        <v>na</v>
      </c>
      <c r="X280" s="8" t="s">
        <v>35</v>
      </c>
      <c r="Y280" s="9">
        <v>202</v>
      </c>
      <c r="Z280" s="9">
        <v>101</v>
      </c>
      <c r="AA280" s="9">
        <v>202</v>
      </c>
      <c r="AB280" s="9">
        <v>202</v>
      </c>
    </row>
    <row r="281" spans="1:28" x14ac:dyDescent="0.25">
      <c r="A281" s="8" t="s">
        <v>622</v>
      </c>
      <c r="B281" s="8" t="s">
        <v>623</v>
      </c>
      <c r="C281" s="8" t="s">
        <v>62</v>
      </c>
      <c r="D281" s="10">
        <v>3.2</v>
      </c>
      <c r="E281" s="10">
        <v>2</v>
      </c>
      <c r="F281" s="10">
        <v>1.2</v>
      </c>
      <c r="G281" s="10">
        <v>2</v>
      </c>
      <c r="H281" s="10">
        <v>1.2</v>
      </c>
      <c r="I281" s="10">
        <v>0</v>
      </c>
      <c r="J281" s="10">
        <v>0</v>
      </c>
      <c r="K281" s="10">
        <v>2</v>
      </c>
      <c r="L281" s="10">
        <v>0.2</v>
      </c>
      <c r="M281" s="10">
        <v>0</v>
      </c>
      <c r="N281" s="10">
        <v>0.2</v>
      </c>
      <c r="O281" s="8" t="s">
        <v>57</v>
      </c>
      <c r="P281" s="8" t="s">
        <v>31</v>
      </c>
      <c r="Q281" s="8" t="s">
        <v>31</v>
      </c>
      <c r="R281" s="8" t="s">
        <v>31</v>
      </c>
      <c r="S281" s="8" t="s">
        <v>31</v>
      </c>
      <c r="T281" s="8" t="s">
        <v>57</v>
      </c>
      <c r="U281" s="8" t="s">
        <v>31</v>
      </c>
      <c r="V281" s="8" t="s">
        <v>31</v>
      </c>
      <c r="W281" s="8" t="str">
        <f>_xlfn.IFNA(VLOOKUP(A281,[1]Sheet1!$A$1:$B$101,1,FALSE),"na")</f>
        <v>na</v>
      </c>
      <c r="X281" s="8" t="s">
        <v>35</v>
      </c>
      <c r="Y281" s="9">
        <v>350</v>
      </c>
      <c r="Z281" s="9">
        <v>109.375</v>
      </c>
      <c r="AA281" s="9">
        <v>175</v>
      </c>
      <c r="AB281" s="9">
        <v>291.66665999999998</v>
      </c>
    </row>
    <row r="282" spans="1:28" x14ac:dyDescent="0.25">
      <c r="A282" s="8" t="s">
        <v>624</v>
      </c>
      <c r="B282" s="8" t="s">
        <v>625</v>
      </c>
      <c r="C282" s="8" t="s">
        <v>62</v>
      </c>
      <c r="D282" s="10">
        <v>3.2</v>
      </c>
      <c r="E282" s="10">
        <v>2</v>
      </c>
      <c r="F282" s="10">
        <v>1.2</v>
      </c>
      <c r="G282" s="10">
        <v>2</v>
      </c>
      <c r="H282" s="10">
        <v>1.2</v>
      </c>
      <c r="I282" s="10">
        <v>0</v>
      </c>
      <c r="J282" s="10">
        <v>0</v>
      </c>
      <c r="K282" s="10">
        <v>1</v>
      </c>
      <c r="L282" s="10">
        <v>0.2</v>
      </c>
      <c r="M282" s="10">
        <v>0</v>
      </c>
      <c r="N282" s="10">
        <v>0.2</v>
      </c>
      <c r="O282" s="8" t="s">
        <v>57</v>
      </c>
      <c r="P282" s="8" t="s">
        <v>31</v>
      </c>
      <c r="Q282" s="8" t="s">
        <v>31</v>
      </c>
      <c r="R282" s="8" t="s">
        <v>31</v>
      </c>
      <c r="S282" s="8" t="s">
        <v>31</v>
      </c>
      <c r="T282" s="8" t="s">
        <v>31</v>
      </c>
      <c r="U282" s="8" t="s">
        <v>31</v>
      </c>
      <c r="V282" s="8" t="s">
        <v>31</v>
      </c>
      <c r="W282" s="8" t="str">
        <f>_xlfn.IFNA(VLOOKUP(A282,[1]Sheet1!$A$1:$B$101,1,FALSE),"na")</f>
        <v>na</v>
      </c>
      <c r="X282" s="8" t="s">
        <v>35</v>
      </c>
      <c r="Y282" s="9">
        <v>363</v>
      </c>
      <c r="Z282" s="9">
        <v>113.4375</v>
      </c>
      <c r="AA282" s="9">
        <v>181.5</v>
      </c>
      <c r="AB282" s="9">
        <v>302.5</v>
      </c>
    </row>
    <row r="283" spans="1:28" x14ac:dyDescent="0.25">
      <c r="A283" s="8" t="s">
        <v>626</v>
      </c>
      <c r="B283" s="8" t="s">
        <v>627</v>
      </c>
      <c r="C283" s="8" t="s">
        <v>62</v>
      </c>
      <c r="D283" s="10">
        <v>3.2</v>
      </c>
      <c r="E283" s="10">
        <v>2</v>
      </c>
      <c r="F283" s="10">
        <v>1.2</v>
      </c>
      <c r="G283" s="10">
        <v>2</v>
      </c>
      <c r="H283" s="10">
        <v>1.2</v>
      </c>
      <c r="I283" s="10">
        <v>0</v>
      </c>
      <c r="J283" s="10">
        <v>0</v>
      </c>
      <c r="K283" s="10">
        <v>1</v>
      </c>
      <c r="L283" s="10">
        <v>1.2</v>
      </c>
      <c r="M283" s="10">
        <v>0</v>
      </c>
      <c r="N283" s="10">
        <v>0.2</v>
      </c>
      <c r="O283" s="8" t="s">
        <v>31</v>
      </c>
      <c r="P283" s="8" t="s">
        <v>31</v>
      </c>
      <c r="Q283" s="8" t="s">
        <v>31</v>
      </c>
      <c r="R283" s="8" t="s">
        <v>31</v>
      </c>
      <c r="S283" s="8" t="s">
        <v>31</v>
      </c>
      <c r="T283" s="8" t="s">
        <v>57</v>
      </c>
      <c r="U283" s="8" t="s">
        <v>31</v>
      </c>
      <c r="V283" s="8" t="s">
        <v>31</v>
      </c>
      <c r="W283" s="8" t="str">
        <f>_xlfn.IFNA(VLOOKUP(A283,[1]Sheet1!$A$1:$B$101,1,FALSE),"na")</f>
        <v>na</v>
      </c>
      <c r="X283" s="8" t="s">
        <v>35</v>
      </c>
      <c r="Y283" s="9">
        <v>502</v>
      </c>
      <c r="Z283" s="9">
        <v>156.875</v>
      </c>
      <c r="AA283" s="9">
        <v>251</v>
      </c>
      <c r="AB283" s="9">
        <v>418.33330999999998</v>
      </c>
    </row>
    <row r="284" spans="1:28" x14ac:dyDescent="0.25">
      <c r="A284" s="8" t="s">
        <v>628</v>
      </c>
      <c r="B284" s="8" t="s">
        <v>629</v>
      </c>
      <c r="C284" s="8" t="s">
        <v>62</v>
      </c>
      <c r="D284" s="10">
        <v>3.2</v>
      </c>
      <c r="E284" s="10">
        <v>2</v>
      </c>
      <c r="F284" s="10">
        <v>1.2</v>
      </c>
      <c r="G284" s="10">
        <v>2</v>
      </c>
      <c r="H284" s="10">
        <v>1.2</v>
      </c>
      <c r="I284" s="10">
        <v>0</v>
      </c>
      <c r="J284" s="10">
        <v>0</v>
      </c>
      <c r="K284" s="10">
        <v>1</v>
      </c>
      <c r="L284" s="10">
        <v>0.2</v>
      </c>
      <c r="M284" s="10">
        <v>0</v>
      </c>
      <c r="N284" s="10">
        <v>0.2</v>
      </c>
      <c r="O284" s="8" t="s">
        <v>57</v>
      </c>
      <c r="P284" s="8" t="s">
        <v>31</v>
      </c>
      <c r="Q284" s="8" t="s">
        <v>31</v>
      </c>
      <c r="R284" s="8" t="s">
        <v>31</v>
      </c>
      <c r="S284" s="8" t="s">
        <v>31</v>
      </c>
      <c r="T284" s="8" t="s">
        <v>57</v>
      </c>
      <c r="U284" s="8" t="s">
        <v>31</v>
      </c>
      <c r="V284" s="8" t="s">
        <v>31</v>
      </c>
      <c r="W284" s="8" t="str">
        <f>_xlfn.IFNA(VLOOKUP(A284,[1]Sheet1!$A$1:$B$101,1,FALSE),"na")</f>
        <v>na</v>
      </c>
      <c r="X284" s="8" t="s">
        <v>35</v>
      </c>
      <c r="Y284" s="9">
        <v>425</v>
      </c>
      <c r="Z284" s="9">
        <v>132.8125</v>
      </c>
      <c r="AA284" s="9">
        <v>212.5</v>
      </c>
      <c r="AB284" s="9">
        <v>354.16665999999998</v>
      </c>
    </row>
    <row r="285" spans="1:28" x14ac:dyDescent="0.25">
      <c r="A285" s="8" t="s">
        <v>630</v>
      </c>
      <c r="B285" s="8" t="s">
        <v>631</v>
      </c>
      <c r="C285" s="8" t="s">
        <v>30</v>
      </c>
      <c r="D285" s="10">
        <v>1.2</v>
      </c>
      <c r="E285" s="10">
        <v>0</v>
      </c>
      <c r="F285" s="10">
        <v>1.2</v>
      </c>
      <c r="G285" s="10">
        <v>0</v>
      </c>
      <c r="H285" s="10">
        <v>1.2</v>
      </c>
      <c r="I285" s="10">
        <v>0</v>
      </c>
      <c r="J285" s="10">
        <v>0</v>
      </c>
      <c r="K285" s="10">
        <v>0</v>
      </c>
      <c r="L285" s="10">
        <v>0.2</v>
      </c>
      <c r="M285" s="10">
        <v>0</v>
      </c>
      <c r="N285" s="10">
        <v>0.2</v>
      </c>
      <c r="O285" s="8" t="s">
        <v>31</v>
      </c>
      <c r="P285" s="8" t="s">
        <v>31</v>
      </c>
      <c r="Q285" s="8" t="s">
        <v>31</v>
      </c>
      <c r="R285" s="8" t="s">
        <v>31</v>
      </c>
      <c r="S285" s="8" t="s">
        <v>31</v>
      </c>
      <c r="T285" s="8" t="s">
        <v>31</v>
      </c>
      <c r="U285" s="8" t="s">
        <v>31</v>
      </c>
      <c r="V285" s="8" t="s">
        <v>31</v>
      </c>
      <c r="W285" s="8" t="str">
        <f>_xlfn.IFNA(VLOOKUP(A285,[1]Sheet1!$A$1:$B$101,1,FALSE),"na")</f>
        <v>na</v>
      </c>
      <c r="X285" s="8" t="s">
        <v>35</v>
      </c>
      <c r="Y285" s="9">
        <v>199</v>
      </c>
      <c r="Z285" s="9">
        <v>165.83332999999999</v>
      </c>
      <c r="AA285" s="9">
        <v>199</v>
      </c>
      <c r="AB285" s="9">
        <v>165.83332999999999</v>
      </c>
    </row>
    <row r="286" spans="1:28" x14ac:dyDescent="0.25">
      <c r="A286" s="8" t="s">
        <v>632</v>
      </c>
      <c r="B286" s="8" t="s">
        <v>633</v>
      </c>
      <c r="C286" s="8" t="s">
        <v>67</v>
      </c>
      <c r="D286" s="10">
        <v>2</v>
      </c>
      <c r="E286" s="10">
        <v>1</v>
      </c>
      <c r="F286" s="10">
        <v>1</v>
      </c>
      <c r="G286" s="10">
        <v>1</v>
      </c>
      <c r="H286" s="10">
        <v>1</v>
      </c>
      <c r="I286" s="10">
        <v>0</v>
      </c>
      <c r="J286" s="10">
        <v>0</v>
      </c>
      <c r="K286" s="10">
        <v>1</v>
      </c>
      <c r="L286" s="10">
        <v>0</v>
      </c>
      <c r="M286" s="10">
        <v>0</v>
      </c>
      <c r="N286" s="10">
        <v>0</v>
      </c>
      <c r="O286" s="8" t="s">
        <v>57</v>
      </c>
      <c r="P286" s="8" t="s">
        <v>31</v>
      </c>
      <c r="Q286" s="8" t="s">
        <v>31</v>
      </c>
      <c r="R286" s="8" t="s">
        <v>31</v>
      </c>
      <c r="S286" s="8" t="s">
        <v>31</v>
      </c>
      <c r="T286" s="8" t="s">
        <v>31</v>
      </c>
      <c r="U286" s="8" t="s">
        <v>31</v>
      </c>
      <c r="V286" s="8" t="s">
        <v>31</v>
      </c>
      <c r="W286" s="8" t="str">
        <f>_xlfn.IFNA(VLOOKUP(A286,[1]Sheet1!$A$1:$B$101,1,FALSE),"na")</f>
        <v>na</v>
      </c>
      <c r="X286" s="8" t="s">
        <v>569</v>
      </c>
      <c r="Y286" s="9">
        <v>233</v>
      </c>
      <c r="Z286" s="9">
        <v>116.5</v>
      </c>
      <c r="AA286" s="9">
        <v>233</v>
      </c>
      <c r="AB286" s="9">
        <v>233</v>
      </c>
    </row>
    <row r="287" spans="1:28" x14ac:dyDescent="0.25">
      <c r="A287" s="8" t="s">
        <v>634</v>
      </c>
      <c r="B287" s="8" t="s">
        <v>635</v>
      </c>
      <c r="C287" s="8" t="s">
        <v>62</v>
      </c>
      <c r="D287" s="10">
        <v>8.6000004000000008</v>
      </c>
      <c r="E287" s="10">
        <v>7</v>
      </c>
      <c r="F287" s="10">
        <v>1.6</v>
      </c>
      <c r="G287" s="10">
        <v>7</v>
      </c>
      <c r="H287" s="10">
        <v>1.6</v>
      </c>
      <c r="I287" s="10">
        <v>0</v>
      </c>
      <c r="J287" s="10">
        <v>0</v>
      </c>
      <c r="K287" s="10">
        <v>1</v>
      </c>
      <c r="L287" s="10">
        <v>0</v>
      </c>
      <c r="M287" s="10">
        <v>0</v>
      </c>
      <c r="N287" s="10">
        <v>0.60000001999999997</v>
      </c>
      <c r="O287" s="8" t="s">
        <v>31</v>
      </c>
      <c r="P287" s="8" t="s">
        <v>31</v>
      </c>
      <c r="Q287" s="8" t="s">
        <v>57</v>
      </c>
      <c r="R287" s="8" t="s">
        <v>31</v>
      </c>
      <c r="S287" s="8" t="s">
        <v>31</v>
      </c>
      <c r="T287" s="8" t="s">
        <v>31</v>
      </c>
      <c r="U287" s="8" t="s">
        <v>31</v>
      </c>
      <c r="V287" s="8" t="s">
        <v>31</v>
      </c>
      <c r="W287" s="8" t="str">
        <f>_xlfn.IFNA(VLOOKUP(A287,[1]Sheet1!$A$1:$B$101,1,FALSE),"na")</f>
        <v>na</v>
      </c>
      <c r="X287" s="8" t="s">
        <v>35</v>
      </c>
      <c r="Y287" s="9">
        <v>1408</v>
      </c>
      <c r="Z287" s="9">
        <v>163.72092000000001</v>
      </c>
      <c r="AA287" s="9">
        <v>201.14285000000001</v>
      </c>
      <c r="AB287" s="9">
        <v>880</v>
      </c>
    </row>
    <row r="288" spans="1:28" x14ac:dyDescent="0.25">
      <c r="A288" s="8" t="s">
        <v>636</v>
      </c>
      <c r="B288" s="8" t="s">
        <v>637</v>
      </c>
      <c r="C288" s="8" t="s">
        <v>62</v>
      </c>
      <c r="D288" s="10">
        <v>5</v>
      </c>
      <c r="E288" s="10">
        <v>4</v>
      </c>
      <c r="F288" s="10">
        <v>1</v>
      </c>
      <c r="G288" s="10">
        <v>4</v>
      </c>
      <c r="H288" s="10">
        <v>1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8" t="s">
        <v>57</v>
      </c>
      <c r="P288" s="8" t="s">
        <v>31</v>
      </c>
      <c r="Q288" s="8" t="s">
        <v>31</v>
      </c>
      <c r="R288" s="8" t="s">
        <v>31</v>
      </c>
      <c r="S288" s="8" t="s">
        <v>31</v>
      </c>
      <c r="T288" s="8" t="s">
        <v>31</v>
      </c>
      <c r="U288" s="8" t="s">
        <v>31</v>
      </c>
      <c r="V288" s="8" t="s">
        <v>31</v>
      </c>
      <c r="W288" s="8" t="str">
        <f>_xlfn.IFNA(VLOOKUP(A288,[1]Sheet1!$A$1:$B$101,1,FALSE),"na")</f>
        <v>na</v>
      </c>
      <c r="X288" s="8" t="s">
        <v>35</v>
      </c>
      <c r="Y288" s="9">
        <v>662</v>
      </c>
      <c r="Z288" s="9">
        <v>132.39999</v>
      </c>
      <c r="AA288" s="9">
        <v>165.5</v>
      </c>
      <c r="AB288" s="9">
        <v>662</v>
      </c>
    </row>
    <row r="289" spans="1:28" x14ac:dyDescent="0.25">
      <c r="A289" s="8" t="s">
        <v>638</v>
      </c>
      <c r="B289" s="8" t="s">
        <v>639</v>
      </c>
      <c r="C289" s="8" t="s">
        <v>30</v>
      </c>
      <c r="D289" s="10">
        <v>3.8</v>
      </c>
      <c r="E289" s="10">
        <v>2</v>
      </c>
      <c r="F289" s="10">
        <v>1.8</v>
      </c>
      <c r="G289" s="10">
        <v>2</v>
      </c>
      <c r="H289" s="10">
        <v>1.8</v>
      </c>
      <c r="I289" s="10">
        <v>0</v>
      </c>
      <c r="J289" s="10">
        <v>0</v>
      </c>
      <c r="K289" s="10">
        <v>0</v>
      </c>
      <c r="L289" s="10">
        <v>0.40000001000000002</v>
      </c>
      <c r="M289" s="10">
        <v>0</v>
      </c>
      <c r="N289" s="10">
        <v>0.80000000999999998</v>
      </c>
      <c r="O289" s="8" t="s">
        <v>31</v>
      </c>
      <c r="P289" s="8" t="s">
        <v>31</v>
      </c>
      <c r="Q289" s="8" t="s">
        <v>57</v>
      </c>
      <c r="R289" s="8" t="s">
        <v>31</v>
      </c>
      <c r="S289" s="8" t="s">
        <v>31</v>
      </c>
      <c r="T289" s="8" t="s">
        <v>31</v>
      </c>
      <c r="U289" s="8" t="s">
        <v>31</v>
      </c>
      <c r="V289" s="8" t="s">
        <v>31</v>
      </c>
      <c r="W289" s="8" t="str">
        <f>_xlfn.IFNA(VLOOKUP(A289,[1]Sheet1!$A$1:$B$101,1,FALSE),"na")</f>
        <v>na</v>
      </c>
      <c r="X289" s="8" t="s">
        <v>35</v>
      </c>
      <c r="Y289" s="9">
        <v>410</v>
      </c>
      <c r="Z289" s="9">
        <v>107.89474</v>
      </c>
      <c r="AA289" s="9">
        <v>205</v>
      </c>
      <c r="AB289" s="9">
        <v>227.77779000000001</v>
      </c>
    </row>
    <row r="290" spans="1:28" x14ac:dyDescent="0.25">
      <c r="A290" s="8" t="s">
        <v>640</v>
      </c>
      <c r="B290" s="8" t="s">
        <v>641</v>
      </c>
      <c r="C290" s="8" t="s">
        <v>38</v>
      </c>
      <c r="D290" s="10">
        <v>6</v>
      </c>
      <c r="E290" s="10">
        <v>2</v>
      </c>
      <c r="F290" s="10">
        <v>4</v>
      </c>
      <c r="G290" s="10">
        <v>2</v>
      </c>
      <c r="H290" s="10">
        <v>4</v>
      </c>
      <c r="I290" s="10">
        <v>0</v>
      </c>
      <c r="J290" s="10">
        <v>0</v>
      </c>
      <c r="K290" s="10">
        <v>0</v>
      </c>
      <c r="L290" s="10">
        <v>0.80000000999999998</v>
      </c>
      <c r="M290" s="10">
        <v>0</v>
      </c>
      <c r="N290" s="10">
        <v>1</v>
      </c>
      <c r="O290" s="8" t="s">
        <v>31</v>
      </c>
      <c r="P290" s="8" t="s">
        <v>31</v>
      </c>
      <c r="Q290" s="8" t="s">
        <v>31</v>
      </c>
      <c r="R290" s="8" t="s">
        <v>31</v>
      </c>
      <c r="S290" s="8" t="s">
        <v>57</v>
      </c>
      <c r="T290" s="8" t="s">
        <v>31</v>
      </c>
      <c r="U290" s="8" t="s">
        <v>31</v>
      </c>
      <c r="V290" s="8" t="s">
        <v>31</v>
      </c>
      <c r="W290" s="8" t="str">
        <f>_xlfn.IFNA(VLOOKUP(A290,[1]Sheet1!$A$1:$B$101,1,FALSE),"na")</f>
        <v>na</v>
      </c>
      <c r="X290" s="8" t="s">
        <v>35</v>
      </c>
      <c r="Y290" s="9">
        <v>638</v>
      </c>
      <c r="Z290" s="9">
        <v>106.33334000000001</v>
      </c>
      <c r="AA290" s="9">
        <v>319</v>
      </c>
      <c r="AB290" s="9">
        <v>159.5</v>
      </c>
    </row>
    <row r="291" spans="1:28" x14ac:dyDescent="0.25">
      <c r="A291" s="8" t="s">
        <v>642</v>
      </c>
      <c r="B291" s="8" t="s">
        <v>643</v>
      </c>
      <c r="C291" s="8" t="s">
        <v>30</v>
      </c>
      <c r="D291" s="10">
        <v>2</v>
      </c>
      <c r="E291" s="10">
        <v>1</v>
      </c>
      <c r="F291" s="10">
        <v>1</v>
      </c>
      <c r="G291" s="10">
        <v>1</v>
      </c>
      <c r="H291" s="10">
        <v>1</v>
      </c>
      <c r="I291" s="10">
        <v>0</v>
      </c>
      <c r="J291" s="10">
        <v>0</v>
      </c>
      <c r="K291" s="10">
        <v>0</v>
      </c>
      <c r="L291" s="10">
        <v>0.40000001000000002</v>
      </c>
      <c r="M291" s="10">
        <v>0</v>
      </c>
      <c r="N291" s="10">
        <v>1</v>
      </c>
      <c r="O291" s="8" t="s">
        <v>31</v>
      </c>
      <c r="P291" s="8" t="s">
        <v>31</v>
      </c>
      <c r="Q291" s="8" t="s">
        <v>31</v>
      </c>
      <c r="R291" s="8" t="s">
        <v>31</v>
      </c>
      <c r="S291" s="8" t="s">
        <v>31</v>
      </c>
      <c r="T291" s="8" t="s">
        <v>31</v>
      </c>
      <c r="U291" s="8" t="s">
        <v>31</v>
      </c>
      <c r="V291" s="8" t="s">
        <v>31</v>
      </c>
      <c r="W291" s="8" t="str">
        <f>_xlfn.IFNA(VLOOKUP(A291,[1]Sheet1!$A$1:$B$101,1,FALSE),"na")</f>
        <v>na</v>
      </c>
      <c r="X291" s="8" t="s">
        <v>35</v>
      </c>
      <c r="Y291" s="9">
        <v>283</v>
      </c>
      <c r="Z291" s="9">
        <v>141.5</v>
      </c>
      <c r="AA291" s="9">
        <v>283</v>
      </c>
      <c r="AB291" s="9">
        <v>283</v>
      </c>
    </row>
    <row r="292" spans="1:28" x14ac:dyDescent="0.25">
      <c r="A292" s="8" t="s">
        <v>644</v>
      </c>
      <c r="B292" s="8" t="s">
        <v>645</v>
      </c>
      <c r="C292" s="8" t="s">
        <v>30</v>
      </c>
      <c r="D292" s="10">
        <v>2</v>
      </c>
      <c r="E292" s="10">
        <v>1</v>
      </c>
      <c r="F292" s="10">
        <v>1</v>
      </c>
      <c r="G292" s="10">
        <v>1</v>
      </c>
      <c r="H292" s="10">
        <v>1</v>
      </c>
      <c r="I292" s="10">
        <v>0</v>
      </c>
      <c r="J292" s="10">
        <v>0</v>
      </c>
      <c r="K292" s="10">
        <v>0</v>
      </c>
      <c r="L292" s="10">
        <v>1</v>
      </c>
      <c r="M292" s="10">
        <v>0</v>
      </c>
      <c r="N292" s="10">
        <v>0</v>
      </c>
      <c r="O292" s="8" t="s">
        <v>31</v>
      </c>
      <c r="P292" s="8" t="s">
        <v>31</v>
      </c>
      <c r="Q292" s="8" t="s">
        <v>31</v>
      </c>
      <c r="R292" s="8" t="s">
        <v>31</v>
      </c>
      <c r="S292" s="8" t="s">
        <v>31</v>
      </c>
      <c r="T292" s="8" t="s">
        <v>31</v>
      </c>
      <c r="U292" s="8" t="s">
        <v>31</v>
      </c>
      <c r="V292" s="8" t="s">
        <v>31</v>
      </c>
      <c r="W292" s="8" t="str">
        <f>_xlfn.IFNA(VLOOKUP(A292,[1]Sheet1!$A$1:$B$101,1,FALSE),"na")</f>
        <v>na</v>
      </c>
      <c r="X292" s="8" t="s">
        <v>35</v>
      </c>
      <c r="Y292" s="9">
        <v>417</v>
      </c>
      <c r="Z292" s="9">
        <v>208.5</v>
      </c>
      <c r="AA292" s="9">
        <v>417</v>
      </c>
      <c r="AB292" s="9">
        <v>417</v>
      </c>
    </row>
    <row r="293" spans="1:28" x14ac:dyDescent="0.25">
      <c r="A293" s="8" t="s">
        <v>646</v>
      </c>
      <c r="B293" s="8" t="s">
        <v>647</v>
      </c>
      <c r="C293" s="8" t="s">
        <v>38</v>
      </c>
      <c r="D293" s="10">
        <v>5.1999997999999996</v>
      </c>
      <c r="E293" s="10">
        <v>1</v>
      </c>
      <c r="F293" s="10">
        <v>4.1999997999999996</v>
      </c>
      <c r="G293" s="10">
        <v>1</v>
      </c>
      <c r="H293" s="10">
        <v>4.1999997999999996</v>
      </c>
      <c r="I293" s="10">
        <v>0</v>
      </c>
      <c r="J293" s="10">
        <v>0</v>
      </c>
      <c r="K293" s="10">
        <v>0</v>
      </c>
      <c r="L293" s="10">
        <v>0.60000001999999997</v>
      </c>
      <c r="M293" s="10">
        <v>0</v>
      </c>
      <c r="N293" s="10">
        <v>1.2</v>
      </c>
      <c r="O293" s="8" t="s">
        <v>31</v>
      </c>
      <c r="P293" s="8" t="s">
        <v>31</v>
      </c>
      <c r="Q293" s="8" t="s">
        <v>31</v>
      </c>
      <c r="R293" s="8" t="s">
        <v>31</v>
      </c>
      <c r="S293" s="8" t="s">
        <v>57</v>
      </c>
      <c r="T293" s="8" t="s">
        <v>31</v>
      </c>
      <c r="U293" s="8" t="s">
        <v>31</v>
      </c>
      <c r="V293" s="8" t="s">
        <v>31</v>
      </c>
      <c r="W293" s="8" t="str">
        <f>_xlfn.IFNA(VLOOKUP(A293,[1]Sheet1!$A$1:$B$101,1,FALSE),"na")</f>
        <v>na</v>
      </c>
      <c r="X293" s="8" t="s">
        <v>35</v>
      </c>
      <c r="Y293" s="9">
        <v>632</v>
      </c>
      <c r="Z293" s="9">
        <v>121.53847</v>
      </c>
      <c r="AA293" s="9">
        <v>632</v>
      </c>
      <c r="AB293" s="9">
        <v>150.47620000000001</v>
      </c>
    </row>
    <row r="294" spans="1:28" x14ac:dyDescent="0.25">
      <c r="A294" s="8" t="s">
        <v>648</v>
      </c>
      <c r="B294" s="8" t="s">
        <v>649</v>
      </c>
      <c r="C294" s="8" t="s">
        <v>30</v>
      </c>
      <c r="D294" s="10">
        <v>2.5999998999999998</v>
      </c>
      <c r="E294" s="10">
        <v>1</v>
      </c>
      <c r="F294" s="10">
        <v>1.6</v>
      </c>
      <c r="G294" s="10">
        <v>1</v>
      </c>
      <c r="H294" s="10">
        <v>1.6</v>
      </c>
      <c r="I294" s="10">
        <v>0</v>
      </c>
      <c r="J294" s="10">
        <v>0</v>
      </c>
      <c r="K294" s="10">
        <v>0</v>
      </c>
      <c r="L294" s="10">
        <v>0.60000001999999997</v>
      </c>
      <c r="M294" s="10">
        <v>0</v>
      </c>
      <c r="N294" s="10">
        <v>0.60000001999999997</v>
      </c>
      <c r="O294" s="8" t="s">
        <v>31</v>
      </c>
      <c r="P294" s="8" t="s">
        <v>31</v>
      </c>
      <c r="Q294" s="8" t="s">
        <v>57</v>
      </c>
      <c r="R294" s="8" t="s">
        <v>31</v>
      </c>
      <c r="S294" s="8" t="s">
        <v>31</v>
      </c>
      <c r="T294" s="8" t="s">
        <v>31</v>
      </c>
      <c r="U294" s="8" t="s">
        <v>31</v>
      </c>
      <c r="V294" s="8" t="s">
        <v>31</v>
      </c>
      <c r="W294" s="8" t="str">
        <f>_xlfn.IFNA(VLOOKUP(A294,[1]Sheet1!$A$1:$B$101,1,FALSE),"na")</f>
        <v>na</v>
      </c>
      <c r="X294" s="8" t="s">
        <v>35</v>
      </c>
      <c r="Y294" s="9">
        <v>355</v>
      </c>
      <c r="Z294" s="9">
        <v>136.53846999999999</v>
      </c>
      <c r="AA294" s="9">
        <v>355</v>
      </c>
      <c r="AB294" s="9">
        <v>221.875</v>
      </c>
    </row>
    <row r="295" spans="1:28" x14ac:dyDescent="0.25">
      <c r="A295" s="8" t="s">
        <v>650</v>
      </c>
      <c r="B295" s="8" t="s">
        <v>651</v>
      </c>
      <c r="C295" s="8" t="s">
        <v>38</v>
      </c>
      <c r="D295" s="10">
        <v>7.4000000999999997</v>
      </c>
      <c r="E295" s="10">
        <v>5</v>
      </c>
      <c r="F295" s="10">
        <v>2.4000001000000002</v>
      </c>
      <c r="G295" s="10">
        <v>5</v>
      </c>
      <c r="H295" s="10">
        <v>2.4000001000000002</v>
      </c>
      <c r="I295" s="10">
        <v>0</v>
      </c>
      <c r="J295" s="10">
        <v>0</v>
      </c>
      <c r="K295" s="10">
        <v>0</v>
      </c>
      <c r="L295" s="10">
        <v>0.1</v>
      </c>
      <c r="M295" s="10">
        <v>0</v>
      </c>
      <c r="N295" s="10">
        <v>0.40000001000000002</v>
      </c>
      <c r="O295" s="8" t="s">
        <v>31</v>
      </c>
      <c r="P295" s="8" t="s">
        <v>31</v>
      </c>
      <c r="Q295" s="8" t="s">
        <v>31</v>
      </c>
      <c r="R295" s="8" t="s">
        <v>31</v>
      </c>
      <c r="S295" s="8" t="s">
        <v>57</v>
      </c>
      <c r="T295" s="8" t="s">
        <v>31</v>
      </c>
      <c r="U295" s="8" t="s">
        <v>31</v>
      </c>
      <c r="V295" s="8" t="s">
        <v>31</v>
      </c>
      <c r="W295" s="8" t="str">
        <f>_xlfn.IFNA(VLOOKUP(A295,[1]Sheet1!$A$1:$B$101,1,FALSE),"na")</f>
        <v>na</v>
      </c>
      <c r="X295" s="8" t="s">
        <v>35</v>
      </c>
      <c r="Y295" s="9">
        <v>553</v>
      </c>
      <c r="Z295" s="9">
        <v>74.729729000000006</v>
      </c>
      <c r="AA295" s="9">
        <v>110.6</v>
      </c>
      <c r="AB295" s="9">
        <v>230.41666000000001</v>
      </c>
    </row>
    <row r="296" spans="1:28" x14ac:dyDescent="0.25">
      <c r="A296" s="8" t="s">
        <v>652</v>
      </c>
      <c r="B296" s="8" t="s">
        <v>653</v>
      </c>
      <c r="C296" s="8" t="s">
        <v>30</v>
      </c>
      <c r="D296" s="10">
        <v>1.4</v>
      </c>
      <c r="E296" s="10">
        <v>1</v>
      </c>
      <c r="F296" s="10">
        <v>0.40000001000000002</v>
      </c>
      <c r="G296" s="10">
        <v>1</v>
      </c>
      <c r="H296" s="10">
        <v>0.40000001000000002</v>
      </c>
      <c r="I296" s="10">
        <v>0</v>
      </c>
      <c r="J296" s="10">
        <v>0</v>
      </c>
      <c r="K296" s="10">
        <v>0</v>
      </c>
      <c r="L296" s="10">
        <v>0.1</v>
      </c>
      <c r="M296" s="10">
        <v>0</v>
      </c>
      <c r="N296" s="10">
        <v>0.40000001000000002</v>
      </c>
      <c r="O296" s="8" t="s">
        <v>31</v>
      </c>
      <c r="P296" s="8" t="s">
        <v>31</v>
      </c>
      <c r="Q296" s="8" t="s">
        <v>31</v>
      </c>
      <c r="R296" s="8" t="s">
        <v>31</v>
      </c>
      <c r="S296" s="8" t="s">
        <v>31</v>
      </c>
      <c r="T296" s="8" t="s">
        <v>31</v>
      </c>
      <c r="U296" s="8" t="s">
        <v>31</v>
      </c>
      <c r="V296" s="8" t="s">
        <v>31</v>
      </c>
      <c r="W296" s="8" t="str">
        <f>_xlfn.IFNA(VLOOKUP(A296,[1]Sheet1!$A$1:$B$101,1,FALSE),"na")</f>
        <v>na</v>
      </c>
      <c r="X296" s="8" t="s">
        <v>512</v>
      </c>
      <c r="Y296" s="9">
        <v>358</v>
      </c>
      <c r="Z296" s="9">
        <v>255.71429000000001</v>
      </c>
      <c r="AA296" s="9">
        <v>358</v>
      </c>
      <c r="AB296" s="9">
        <v>358</v>
      </c>
    </row>
    <row r="297" spans="1:28" x14ac:dyDescent="0.25">
      <c r="A297" s="8" t="s">
        <v>654</v>
      </c>
      <c r="B297" s="8" t="s">
        <v>655</v>
      </c>
      <c r="C297" s="8" t="s">
        <v>30</v>
      </c>
      <c r="D297" s="10">
        <v>2.2999999999999998</v>
      </c>
      <c r="E297" s="10">
        <v>1</v>
      </c>
      <c r="F297" s="10">
        <v>1.3</v>
      </c>
      <c r="G297" s="10">
        <v>1</v>
      </c>
      <c r="H297" s="10">
        <v>1.3</v>
      </c>
      <c r="I297" s="10">
        <v>0</v>
      </c>
      <c r="J297" s="10">
        <v>0</v>
      </c>
      <c r="K297" s="10">
        <v>0</v>
      </c>
      <c r="L297" s="10">
        <v>0.30000000999999998</v>
      </c>
      <c r="M297" s="10">
        <v>0</v>
      </c>
      <c r="N297" s="10">
        <v>0.30000000999999998</v>
      </c>
      <c r="O297" s="8" t="s">
        <v>31</v>
      </c>
      <c r="P297" s="8" t="s">
        <v>31</v>
      </c>
      <c r="Q297" s="8" t="s">
        <v>57</v>
      </c>
      <c r="R297" s="8" t="s">
        <v>31</v>
      </c>
      <c r="S297" s="8" t="s">
        <v>31</v>
      </c>
      <c r="T297" s="8" t="s">
        <v>31</v>
      </c>
      <c r="U297" s="8" t="s">
        <v>31</v>
      </c>
      <c r="V297" s="8" t="s">
        <v>31</v>
      </c>
      <c r="W297" s="8" t="str">
        <f>_xlfn.IFNA(VLOOKUP(A297,[1]Sheet1!$A$1:$B$101,1,FALSE),"na")</f>
        <v>na</v>
      </c>
      <c r="X297" s="8" t="s">
        <v>35</v>
      </c>
      <c r="Y297" s="9">
        <v>472</v>
      </c>
      <c r="Z297" s="9">
        <v>205.21738999999999</v>
      </c>
      <c r="AA297" s="9">
        <v>472</v>
      </c>
      <c r="AB297" s="9">
        <v>363.07693</v>
      </c>
    </row>
    <row r="298" spans="1:28" x14ac:dyDescent="0.25">
      <c r="A298" s="8" t="s">
        <v>656</v>
      </c>
      <c r="B298" s="8" t="s">
        <v>657</v>
      </c>
      <c r="C298" s="8" t="s">
        <v>30</v>
      </c>
      <c r="D298" s="10">
        <v>3.4000001000000002</v>
      </c>
      <c r="E298" s="10">
        <v>2</v>
      </c>
      <c r="F298" s="10">
        <v>1.4</v>
      </c>
      <c r="G298" s="10">
        <v>2</v>
      </c>
      <c r="H298" s="10">
        <v>1.4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0.40000001000000002</v>
      </c>
      <c r="O298" s="8" t="s">
        <v>31</v>
      </c>
      <c r="P298" s="8" t="s">
        <v>31</v>
      </c>
      <c r="Q298" s="8" t="s">
        <v>57</v>
      </c>
      <c r="R298" s="8" t="s">
        <v>31</v>
      </c>
      <c r="S298" s="8" t="s">
        <v>31</v>
      </c>
      <c r="T298" s="8" t="s">
        <v>31</v>
      </c>
      <c r="U298" s="8" t="s">
        <v>31</v>
      </c>
      <c r="V298" s="8" t="s">
        <v>31</v>
      </c>
      <c r="W298" s="8" t="str">
        <f>_xlfn.IFNA(VLOOKUP(A298,[1]Sheet1!$A$1:$B$101,1,FALSE),"na")</f>
        <v>na</v>
      </c>
      <c r="X298" s="8" t="s">
        <v>35</v>
      </c>
      <c r="Y298" s="9">
        <v>197</v>
      </c>
      <c r="Z298" s="9">
        <v>57.941173999999997</v>
      </c>
      <c r="AA298" s="9">
        <v>98.5</v>
      </c>
      <c r="AB298" s="9">
        <v>140.71429000000001</v>
      </c>
    </row>
    <row r="299" spans="1:28" x14ac:dyDescent="0.25">
      <c r="A299" s="8" t="s">
        <v>658</v>
      </c>
      <c r="B299" s="8" t="s">
        <v>659</v>
      </c>
      <c r="C299" s="8" t="s">
        <v>30</v>
      </c>
      <c r="D299" s="10">
        <v>1.2</v>
      </c>
      <c r="E299" s="10">
        <v>1</v>
      </c>
      <c r="F299" s="10">
        <v>0.2</v>
      </c>
      <c r="G299" s="10">
        <v>1</v>
      </c>
      <c r="H299" s="10">
        <v>0.2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0.2</v>
      </c>
      <c r="O299" s="8" t="s">
        <v>31</v>
      </c>
      <c r="P299" s="8" t="s">
        <v>31</v>
      </c>
      <c r="Q299" s="8" t="s">
        <v>31</v>
      </c>
      <c r="R299" s="8" t="s">
        <v>31</v>
      </c>
      <c r="S299" s="8" t="s">
        <v>31</v>
      </c>
      <c r="T299" s="8" t="s">
        <v>31</v>
      </c>
      <c r="U299" s="8" t="s">
        <v>31</v>
      </c>
      <c r="V299" s="8" t="s">
        <v>31</v>
      </c>
      <c r="W299" s="8" t="str">
        <f>_xlfn.IFNA(VLOOKUP(A299,[1]Sheet1!$A$1:$B$101,1,FALSE),"na")</f>
        <v>na</v>
      </c>
      <c r="X299" s="8" t="s">
        <v>434</v>
      </c>
      <c r="Y299" s="9">
        <v>219</v>
      </c>
      <c r="Z299" s="9">
        <v>182.5</v>
      </c>
      <c r="AA299" s="9">
        <v>219</v>
      </c>
      <c r="AB299" s="9">
        <v>219</v>
      </c>
    </row>
    <row r="300" spans="1:28" x14ac:dyDescent="0.25">
      <c r="A300" s="8" t="s">
        <v>660</v>
      </c>
      <c r="B300" s="8" t="s">
        <v>661</v>
      </c>
      <c r="C300" s="8" t="s">
        <v>30</v>
      </c>
      <c r="D300" s="10">
        <v>3</v>
      </c>
      <c r="E300" s="10">
        <v>1</v>
      </c>
      <c r="F300" s="10">
        <v>2</v>
      </c>
      <c r="G300" s="10">
        <v>1</v>
      </c>
      <c r="H300" s="10">
        <v>2</v>
      </c>
      <c r="I300" s="10">
        <v>0</v>
      </c>
      <c r="J300" s="10">
        <v>0</v>
      </c>
      <c r="K300" s="10">
        <v>0</v>
      </c>
      <c r="L300" s="10">
        <v>0.2</v>
      </c>
      <c r="M300" s="10">
        <v>0</v>
      </c>
      <c r="N300" s="10">
        <v>1</v>
      </c>
      <c r="O300" s="8" t="s">
        <v>31</v>
      </c>
      <c r="P300" s="8" t="s">
        <v>57</v>
      </c>
      <c r="Q300" s="8" t="s">
        <v>31</v>
      </c>
      <c r="R300" s="8" t="s">
        <v>31</v>
      </c>
      <c r="S300" s="8" t="s">
        <v>31</v>
      </c>
      <c r="T300" s="8" t="s">
        <v>31</v>
      </c>
      <c r="U300" s="8" t="s">
        <v>31</v>
      </c>
      <c r="V300" s="8" t="s">
        <v>31</v>
      </c>
      <c r="W300" s="8" t="str">
        <f>_xlfn.IFNA(VLOOKUP(A300,[1]Sheet1!$A$1:$B$101,1,FALSE),"na")</f>
        <v>na</v>
      </c>
      <c r="X300" s="8" t="s">
        <v>35</v>
      </c>
      <c r="Y300" s="9">
        <v>387</v>
      </c>
      <c r="Z300" s="9">
        <v>129</v>
      </c>
      <c r="AA300" s="9">
        <v>387</v>
      </c>
      <c r="AB300" s="9">
        <v>193.5</v>
      </c>
    </row>
    <row r="301" spans="1:28" x14ac:dyDescent="0.25">
      <c r="A301" s="8" t="s">
        <v>662</v>
      </c>
      <c r="B301" s="8" t="s">
        <v>663</v>
      </c>
      <c r="C301" s="8" t="s">
        <v>30</v>
      </c>
      <c r="D301" s="10">
        <v>0.40000001000000002</v>
      </c>
      <c r="E301" s="10">
        <v>0</v>
      </c>
      <c r="F301" s="10">
        <v>0.40000001000000002</v>
      </c>
      <c r="G301" s="10">
        <v>0</v>
      </c>
      <c r="H301" s="10">
        <v>0.40000001000000002</v>
      </c>
      <c r="I301" s="10">
        <v>0</v>
      </c>
      <c r="J301" s="10">
        <v>0</v>
      </c>
      <c r="K301" s="10">
        <v>0</v>
      </c>
      <c r="L301" s="10">
        <v>0.1</v>
      </c>
      <c r="M301" s="10">
        <v>0</v>
      </c>
      <c r="N301" s="10">
        <v>0.40000001000000002</v>
      </c>
      <c r="O301" s="8" t="s">
        <v>31</v>
      </c>
      <c r="P301" s="8" t="s">
        <v>31</v>
      </c>
      <c r="Q301" s="8" t="s">
        <v>31</v>
      </c>
      <c r="R301" s="8" t="s">
        <v>31</v>
      </c>
      <c r="S301" s="8" t="s">
        <v>31</v>
      </c>
      <c r="T301" s="8" t="s">
        <v>31</v>
      </c>
      <c r="U301" s="8" t="s">
        <v>31</v>
      </c>
      <c r="V301" s="8" t="s">
        <v>31</v>
      </c>
      <c r="W301" s="8" t="str">
        <f>_xlfn.IFNA(VLOOKUP(A301,[1]Sheet1!$A$1:$B$101,1,FALSE),"na")</f>
        <v>na</v>
      </c>
      <c r="X301" s="8" t="s">
        <v>35</v>
      </c>
      <c r="Y301" s="9">
        <v>310</v>
      </c>
      <c r="Z301" s="9">
        <v>310</v>
      </c>
      <c r="AA301" s="9">
        <v>310</v>
      </c>
      <c r="AB301" s="9">
        <v>310</v>
      </c>
    </row>
    <row r="302" spans="1:28" x14ac:dyDescent="0.25">
      <c r="A302" s="8" t="s">
        <v>664</v>
      </c>
      <c r="B302" s="8" t="s">
        <v>665</v>
      </c>
      <c r="C302" s="8" t="s">
        <v>30</v>
      </c>
      <c r="D302" s="10">
        <v>2.2666599999999999</v>
      </c>
      <c r="E302" s="10">
        <v>1</v>
      </c>
      <c r="F302" s="10">
        <v>1.2666599999999999</v>
      </c>
      <c r="G302" s="10">
        <v>1</v>
      </c>
      <c r="H302" s="10">
        <v>1.2666599999999999</v>
      </c>
      <c r="I302" s="10">
        <v>0</v>
      </c>
      <c r="J302" s="10">
        <v>0</v>
      </c>
      <c r="K302" s="10">
        <v>0</v>
      </c>
      <c r="L302" s="10">
        <v>0.13333</v>
      </c>
      <c r="M302" s="10">
        <v>0</v>
      </c>
      <c r="N302" s="10">
        <v>0.26666000000000001</v>
      </c>
      <c r="O302" s="8" t="s">
        <v>31</v>
      </c>
      <c r="P302" s="8" t="s">
        <v>57</v>
      </c>
      <c r="Q302" s="8" t="s">
        <v>31</v>
      </c>
      <c r="R302" s="8" t="s">
        <v>31</v>
      </c>
      <c r="S302" s="8" t="s">
        <v>31</v>
      </c>
      <c r="T302" s="8" t="s">
        <v>31</v>
      </c>
      <c r="U302" s="8" t="s">
        <v>31</v>
      </c>
      <c r="V302" s="8" t="s">
        <v>31</v>
      </c>
      <c r="W302" s="8" t="str">
        <f>_xlfn.IFNA(VLOOKUP(A302,[1]Sheet1!$A$1:$B$101,1,FALSE),"na")</f>
        <v>na</v>
      </c>
      <c r="X302" s="8" t="s">
        <v>666</v>
      </c>
      <c r="Y302" s="9">
        <v>212</v>
      </c>
      <c r="Z302" s="9">
        <v>93.529685999999998</v>
      </c>
      <c r="AA302" s="9">
        <v>212</v>
      </c>
      <c r="AB302" s="9">
        <v>167.36931000000001</v>
      </c>
    </row>
    <row r="303" spans="1:28" x14ac:dyDescent="0.25">
      <c r="A303" s="8" t="s">
        <v>667</v>
      </c>
      <c r="B303" s="8" t="s">
        <v>668</v>
      </c>
      <c r="C303" s="8" t="s">
        <v>80</v>
      </c>
      <c r="D303" s="10">
        <v>6.0999999000000003</v>
      </c>
      <c r="E303" s="10">
        <v>4</v>
      </c>
      <c r="F303" s="10">
        <v>2.0999998999999998</v>
      </c>
      <c r="G303" s="10">
        <v>4</v>
      </c>
      <c r="H303" s="10">
        <v>2.0999998999999998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0.1</v>
      </c>
      <c r="O303" s="8" t="s">
        <v>31</v>
      </c>
      <c r="P303" s="8" t="s">
        <v>31</v>
      </c>
      <c r="Q303" s="8" t="s">
        <v>31</v>
      </c>
      <c r="R303" s="8" t="s">
        <v>57</v>
      </c>
      <c r="S303" s="8" t="s">
        <v>57</v>
      </c>
      <c r="T303" s="8" t="s">
        <v>31</v>
      </c>
      <c r="U303" s="8" t="s">
        <v>31</v>
      </c>
      <c r="V303" s="8" t="s">
        <v>31</v>
      </c>
      <c r="W303" s="8" t="str">
        <f>_xlfn.IFNA(VLOOKUP(A303,[1]Sheet1!$A$1:$B$101,1,FALSE),"na")</f>
        <v>na</v>
      </c>
      <c r="X303" s="8" t="s">
        <v>35</v>
      </c>
      <c r="Y303" s="9">
        <v>606</v>
      </c>
      <c r="Z303" s="9">
        <v>99.344261000000003</v>
      </c>
      <c r="AA303" s="9">
        <v>151.5</v>
      </c>
      <c r="AB303" s="9">
        <v>288.57144</v>
      </c>
    </row>
    <row r="304" spans="1:28" x14ac:dyDescent="0.25">
      <c r="A304" s="8" t="s">
        <v>669</v>
      </c>
      <c r="B304" s="8" t="s">
        <v>670</v>
      </c>
      <c r="C304" s="8" t="s">
        <v>80</v>
      </c>
      <c r="D304" s="10">
        <v>7.0999999000000003</v>
      </c>
      <c r="E304" s="10">
        <v>5</v>
      </c>
      <c r="F304" s="10">
        <v>2.0999998999999998</v>
      </c>
      <c r="G304" s="10">
        <v>5</v>
      </c>
      <c r="H304" s="10">
        <v>2.0999998999999998</v>
      </c>
      <c r="I304" s="10">
        <v>0</v>
      </c>
      <c r="J304" s="10">
        <v>0</v>
      </c>
      <c r="K304" s="10">
        <v>1</v>
      </c>
      <c r="L304" s="10">
        <v>0</v>
      </c>
      <c r="M304" s="10">
        <v>0</v>
      </c>
      <c r="N304" s="10">
        <v>0.1</v>
      </c>
      <c r="O304" s="8" t="s">
        <v>31</v>
      </c>
      <c r="P304" s="8" t="s">
        <v>31</v>
      </c>
      <c r="Q304" s="8" t="s">
        <v>31</v>
      </c>
      <c r="R304" s="8" t="s">
        <v>31</v>
      </c>
      <c r="S304" s="8" t="s">
        <v>57</v>
      </c>
      <c r="T304" s="8" t="s">
        <v>57</v>
      </c>
      <c r="U304" s="8" t="s">
        <v>57</v>
      </c>
      <c r="V304" s="8" t="s">
        <v>31</v>
      </c>
      <c r="W304" s="8" t="str">
        <f>_xlfn.IFNA(VLOOKUP(A304,[1]Sheet1!$A$1:$B$101,1,FALSE),"na")</f>
        <v>na</v>
      </c>
      <c r="X304" s="8" t="s">
        <v>35</v>
      </c>
      <c r="Y304" s="9">
        <v>647</v>
      </c>
      <c r="Z304" s="9">
        <v>91.126761999999999</v>
      </c>
      <c r="AA304" s="9">
        <v>129.39999</v>
      </c>
      <c r="AB304" s="9">
        <v>308.09525000000002</v>
      </c>
    </row>
    <row r="305" spans="1:28" x14ac:dyDescent="0.25">
      <c r="A305" s="8" t="s">
        <v>671</v>
      </c>
      <c r="B305" s="8" t="s">
        <v>672</v>
      </c>
      <c r="C305" s="8" t="s">
        <v>67</v>
      </c>
      <c r="D305" s="10">
        <v>4</v>
      </c>
      <c r="E305" s="10">
        <v>2.8</v>
      </c>
      <c r="F305" s="10">
        <v>1.2</v>
      </c>
      <c r="G305" s="10">
        <v>2</v>
      </c>
      <c r="H305" s="10">
        <v>1.2</v>
      </c>
      <c r="I305" s="10">
        <v>0.80000000999999998</v>
      </c>
      <c r="J305" s="10">
        <v>0</v>
      </c>
      <c r="K305" s="10">
        <v>0</v>
      </c>
      <c r="L305" s="10">
        <v>0.2</v>
      </c>
      <c r="M305" s="10">
        <v>0</v>
      </c>
      <c r="N305" s="10">
        <v>0.2</v>
      </c>
      <c r="O305" s="8" t="s">
        <v>31</v>
      </c>
      <c r="P305" s="8" t="s">
        <v>31</v>
      </c>
      <c r="Q305" s="8" t="s">
        <v>31</v>
      </c>
      <c r="R305" s="8" t="s">
        <v>31</v>
      </c>
      <c r="S305" s="8" t="s">
        <v>57</v>
      </c>
      <c r="T305" s="8" t="s">
        <v>31</v>
      </c>
      <c r="U305" s="8" t="s">
        <v>31</v>
      </c>
      <c r="V305" s="8" t="s">
        <v>31</v>
      </c>
      <c r="W305" s="8" t="str">
        <f>_xlfn.IFNA(VLOOKUP(A305,[1]Sheet1!$A$1:$B$101,1,FALSE),"na")</f>
        <v>na</v>
      </c>
      <c r="X305" s="8" t="s">
        <v>35</v>
      </c>
      <c r="Y305" s="9">
        <v>174</v>
      </c>
      <c r="Z305" s="9">
        <v>43.5</v>
      </c>
      <c r="AA305" s="9">
        <v>62.142856999999999</v>
      </c>
      <c r="AB305" s="9">
        <v>145</v>
      </c>
    </row>
    <row r="306" spans="1:28" x14ac:dyDescent="0.25">
      <c r="A306" s="8" t="s">
        <v>673</v>
      </c>
      <c r="B306" s="8" t="s">
        <v>674</v>
      </c>
      <c r="C306" s="8" t="s">
        <v>62</v>
      </c>
      <c r="D306" s="10">
        <v>9.0666703999999996</v>
      </c>
      <c r="E306" s="10">
        <v>4</v>
      </c>
      <c r="F306" s="10">
        <v>5.0666698999999999</v>
      </c>
      <c r="G306" s="10">
        <v>4</v>
      </c>
      <c r="H306" s="10">
        <v>5.0666698999999999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6.6670001000000007E-2</v>
      </c>
      <c r="O306" s="8" t="s">
        <v>31</v>
      </c>
      <c r="P306" s="8" t="s">
        <v>31</v>
      </c>
      <c r="Q306" s="8" t="s">
        <v>31</v>
      </c>
      <c r="R306" s="8" t="s">
        <v>31</v>
      </c>
      <c r="S306" s="8" t="s">
        <v>57</v>
      </c>
      <c r="T306" s="8" t="s">
        <v>57</v>
      </c>
      <c r="U306" s="8" t="s">
        <v>57</v>
      </c>
      <c r="V306" s="8" t="s">
        <v>31</v>
      </c>
      <c r="W306" s="8" t="str">
        <f>_xlfn.IFNA(VLOOKUP(A306,[1]Sheet1!$A$1:$B$101,1,FALSE),"na")</f>
        <v>na</v>
      </c>
      <c r="X306" s="8" t="s">
        <v>35</v>
      </c>
      <c r="Y306" s="9">
        <v>727</v>
      </c>
      <c r="Z306" s="9">
        <v>80.183791999999997</v>
      </c>
      <c r="AA306" s="9">
        <v>181.75</v>
      </c>
      <c r="AB306" s="9">
        <v>143.48676</v>
      </c>
    </row>
    <row r="307" spans="1:28" x14ac:dyDescent="0.25">
      <c r="A307" s="8" t="s">
        <v>675</v>
      </c>
      <c r="B307" s="8" t="s">
        <v>676</v>
      </c>
      <c r="C307" s="8" t="s">
        <v>30</v>
      </c>
      <c r="D307" s="10">
        <v>1.1000000000000001</v>
      </c>
      <c r="E307" s="10">
        <v>1</v>
      </c>
      <c r="F307" s="10">
        <v>0.1</v>
      </c>
      <c r="G307" s="10">
        <v>1</v>
      </c>
      <c r="H307" s="10">
        <v>0.1</v>
      </c>
      <c r="I307" s="10">
        <v>0</v>
      </c>
      <c r="J307" s="10">
        <v>0</v>
      </c>
      <c r="K307" s="10">
        <v>0</v>
      </c>
      <c r="L307" s="10">
        <v>0.1</v>
      </c>
      <c r="M307" s="10">
        <v>0</v>
      </c>
      <c r="N307" s="10">
        <v>0.1</v>
      </c>
      <c r="O307" s="8" t="s">
        <v>31</v>
      </c>
      <c r="P307" s="8" t="s">
        <v>31</v>
      </c>
      <c r="Q307" s="8" t="s">
        <v>31</v>
      </c>
      <c r="R307" s="8" t="s">
        <v>31</v>
      </c>
      <c r="S307" s="8" t="s">
        <v>31</v>
      </c>
      <c r="T307" s="8" t="s">
        <v>31</v>
      </c>
      <c r="U307" s="8" t="s">
        <v>31</v>
      </c>
      <c r="V307" s="8" t="s">
        <v>31</v>
      </c>
      <c r="W307" s="8" t="str">
        <f>_xlfn.IFNA(VLOOKUP(A307,[1]Sheet1!$A$1:$B$101,1,FALSE),"na")</f>
        <v>na</v>
      </c>
      <c r="X307" s="8" t="s">
        <v>35</v>
      </c>
      <c r="Y307" s="9">
        <v>356</v>
      </c>
      <c r="Z307" s="9">
        <v>323.63634999999999</v>
      </c>
      <c r="AA307" s="9">
        <v>356</v>
      </c>
      <c r="AB307" s="9">
        <v>356</v>
      </c>
    </row>
    <row r="308" spans="1:28" x14ac:dyDescent="0.25">
      <c r="A308" s="8" t="s">
        <v>677</v>
      </c>
      <c r="B308" s="8" t="s">
        <v>678</v>
      </c>
      <c r="C308" s="8" t="s">
        <v>67</v>
      </c>
      <c r="D308" s="10">
        <v>3</v>
      </c>
      <c r="E308" s="10">
        <v>1</v>
      </c>
      <c r="F308" s="10">
        <v>2</v>
      </c>
      <c r="G308" s="10">
        <v>1</v>
      </c>
      <c r="H308" s="10">
        <v>2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8" t="s">
        <v>31</v>
      </c>
      <c r="P308" s="8" t="s">
        <v>31</v>
      </c>
      <c r="Q308" s="8" t="s">
        <v>31</v>
      </c>
      <c r="R308" s="8" t="s">
        <v>31</v>
      </c>
      <c r="S308" s="8" t="s">
        <v>57</v>
      </c>
      <c r="T308" s="8" t="s">
        <v>31</v>
      </c>
      <c r="U308" s="8" t="s">
        <v>31</v>
      </c>
      <c r="V308" s="8" t="s">
        <v>31</v>
      </c>
      <c r="W308" s="8" t="str">
        <f>_xlfn.IFNA(VLOOKUP(A308,[1]Sheet1!$A$1:$B$101,1,FALSE),"na")</f>
        <v>na</v>
      </c>
      <c r="X308" s="8" t="s">
        <v>426</v>
      </c>
      <c r="Y308" s="9">
        <v>172</v>
      </c>
      <c r="Z308" s="9">
        <v>57.333331999999999</v>
      </c>
      <c r="AA308" s="9">
        <v>172</v>
      </c>
      <c r="AB308" s="9">
        <v>86</v>
      </c>
    </row>
    <row r="309" spans="1:28" x14ac:dyDescent="0.25">
      <c r="A309" s="8" t="s">
        <v>679</v>
      </c>
      <c r="B309" s="8" t="s">
        <v>680</v>
      </c>
      <c r="C309" s="8" t="s">
        <v>67</v>
      </c>
      <c r="D309" s="10">
        <v>5</v>
      </c>
      <c r="E309" s="10">
        <v>1</v>
      </c>
      <c r="F309" s="10">
        <v>4</v>
      </c>
      <c r="G309" s="10">
        <v>1</v>
      </c>
      <c r="H309" s="10">
        <v>4</v>
      </c>
      <c r="I309" s="10">
        <v>0</v>
      </c>
      <c r="J309" s="10">
        <v>0</v>
      </c>
      <c r="K309" s="10">
        <v>1</v>
      </c>
      <c r="L309" s="10">
        <v>0</v>
      </c>
      <c r="M309" s="10">
        <v>0</v>
      </c>
      <c r="N309" s="10">
        <v>0</v>
      </c>
      <c r="O309" s="8" t="s">
        <v>31</v>
      </c>
      <c r="P309" s="8" t="s">
        <v>31</v>
      </c>
      <c r="Q309" s="8" t="s">
        <v>31</v>
      </c>
      <c r="R309" s="8" t="s">
        <v>31</v>
      </c>
      <c r="S309" s="8" t="s">
        <v>57</v>
      </c>
      <c r="T309" s="8" t="s">
        <v>31</v>
      </c>
      <c r="U309" s="8" t="s">
        <v>31</v>
      </c>
      <c r="V309" s="8" t="s">
        <v>31</v>
      </c>
      <c r="W309" s="8" t="str">
        <f>_xlfn.IFNA(VLOOKUP(A309,[1]Sheet1!$A$1:$B$101,1,FALSE),"na")</f>
        <v>na</v>
      </c>
      <c r="X309" s="8" t="s">
        <v>35</v>
      </c>
      <c r="Y309" s="9">
        <v>136</v>
      </c>
      <c r="Z309" s="9">
        <v>27.200001</v>
      </c>
      <c r="AA309" s="9">
        <v>136</v>
      </c>
      <c r="AB309" s="9">
        <v>34</v>
      </c>
    </row>
    <row r="310" spans="1:28" x14ac:dyDescent="0.25">
      <c r="A310" s="8" t="s">
        <v>681</v>
      </c>
      <c r="B310" s="8" t="s">
        <v>682</v>
      </c>
      <c r="C310" s="8" t="s">
        <v>62</v>
      </c>
      <c r="D310" s="10">
        <v>6.4000000999999997</v>
      </c>
      <c r="E310" s="10">
        <v>3</v>
      </c>
      <c r="F310" s="10">
        <v>3.4000001000000002</v>
      </c>
      <c r="G310" s="10">
        <v>3</v>
      </c>
      <c r="H310" s="10">
        <v>3.4000001000000002</v>
      </c>
      <c r="I310" s="10">
        <v>0</v>
      </c>
      <c r="J310" s="10">
        <v>0</v>
      </c>
      <c r="K310" s="10">
        <v>0</v>
      </c>
      <c r="L310" s="10">
        <v>0.40000001000000002</v>
      </c>
      <c r="M310" s="10">
        <v>0</v>
      </c>
      <c r="N310" s="10">
        <v>0.40000001000000002</v>
      </c>
      <c r="O310" s="8" t="s">
        <v>31</v>
      </c>
      <c r="P310" s="8" t="s">
        <v>31</v>
      </c>
      <c r="Q310" s="8" t="s">
        <v>31</v>
      </c>
      <c r="R310" s="8" t="s">
        <v>31</v>
      </c>
      <c r="S310" s="8" t="s">
        <v>57</v>
      </c>
      <c r="T310" s="8" t="s">
        <v>57</v>
      </c>
      <c r="U310" s="8" t="s">
        <v>31</v>
      </c>
      <c r="V310" s="8" t="s">
        <v>57</v>
      </c>
      <c r="W310" s="8" t="str">
        <f>_xlfn.IFNA(VLOOKUP(A310,[1]Sheet1!$A$1:$B$101,1,FALSE),"na")</f>
        <v>na</v>
      </c>
      <c r="X310" s="8" t="s">
        <v>35</v>
      </c>
      <c r="Y310" s="9">
        <v>357</v>
      </c>
      <c r="Z310" s="9">
        <v>55.78125</v>
      </c>
      <c r="AA310" s="9">
        <v>119</v>
      </c>
      <c r="AB310" s="9">
        <v>105</v>
      </c>
    </row>
    <row r="311" spans="1:28" x14ac:dyDescent="0.25">
      <c r="A311" s="8" t="s">
        <v>683</v>
      </c>
      <c r="B311" s="8" t="s">
        <v>684</v>
      </c>
      <c r="C311" s="8" t="s">
        <v>67</v>
      </c>
      <c r="D311" s="10">
        <v>4.1999997999999996</v>
      </c>
      <c r="E311" s="10">
        <v>2</v>
      </c>
      <c r="F311" s="10">
        <v>2.2000000000000002</v>
      </c>
      <c r="G311" s="10">
        <v>2</v>
      </c>
      <c r="H311" s="10">
        <v>2.2000000000000002</v>
      </c>
      <c r="I311" s="10">
        <v>0</v>
      </c>
      <c r="J311" s="10">
        <v>0</v>
      </c>
      <c r="K311" s="10">
        <v>0</v>
      </c>
      <c r="L311" s="10">
        <v>0.2</v>
      </c>
      <c r="M311" s="10">
        <v>0</v>
      </c>
      <c r="N311" s="10">
        <v>0.2</v>
      </c>
      <c r="O311" s="8" t="s">
        <v>31</v>
      </c>
      <c r="P311" s="8" t="s">
        <v>31</v>
      </c>
      <c r="Q311" s="8" t="s">
        <v>31</v>
      </c>
      <c r="R311" s="8" t="s">
        <v>31</v>
      </c>
      <c r="S311" s="8" t="s">
        <v>57</v>
      </c>
      <c r="T311" s="8" t="s">
        <v>31</v>
      </c>
      <c r="U311" s="8" t="s">
        <v>31</v>
      </c>
      <c r="V311" s="8" t="s">
        <v>31</v>
      </c>
      <c r="W311" s="8" t="str">
        <f>_xlfn.IFNA(VLOOKUP(A311,[1]Sheet1!$A$1:$B$101,1,FALSE),"na")</f>
        <v>na</v>
      </c>
      <c r="X311" s="8" t="s">
        <v>35</v>
      </c>
      <c r="Y311" s="9">
        <v>273</v>
      </c>
      <c r="Z311" s="9">
        <v>65</v>
      </c>
      <c r="AA311" s="9">
        <v>136.5</v>
      </c>
      <c r="AB311" s="9">
        <v>124.0909</v>
      </c>
    </row>
    <row r="312" spans="1:28" x14ac:dyDescent="0.25">
      <c r="A312" s="8" t="s">
        <v>685</v>
      </c>
      <c r="B312" s="8" t="s">
        <v>686</v>
      </c>
      <c r="C312" s="8" t="s">
        <v>38</v>
      </c>
      <c r="D312" s="10">
        <v>1.5</v>
      </c>
      <c r="E312" s="10">
        <v>1</v>
      </c>
      <c r="F312" s="10">
        <v>0.5</v>
      </c>
      <c r="G312" s="10">
        <v>1</v>
      </c>
      <c r="H312" s="10">
        <v>0.5</v>
      </c>
      <c r="I312" s="10">
        <v>0</v>
      </c>
      <c r="J312" s="10">
        <v>0</v>
      </c>
      <c r="K312" s="10">
        <v>0</v>
      </c>
      <c r="L312" s="10">
        <v>0.30000000999999998</v>
      </c>
      <c r="M312" s="10">
        <v>0</v>
      </c>
      <c r="N312" s="10">
        <v>0.5</v>
      </c>
      <c r="O312" s="8" t="s">
        <v>31</v>
      </c>
      <c r="P312" s="8" t="s">
        <v>31</v>
      </c>
      <c r="Q312" s="8" t="s">
        <v>31</v>
      </c>
      <c r="R312" s="8" t="s">
        <v>31</v>
      </c>
      <c r="S312" s="8" t="s">
        <v>31</v>
      </c>
      <c r="T312" s="8" t="s">
        <v>31</v>
      </c>
      <c r="U312" s="8" t="s">
        <v>31</v>
      </c>
      <c r="V312" s="8" t="s">
        <v>31</v>
      </c>
      <c r="W312" s="8" t="str">
        <f>_xlfn.IFNA(VLOOKUP(A312,[1]Sheet1!$A$1:$B$101,1,FALSE),"na")</f>
        <v>na</v>
      </c>
      <c r="X312" s="8" t="s">
        <v>35</v>
      </c>
      <c r="Y312" s="9">
        <v>201</v>
      </c>
      <c r="Z312" s="9">
        <v>134</v>
      </c>
      <c r="AA312" s="9">
        <v>201</v>
      </c>
      <c r="AB312" s="9">
        <v>201</v>
      </c>
    </row>
    <row r="313" spans="1:28" x14ac:dyDescent="0.25">
      <c r="A313" s="8" t="s">
        <v>687</v>
      </c>
      <c r="B313" s="8" t="s">
        <v>688</v>
      </c>
      <c r="C313" s="8" t="s">
        <v>30</v>
      </c>
      <c r="D313" s="10">
        <v>1.2666599999999999</v>
      </c>
      <c r="E313" s="10">
        <v>1</v>
      </c>
      <c r="F313" s="10">
        <v>0.26666000000000001</v>
      </c>
      <c r="G313" s="10">
        <v>1</v>
      </c>
      <c r="H313" s="10">
        <v>0.26666000000000001</v>
      </c>
      <c r="I313" s="10">
        <v>0</v>
      </c>
      <c r="J313" s="10">
        <v>0</v>
      </c>
      <c r="K313" s="10">
        <v>1</v>
      </c>
      <c r="L313" s="10">
        <v>0.13333</v>
      </c>
      <c r="M313" s="10">
        <v>0</v>
      </c>
      <c r="N313" s="10">
        <v>0.26666000000000001</v>
      </c>
      <c r="O313" s="8" t="s">
        <v>31</v>
      </c>
      <c r="P313" s="8" t="s">
        <v>31</v>
      </c>
      <c r="Q313" s="8" t="s">
        <v>31</v>
      </c>
      <c r="R313" s="8" t="s">
        <v>31</v>
      </c>
      <c r="S313" s="8" t="s">
        <v>31</v>
      </c>
      <c r="T313" s="8" t="s">
        <v>31</v>
      </c>
      <c r="U313" s="8" t="s">
        <v>31</v>
      </c>
      <c r="V313" s="8" t="s">
        <v>31</v>
      </c>
      <c r="W313" s="8" t="str">
        <f>_xlfn.IFNA(VLOOKUP(A313,[1]Sheet1!$A$1:$B$101,1,FALSE),"na")</f>
        <v>na</v>
      </c>
      <c r="X313" s="8" t="s">
        <v>35</v>
      </c>
      <c r="Y313" s="9">
        <v>219</v>
      </c>
      <c r="Z313" s="9">
        <v>172.89564999999999</v>
      </c>
      <c r="AA313" s="9">
        <v>219</v>
      </c>
      <c r="AB313" s="9">
        <v>219</v>
      </c>
    </row>
    <row r="314" spans="1:28" x14ac:dyDescent="0.25">
      <c r="A314" s="8" t="s">
        <v>689</v>
      </c>
      <c r="B314" s="8" t="s">
        <v>690</v>
      </c>
      <c r="C314" s="8" t="s">
        <v>62</v>
      </c>
      <c r="D314" s="10">
        <v>4</v>
      </c>
      <c r="E314" s="10">
        <v>2</v>
      </c>
      <c r="F314" s="10">
        <v>2</v>
      </c>
      <c r="G314" s="10">
        <v>2</v>
      </c>
      <c r="H314" s="10">
        <v>2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8" t="s">
        <v>31</v>
      </c>
      <c r="P314" s="8" t="s">
        <v>31</v>
      </c>
      <c r="Q314" s="8" t="s">
        <v>31</v>
      </c>
      <c r="R314" s="8" t="s">
        <v>31</v>
      </c>
      <c r="S314" s="8" t="s">
        <v>57</v>
      </c>
      <c r="T314" s="8" t="s">
        <v>31</v>
      </c>
      <c r="U314" s="8" t="s">
        <v>31</v>
      </c>
      <c r="V314" s="8" t="s">
        <v>31</v>
      </c>
      <c r="W314" s="8" t="str">
        <f>_xlfn.IFNA(VLOOKUP(A314,[1]Sheet1!$A$1:$B$101,1,FALSE),"na")</f>
        <v>na</v>
      </c>
      <c r="X314" s="8" t="s">
        <v>691</v>
      </c>
      <c r="Y314" s="9">
        <v>191</v>
      </c>
      <c r="Z314" s="9">
        <v>47.75</v>
      </c>
      <c r="AA314" s="9">
        <v>95.5</v>
      </c>
      <c r="AB314" s="9">
        <v>95.5</v>
      </c>
    </row>
    <row r="315" spans="1:28" x14ac:dyDescent="0.25">
      <c r="A315" s="8" t="s">
        <v>692</v>
      </c>
      <c r="B315" s="8" t="s">
        <v>693</v>
      </c>
      <c r="C315" s="8" t="s">
        <v>62</v>
      </c>
      <c r="D315" s="10">
        <v>3.0666698999999999</v>
      </c>
      <c r="E315" s="10">
        <v>2</v>
      </c>
      <c r="F315" s="10">
        <v>1.0666698999999999</v>
      </c>
      <c r="G315" s="10">
        <v>2</v>
      </c>
      <c r="H315" s="10">
        <v>1.0666698999999999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6.6670001000000007E-2</v>
      </c>
      <c r="O315" s="8" t="s">
        <v>57</v>
      </c>
      <c r="P315" s="8" t="s">
        <v>31</v>
      </c>
      <c r="Q315" s="8" t="s">
        <v>31</v>
      </c>
      <c r="R315" s="8" t="s">
        <v>31</v>
      </c>
      <c r="S315" s="8" t="s">
        <v>57</v>
      </c>
      <c r="T315" s="8" t="s">
        <v>31</v>
      </c>
      <c r="U315" s="8" t="s">
        <v>31</v>
      </c>
      <c r="V315" s="8" t="s">
        <v>31</v>
      </c>
      <c r="W315" s="8" t="str">
        <f>_xlfn.IFNA(VLOOKUP(A315,[1]Sheet1!$A$1:$B$101,1,FALSE),"na")</f>
        <v>na</v>
      </c>
      <c r="X315" s="8" t="s">
        <v>666</v>
      </c>
      <c r="Y315" s="9">
        <v>111</v>
      </c>
      <c r="Z315" s="9">
        <v>36.195613999999999</v>
      </c>
      <c r="AA315" s="9">
        <v>55.5</v>
      </c>
      <c r="AB315" s="9">
        <v>104.06218</v>
      </c>
    </row>
    <row r="316" spans="1:28" x14ac:dyDescent="0.25">
      <c r="A316" s="8" t="s">
        <v>694</v>
      </c>
      <c r="B316" s="8" t="s">
        <v>695</v>
      </c>
      <c r="C316" s="8" t="s">
        <v>62</v>
      </c>
      <c r="D316" s="10">
        <v>6.1999997999999996</v>
      </c>
      <c r="E316" s="10">
        <v>4</v>
      </c>
      <c r="F316" s="10">
        <v>2.2000000000000002</v>
      </c>
      <c r="G316" s="10">
        <v>4</v>
      </c>
      <c r="H316" s="10">
        <v>2.2000000000000002</v>
      </c>
      <c r="I316" s="10">
        <v>0</v>
      </c>
      <c r="J316" s="10">
        <v>0</v>
      </c>
      <c r="K316" s="10">
        <v>1</v>
      </c>
      <c r="L316" s="10">
        <v>0</v>
      </c>
      <c r="M316" s="10">
        <v>0</v>
      </c>
      <c r="N316" s="10">
        <v>0.2</v>
      </c>
      <c r="O316" s="8" t="s">
        <v>31</v>
      </c>
      <c r="P316" s="8" t="s">
        <v>31</v>
      </c>
      <c r="Q316" s="8" t="s">
        <v>31</v>
      </c>
      <c r="R316" s="8" t="s">
        <v>31</v>
      </c>
      <c r="S316" s="8" t="s">
        <v>57</v>
      </c>
      <c r="T316" s="8" t="s">
        <v>31</v>
      </c>
      <c r="U316" s="8" t="s">
        <v>31</v>
      </c>
      <c r="V316" s="8" t="s">
        <v>57</v>
      </c>
      <c r="W316" s="8" t="str">
        <f>_xlfn.IFNA(VLOOKUP(A316,[1]Sheet1!$A$1:$B$101,1,FALSE),"na")</f>
        <v>na</v>
      </c>
      <c r="X316" s="8" t="s">
        <v>35</v>
      </c>
      <c r="Y316" s="9">
        <v>187</v>
      </c>
      <c r="Z316" s="9">
        <v>30.161290999999999</v>
      </c>
      <c r="AA316" s="9">
        <v>46.75</v>
      </c>
      <c r="AB316" s="9">
        <v>85</v>
      </c>
    </row>
    <row r="317" spans="1:28" x14ac:dyDescent="0.25">
      <c r="A317" s="8" t="s">
        <v>696</v>
      </c>
      <c r="B317" s="8" t="s">
        <v>697</v>
      </c>
      <c r="C317" s="8" t="s">
        <v>62</v>
      </c>
      <c r="D317" s="10">
        <v>5.1999997999999996</v>
      </c>
      <c r="E317" s="10">
        <v>1</v>
      </c>
      <c r="F317" s="10">
        <v>4.1999997999999996</v>
      </c>
      <c r="G317" s="10">
        <v>1</v>
      </c>
      <c r="H317" s="10">
        <v>4.1999997999999996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0.2</v>
      </c>
      <c r="O317" s="8" t="s">
        <v>31</v>
      </c>
      <c r="P317" s="8" t="s">
        <v>31</v>
      </c>
      <c r="Q317" s="8" t="s">
        <v>31</v>
      </c>
      <c r="R317" s="8" t="s">
        <v>31</v>
      </c>
      <c r="S317" s="8" t="s">
        <v>57</v>
      </c>
      <c r="T317" s="8" t="s">
        <v>31</v>
      </c>
      <c r="U317" s="8" t="s">
        <v>31</v>
      </c>
      <c r="V317" s="8" t="s">
        <v>31</v>
      </c>
      <c r="W317" s="8" t="str">
        <f>_xlfn.IFNA(VLOOKUP(A317,[1]Sheet1!$A$1:$B$101,1,FALSE),"na")</f>
        <v>na</v>
      </c>
      <c r="X317" s="8" t="s">
        <v>35</v>
      </c>
      <c r="Y317" s="9">
        <v>193</v>
      </c>
      <c r="Z317" s="9">
        <v>37.115386999999998</v>
      </c>
      <c r="AA317" s="9">
        <v>193</v>
      </c>
      <c r="AB317" s="9">
        <v>45.952381000000003</v>
      </c>
    </row>
    <row r="318" spans="1:28" x14ac:dyDescent="0.25">
      <c r="A318" s="8" t="s">
        <v>698</v>
      </c>
      <c r="B318" s="8" t="s">
        <v>699</v>
      </c>
      <c r="C318" s="8" t="s">
        <v>62</v>
      </c>
      <c r="D318" s="10">
        <v>7.1999997999999996</v>
      </c>
      <c r="E318" s="10">
        <v>5</v>
      </c>
      <c r="F318" s="10">
        <v>2.2000000000000002</v>
      </c>
      <c r="G318" s="10">
        <v>5</v>
      </c>
      <c r="H318" s="10">
        <v>2.2000000000000002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0.2</v>
      </c>
      <c r="O318" s="8" t="s">
        <v>31</v>
      </c>
      <c r="P318" s="8" t="s">
        <v>31</v>
      </c>
      <c r="Q318" s="8" t="s">
        <v>31</v>
      </c>
      <c r="R318" s="8" t="s">
        <v>31</v>
      </c>
      <c r="S318" s="8" t="s">
        <v>57</v>
      </c>
      <c r="T318" s="8" t="s">
        <v>57</v>
      </c>
      <c r="U318" s="8" t="s">
        <v>57</v>
      </c>
      <c r="V318" s="8" t="s">
        <v>31</v>
      </c>
      <c r="W318" s="8" t="str">
        <f>_xlfn.IFNA(VLOOKUP(A318,[1]Sheet1!$A$1:$B$101,1,FALSE),"na")</f>
        <v>na</v>
      </c>
      <c r="X318" s="8" t="s">
        <v>35</v>
      </c>
      <c r="Y318" s="9">
        <v>595</v>
      </c>
      <c r="Z318" s="9">
        <v>82.638892999999996</v>
      </c>
      <c r="AA318" s="9">
        <v>119</v>
      </c>
      <c r="AB318" s="9">
        <v>270.45452999999998</v>
      </c>
    </row>
    <row r="319" spans="1:28" x14ac:dyDescent="0.25">
      <c r="A319" s="8" t="s">
        <v>700</v>
      </c>
      <c r="B319" s="8" t="s">
        <v>701</v>
      </c>
      <c r="C319" s="8" t="s">
        <v>80</v>
      </c>
      <c r="D319" s="10">
        <v>5.0666698999999999</v>
      </c>
      <c r="E319" s="10">
        <v>4</v>
      </c>
      <c r="F319" s="10">
        <v>1.0666698999999999</v>
      </c>
      <c r="G319" s="10">
        <v>4</v>
      </c>
      <c r="H319" s="10">
        <v>1.0666698999999999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6.6670001000000007E-2</v>
      </c>
      <c r="O319" s="8" t="s">
        <v>31</v>
      </c>
      <c r="P319" s="8" t="s">
        <v>31</v>
      </c>
      <c r="Q319" s="8" t="s">
        <v>31</v>
      </c>
      <c r="R319" s="8" t="s">
        <v>31</v>
      </c>
      <c r="S319" s="8" t="s">
        <v>57</v>
      </c>
      <c r="T319" s="8" t="s">
        <v>31</v>
      </c>
      <c r="U319" s="8" t="s">
        <v>31</v>
      </c>
      <c r="V319" s="8" t="s">
        <v>31</v>
      </c>
      <c r="W319" s="8" t="str">
        <f>_xlfn.IFNA(VLOOKUP(A319,[1]Sheet1!$A$1:$B$101,1,FALSE),"na")</f>
        <v>na</v>
      </c>
      <c r="X319" s="8" t="s">
        <v>35</v>
      </c>
      <c r="Y319" s="9">
        <v>458</v>
      </c>
      <c r="Z319" s="9">
        <v>90.394676000000004</v>
      </c>
      <c r="AA319" s="9">
        <v>114.5</v>
      </c>
      <c r="AB319" s="9">
        <v>429.37369000000001</v>
      </c>
    </row>
    <row r="320" spans="1:28" x14ac:dyDescent="0.25">
      <c r="A320" s="8" t="s">
        <v>702</v>
      </c>
      <c r="B320" s="8" t="s">
        <v>703</v>
      </c>
      <c r="C320" s="8" t="s">
        <v>62</v>
      </c>
      <c r="D320" s="10">
        <v>8.0666703999999996</v>
      </c>
      <c r="E320" s="10">
        <v>5</v>
      </c>
      <c r="F320" s="10">
        <v>3.0666698999999999</v>
      </c>
      <c r="G320" s="10">
        <v>5</v>
      </c>
      <c r="H320" s="10">
        <v>3.0666698999999999</v>
      </c>
      <c r="I320" s="10">
        <v>0</v>
      </c>
      <c r="J320" s="10">
        <v>0</v>
      </c>
      <c r="K320" s="10">
        <v>0</v>
      </c>
      <c r="L320" s="10">
        <v>1</v>
      </c>
      <c r="M320" s="10">
        <v>0</v>
      </c>
      <c r="N320" s="10">
        <v>6.6670001000000007E-2</v>
      </c>
      <c r="O320" s="8" t="s">
        <v>31</v>
      </c>
      <c r="P320" s="8" t="s">
        <v>31</v>
      </c>
      <c r="Q320" s="8" t="s">
        <v>31</v>
      </c>
      <c r="R320" s="8" t="s">
        <v>31</v>
      </c>
      <c r="S320" s="8" t="s">
        <v>57</v>
      </c>
      <c r="T320" s="8" t="s">
        <v>57</v>
      </c>
      <c r="U320" s="8" t="s">
        <v>31</v>
      </c>
      <c r="V320" s="8" t="s">
        <v>31</v>
      </c>
      <c r="W320" s="8" t="str">
        <f>_xlfn.IFNA(VLOOKUP(A320,[1]Sheet1!$A$1:$B$101,1,FALSE),"na")</f>
        <v>na</v>
      </c>
      <c r="X320" s="8" t="s">
        <v>666</v>
      </c>
      <c r="Y320" s="9">
        <v>222</v>
      </c>
      <c r="Z320" s="9">
        <v>27.520648999999999</v>
      </c>
      <c r="AA320" s="9">
        <v>44.400002000000001</v>
      </c>
      <c r="AB320" s="9">
        <v>72.391227999999998</v>
      </c>
    </row>
    <row r="321" spans="1:28" x14ac:dyDescent="0.25">
      <c r="A321" s="8" t="s">
        <v>704</v>
      </c>
      <c r="B321" s="8" t="s">
        <v>705</v>
      </c>
      <c r="C321" s="8" t="s">
        <v>62</v>
      </c>
      <c r="D321" s="10">
        <v>8.1000004000000008</v>
      </c>
      <c r="E321" s="10">
        <v>2</v>
      </c>
      <c r="F321" s="10">
        <v>6.0999999000000003</v>
      </c>
      <c r="G321" s="10">
        <v>2</v>
      </c>
      <c r="H321" s="10">
        <v>6.0999999000000003</v>
      </c>
      <c r="I321" s="10">
        <v>0</v>
      </c>
      <c r="J321" s="10">
        <v>0</v>
      </c>
      <c r="K321" s="10">
        <v>1</v>
      </c>
      <c r="L321" s="10">
        <v>1</v>
      </c>
      <c r="M321" s="10">
        <v>0</v>
      </c>
      <c r="N321" s="10">
        <v>0.1</v>
      </c>
      <c r="O321" s="8" t="s">
        <v>31</v>
      </c>
      <c r="P321" s="8" t="s">
        <v>31</v>
      </c>
      <c r="Q321" s="8" t="s">
        <v>31</v>
      </c>
      <c r="R321" s="8" t="s">
        <v>31</v>
      </c>
      <c r="S321" s="8" t="s">
        <v>57</v>
      </c>
      <c r="T321" s="8" t="s">
        <v>57</v>
      </c>
      <c r="U321" s="8" t="s">
        <v>57</v>
      </c>
      <c r="V321" s="8" t="s">
        <v>31</v>
      </c>
      <c r="W321" s="8" t="str">
        <f>_xlfn.IFNA(VLOOKUP(A321,[1]Sheet1!$A$1:$B$101,1,FALSE),"na")</f>
        <v>na</v>
      </c>
      <c r="X321" s="8" t="s">
        <v>35</v>
      </c>
      <c r="Y321" s="9">
        <v>375</v>
      </c>
      <c r="Z321" s="9">
        <v>46.296295000000001</v>
      </c>
      <c r="AA321" s="9">
        <v>187.5</v>
      </c>
      <c r="AB321" s="9">
        <v>61.475409999999997</v>
      </c>
    </row>
    <row r="322" spans="1:28" x14ac:dyDescent="0.25">
      <c r="A322" s="8" t="s">
        <v>706</v>
      </c>
      <c r="B322" s="8" t="s">
        <v>707</v>
      </c>
      <c r="C322" s="8" t="s">
        <v>62</v>
      </c>
      <c r="D322" s="10">
        <v>7.0999999000000003</v>
      </c>
      <c r="E322" s="10">
        <v>5</v>
      </c>
      <c r="F322" s="10">
        <v>2.0999998999999998</v>
      </c>
      <c r="G322" s="10">
        <v>5</v>
      </c>
      <c r="H322" s="10">
        <v>2.0999998999999998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0.1</v>
      </c>
      <c r="O322" s="8" t="s">
        <v>31</v>
      </c>
      <c r="P322" s="8" t="s">
        <v>31</v>
      </c>
      <c r="Q322" s="8" t="s">
        <v>31</v>
      </c>
      <c r="R322" s="8" t="s">
        <v>31</v>
      </c>
      <c r="S322" s="8" t="s">
        <v>57</v>
      </c>
      <c r="T322" s="8" t="s">
        <v>31</v>
      </c>
      <c r="U322" s="8" t="s">
        <v>31</v>
      </c>
      <c r="V322" s="8" t="s">
        <v>31</v>
      </c>
      <c r="W322" s="8" t="str">
        <f>_xlfn.IFNA(VLOOKUP(A322,[1]Sheet1!$A$1:$B$101,1,FALSE),"na")</f>
        <v>na</v>
      </c>
      <c r="X322" s="8" t="s">
        <v>437</v>
      </c>
      <c r="Y322" s="9">
        <v>453</v>
      </c>
      <c r="Z322" s="9">
        <v>63.802818000000002</v>
      </c>
      <c r="AA322" s="9">
        <v>90.599997999999999</v>
      </c>
      <c r="AB322" s="9">
        <v>215.71429000000001</v>
      </c>
    </row>
    <row r="323" spans="1:28" x14ac:dyDescent="0.25">
      <c r="A323" s="8" t="s">
        <v>708</v>
      </c>
      <c r="B323" s="8" t="s">
        <v>709</v>
      </c>
      <c r="C323" s="8" t="s">
        <v>80</v>
      </c>
      <c r="D323" s="10">
        <v>10.1</v>
      </c>
      <c r="E323" s="10">
        <v>5</v>
      </c>
      <c r="F323" s="10">
        <v>5.0999999000000003</v>
      </c>
      <c r="G323" s="10">
        <v>5</v>
      </c>
      <c r="H323" s="10">
        <v>5.0999999000000003</v>
      </c>
      <c r="I323" s="10">
        <v>0</v>
      </c>
      <c r="J323" s="10">
        <v>0</v>
      </c>
      <c r="K323" s="10">
        <v>0</v>
      </c>
      <c r="L323" s="10">
        <v>0.1</v>
      </c>
      <c r="M323" s="10">
        <v>0</v>
      </c>
      <c r="N323" s="10">
        <v>0.1</v>
      </c>
      <c r="O323" s="8" t="s">
        <v>31</v>
      </c>
      <c r="P323" s="8" t="s">
        <v>31</v>
      </c>
      <c r="Q323" s="8" t="s">
        <v>31</v>
      </c>
      <c r="R323" s="8" t="s">
        <v>31</v>
      </c>
      <c r="S323" s="8" t="s">
        <v>57</v>
      </c>
      <c r="T323" s="8" t="s">
        <v>31</v>
      </c>
      <c r="U323" s="8" t="s">
        <v>31</v>
      </c>
      <c r="V323" s="8" t="s">
        <v>31</v>
      </c>
      <c r="W323" s="8" t="str">
        <f>_xlfn.IFNA(VLOOKUP(A323,[1]Sheet1!$A$1:$B$101,1,FALSE),"na")</f>
        <v>na</v>
      </c>
      <c r="X323" s="8" t="s">
        <v>35</v>
      </c>
      <c r="Y323" s="9">
        <v>408</v>
      </c>
      <c r="Z323" s="9">
        <v>40.396037999999997</v>
      </c>
      <c r="AA323" s="9">
        <v>81.599997999999999</v>
      </c>
      <c r="AB323" s="9">
        <v>80</v>
      </c>
    </row>
    <row r="324" spans="1:28" x14ac:dyDescent="0.25">
      <c r="A324" s="8" t="s">
        <v>710</v>
      </c>
      <c r="B324" s="8" t="s">
        <v>711</v>
      </c>
      <c r="C324" s="8" t="s">
        <v>62</v>
      </c>
      <c r="D324" s="10">
        <v>6.0666698999999999</v>
      </c>
      <c r="E324" s="10">
        <v>2</v>
      </c>
      <c r="F324" s="10">
        <v>4.0666698999999999</v>
      </c>
      <c r="G324" s="10">
        <v>2</v>
      </c>
      <c r="H324" s="10">
        <v>4.0666698999999999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6.6670001000000007E-2</v>
      </c>
      <c r="O324" s="8" t="s">
        <v>31</v>
      </c>
      <c r="P324" s="8" t="s">
        <v>31</v>
      </c>
      <c r="Q324" s="8" t="s">
        <v>31</v>
      </c>
      <c r="R324" s="8" t="s">
        <v>31</v>
      </c>
      <c r="S324" s="8" t="s">
        <v>57</v>
      </c>
      <c r="T324" s="8" t="s">
        <v>31</v>
      </c>
      <c r="U324" s="8" t="s">
        <v>31</v>
      </c>
      <c r="V324" s="8" t="s">
        <v>31</v>
      </c>
      <c r="W324" s="8" t="str">
        <f>_xlfn.IFNA(VLOOKUP(A324,[1]Sheet1!$A$1:$B$101,1,FALSE),"na")</f>
        <v>na</v>
      </c>
      <c r="X324" s="8" t="s">
        <v>35</v>
      </c>
      <c r="Y324" s="9">
        <v>260</v>
      </c>
      <c r="Z324" s="9">
        <v>42.857120999999999</v>
      </c>
      <c r="AA324" s="9">
        <v>130</v>
      </c>
      <c r="AB324" s="9">
        <v>63.934376</v>
      </c>
    </row>
    <row r="325" spans="1:28" x14ac:dyDescent="0.25">
      <c r="A325" s="8" t="s">
        <v>712</v>
      </c>
      <c r="B325" s="8" t="s">
        <v>713</v>
      </c>
      <c r="C325" s="8" t="s">
        <v>67</v>
      </c>
      <c r="D325" s="10">
        <v>4.0666698999999999</v>
      </c>
      <c r="E325" s="10">
        <v>3</v>
      </c>
      <c r="F325" s="10">
        <v>1.0666698999999999</v>
      </c>
      <c r="G325" s="10">
        <v>3</v>
      </c>
      <c r="H325" s="10">
        <v>1.0666698999999999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6.6670001000000007E-2</v>
      </c>
      <c r="O325" s="8" t="s">
        <v>31</v>
      </c>
      <c r="P325" s="8" t="s">
        <v>31</v>
      </c>
      <c r="Q325" s="8" t="s">
        <v>31</v>
      </c>
      <c r="R325" s="8" t="s">
        <v>31</v>
      </c>
      <c r="S325" s="8" t="s">
        <v>57</v>
      </c>
      <c r="T325" s="8" t="s">
        <v>31</v>
      </c>
      <c r="U325" s="8" t="s">
        <v>31</v>
      </c>
      <c r="V325" s="8" t="s">
        <v>31</v>
      </c>
      <c r="W325" s="8" t="str">
        <f>_xlfn.IFNA(VLOOKUP(A325,[1]Sheet1!$A$1:$B$101,1,FALSE),"na")</f>
        <v>na</v>
      </c>
      <c r="X325" s="8" t="s">
        <v>434</v>
      </c>
      <c r="Y325" s="9">
        <v>169</v>
      </c>
      <c r="Z325" s="9">
        <v>41.557343000000003</v>
      </c>
      <c r="AA325" s="9">
        <v>56.333331999999999</v>
      </c>
      <c r="AB325" s="9">
        <v>158.43700999999999</v>
      </c>
    </row>
    <row r="326" spans="1:28" x14ac:dyDescent="0.25">
      <c r="A326" s="8" t="s">
        <v>714</v>
      </c>
      <c r="B326" s="8" t="s">
        <v>715</v>
      </c>
      <c r="C326" s="8" t="s">
        <v>62</v>
      </c>
      <c r="D326" s="10">
        <v>4.0666698999999999</v>
      </c>
      <c r="E326" s="10">
        <v>4</v>
      </c>
      <c r="F326" s="10">
        <v>6.6670001000000007E-2</v>
      </c>
      <c r="G326" s="10">
        <v>4</v>
      </c>
      <c r="H326" s="10">
        <v>6.6670001000000007E-2</v>
      </c>
      <c r="I326" s="10">
        <v>0</v>
      </c>
      <c r="J326" s="10">
        <v>0</v>
      </c>
      <c r="K326" s="10">
        <v>1</v>
      </c>
      <c r="L326" s="10">
        <v>0</v>
      </c>
      <c r="M326" s="10">
        <v>0</v>
      </c>
      <c r="N326" s="10">
        <v>6.6670001000000007E-2</v>
      </c>
      <c r="O326" s="8" t="s">
        <v>31</v>
      </c>
      <c r="P326" s="8" t="s">
        <v>31</v>
      </c>
      <c r="Q326" s="8" t="s">
        <v>31</v>
      </c>
      <c r="R326" s="8" t="s">
        <v>31</v>
      </c>
      <c r="S326" s="8" t="s">
        <v>57</v>
      </c>
      <c r="T326" s="8" t="s">
        <v>31</v>
      </c>
      <c r="U326" s="8" t="s">
        <v>31</v>
      </c>
      <c r="V326" s="8" t="s">
        <v>31</v>
      </c>
      <c r="W326" s="8" t="str">
        <f>_xlfn.IFNA(VLOOKUP(A326,[1]Sheet1!$A$1:$B$101,1,FALSE),"na")</f>
        <v>na</v>
      </c>
      <c r="X326" s="8" t="s">
        <v>35</v>
      </c>
      <c r="Y326" s="9">
        <v>413</v>
      </c>
      <c r="Z326" s="9">
        <v>101.5573</v>
      </c>
      <c r="AA326" s="9">
        <v>103.25</v>
      </c>
      <c r="AB326" s="9">
        <v>413</v>
      </c>
    </row>
    <row r="327" spans="1:28" x14ac:dyDescent="0.25">
      <c r="A327" s="8" t="s">
        <v>716</v>
      </c>
      <c r="B327" s="8" t="s">
        <v>717</v>
      </c>
      <c r="C327" s="8" t="s">
        <v>62</v>
      </c>
      <c r="D327" s="10">
        <v>4.5</v>
      </c>
      <c r="E327" s="10">
        <v>2.4000001000000002</v>
      </c>
      <c r="F327" s="10">
        <v>2.0999998999999998</v>
      </c>
      <c r="G327" s="10">
        <v>2</v>
      </c>
      <c r="H327" s="10">
        <v>2.0999998999999998</v>
      </c>
      <c r="I327" s="10">
        <v>0.40000001000000002</v>
      </c>
      <c r="J327" s="10">
        <v>0</v>
      </c>
      <c r="K327" s="10">
        <v>1</v>
      </c>
      <c r="L327" s="10">
        <v>0</v>
      </c>
      <c r="M327" s="10">
        <v>0</v>
      </c>
      <c r="N327" s="10">
        <v>0.1</v>
      </c>
      <c r="O327" s="8" t="s">
        <v>57</v>
      </c>
      <c r="P327" s="8" t="s">
        <v>31</v>
      </c>
      <c r="Q327" s="8" t="s">
        <v>31</v>
      </c>
      <c r="R327" s="8" t="s">
        <v>31</v>
      </c>
      <c r="S327" s="8" t="s">
        <v>57</v>
      </c>
      <c r="T327" s="8" t="s">
        <v>57</v>
      </c>
      <c r="U327" s="8" t="s">
        <v>31</v>
      </c>
      <c r="V327" s="8" t="s">
        <v>31</v>
      </c>
      <c r="W327" s="8" t="str">
        <f>_xlfn.IFNA(VLOOKUP(A327,[1]Sheet1!$A$1:$B$101,1,FALSE),"na")</f>
        <v>na</v>
      </c>
      <c r="X327" s="8" t="s">
        <v>35</v>
      </c>
      <c r="Y327" s="9">
        <v>258</v>
      </c>
      <c r="Z327" s="9">
        <v>57.333331999999999</v>
      </c>
      <c r="AA327" s="9">
        <v>107.49999</v>
      </c>
      <c r="AB327" s="9">
        <v>122.85715</v>
      </c>
    </row>
    <row r="328" spans="1:28" x14ac:dyDescent="0.25">
      <c r="A328" s="8" t="s">
        <v>718</v>
      </c>
      <c r="B328" s="8" t="s">
        <v>719</v>
      </c>
      <c r="C328" s="8" t="s">
        <v>30</v>
      </c>
      <c r="D328" s="10">
        <v>1</v>
      </c>
      <c r="E328" s="10">
        <v>1</v>
      </c>
      <c r="F328" s="10">
        <v>0</v>
      </c>
      <c r="G328" s="10">
        <v>1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8" t="s">
        <v>31</v>
      </c>
      <c r="P328" s="8" t="s">
        <v>31</v>
      </c>
      <c r="Q328" s="8" t="s">
        <v>31</v>
      </c>
      <c r="R328" s="8" t="s">
        <v>31</v>
      </c>
      <c r="S328" s="8" t="s">
        <v>31</v>
      </c>
      <c r="T328" s="8" t="s">
        <v>31</v>
      </c>
      <c r="U328" s="8" t="s">
        <v>31</v>
      </c>
      <c r="V328" s="8" t="s">
        <v>31</v>
      </c>
      <c r="W328" s="8" t="str">
        <f>_xlfn.IFNA(VLOOKUP(A328,[1]Sheet1!$A$1:$B$101,1,FALSE),"na")</f>
        <v>na</v>
      </c>
      <c r="X328" s="8" t="s">
        <v>35</v>
      </c>
      <c r="Y328" s="9">
        <v>97</v>
      </c>
      <c r="Z328" s="9">
        <v>97</v>
      </c>
      <c r="AA328" s="9">
        <v>97</v>
      </c>
      <c r="AB328" s="9">
        <v>97</v>
      </c>
    </row>
    <row r="329" spans="1:28" x14ac:dyDescent="0.25">
      <c r="A329" s="8" t="s">
        <v>720</v>
      </c>
      <c r="B329" s="8" t="s">
        <v>721</v>
      </c>
      <c r="C329" s="8" t="s">
        <v>62</v>
      </c>
      <c r="D329" s="10">
        <v>5.1999997999999996</v>
      </c>
      <c r="E329" s="10">
        <v>2</v>
      </c>
      <c r="F329" s="10">
        <v>3.2</v>
      </c>
      <c r="G329" s="10">
        <v>2</v>
      </c>
      <c r="H329" s="10">
        <v>3.2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0.2</v>
      </c>
      <c r="O329" s="8" t="s">
        <v>31</v>
      </c>
      <c r="P329" s="8" t="s">
        <v>31</v>
      </c>
      <c r="Q329" s="8" t="s">
        <v>31</v>
      </c>
      <c r="R329" s="8" t="s">
        <v>31</v>
      </c>
      <c r="S329" s="8" t="s">
        <v>57</v>
      </c>
      <c r="T329" s="8" t="s">
        <v>57</v>
      </c>
      <c r="U329" s="8" t="s">
        <v>31</v>
      </c>
      <c r="V329" s="8" t="s">
        <v>31</v>
      </c>
      <c r="W329" s="8" t="str">
        <f>_xlfn.IFNA(VLOOKUP(A329,[1]Sheet1!$A$1:$B$101,1,FALSE),"na")</f>
        <v>na</v>
      </c>
      <c r="X329" s="8" t="s">
        <v>35</v>
      </c>
      <c r="Y329" s="9">
        <v>223</v>
      </c>
      <c r="Z329" s="9">
        <v>42.884616999999999</v>
      </c>
      <c r="AA329" s="9">
        <v>111.5</v>
      </c>
      <c r="AB329" s="9">
        <v>69.6875</v>
      </c>
    </row>
    <row r="330" spans="1:28" x14ac:dyDescent="0.25">
      <c r="A330" s="8" t="s">
        <v>722</v>
      </c>
      <c r="B330" s="8" t="s">
        <v>723</v>
      </c>
      <c r="C330" s="8" t="s">
        <v>30</v>
      </c>
      <c r="D330" s="10">
        <v>3.2</v>
      </c>
      <c r="E330" s="10">
        <v>1</v>
      </c>
      <c r="F330" s="10">
        <v>2.2000000000000002</v>
      </c>
      <c r="G330" s="10">
        <v>1</v>
      </c>
      <c r="H330" s="10">
        <v>2.2000000000000002</v>
      </c>
      <c r="I330" s="10">
        <v>0</v>
      </c>
      <c r="J330" s="10">
        <v>0</v>
      </c>
      <c r="K330" s="10">
        <v>0</v>
      </c>
      <c r="L330" s="10">
        <v>0.40000001000000002</v>
      </c>
      <c r="M330" s="10">
        <v>0</v>
      </c>
      <c r="N330" s="10">
        <v>1.2</v>
      </c>
      <c r="O330" s="8" t="s">
        <v>57</v>
      </c>
      <c r="P330" s="8" t="s">
        <v>31</v>
      </c>
      <c r="Q330" s="8" t="s">
        <v>31</v>
      </c>
      <c r="R330" s="8" t="s">
        <v>31</v>
      </c>
      <c r="S330" s="8" t="s">
        <v>31</v>
      </c>
      <c r="T330" s="8" t="s">
        <v>31</v>
      </c>
      <c r="U330" s="8" t="s">
        <v>31</v>
      </c>
      <c r="V330" s="8" t="s">
        <v>31</v>
      </c>
      <c r="W330" s="8" t="str">
        <f>_xlfn.IFNA(VLOOKUP(A330,[1]Sheet1!$A$1:$B$101,1,FALSE),"na")</f>
        <v>na</v>
      </c>
      <c r="X330" s="8" t="s">
        <v>35</v>
      </c>
      <c r="Y330" s="9">
        <v>719</v>
      </c>
      <c r="Z330" s="9">
        <v>224.6875</v>
      </c>
      <c r="AA330" s="9">
        <v>719</v>
      </c>
      <c r="AB330" s="9">
        <v>326.81817999999998</v>
      </c>
    </row>
    <row r="331" spans="1:28" x14ac:dyDescent="0.25">
      <c r="A331" s="8" t="s">
        <v>724</v>
      </c>
      <c r="B331" s="8" t="s">
        <v>725</v>
      </c>
      <c r="C331" s="8" t="s">
        <v>30</v>
      </c>
      <c r="D331" s="10">
        <v>2.8</v>
      </c>
      <c r="E331" s="10">
        <v>1</v>
      </c>
      <c r="F331" s="10">
        <v>1.8</v>
      </c>
      <c r="G331" s="10">
        <v>1</v>
      </c>
      <c r="H331" s="10">
        <v>1.8</v>
      </c>
      <c r="I331" s="10">
        <v>0</v>
      </c>
      <c r="J331" s="10">
        <v>0</v>
      </c>
      <c r="K331" s="10">
        <v>0</v>
      </c>
      <c r="L331" s="10">
        <v>0.40000001000000002</v>
      </c>
      <c r="M331" s="10">
        <v>0</v>
      </c>
      <c r="N331" s="10">
        <v>0.80000000999999998</v>
      </c>
      <c r="O331" s="8" t="s">
        <v>57</v>
      </c>
      <c r="P331" s="8" t="s">
        <v>31</v>
      </c>
      <c r="Q331" s="8" t="s">
        <v>31</v>
      </c>
      <c r="R331" s="8" t="s">
        <v>31</v>
      </c>
      <c r="S331" s="8" t="s">
        <v>31</v>
      </c>
      <c r="T331" s="8" t="s">
        <v>31</v>
      </c>
      <c r="U331" s="8" t="s">
        <v>31</v>
      </c>
      <c r="V331" s="8" t="s">
        <v>31</v>
      </c>
      <c r="W331" s="8" t="str">
        <f>_xlfn.IFNA(VLOOKUP(A331,[1]Sheet1!$A$1:$B$101,1,FALSE),"na")</f>
        <v>na</v>
      </c>
      <c r="X331" s="8" t="s">
        <v>35</v>
      </c>
      <c r="Y331" s="9">
        <v>670</v>
      </c>
      <c r="Z331" s="9">
        <v>239.28572</v>
      </c>
      <c r="AA331" s="9">
        <v>670</v>
      </c>
      <c r="AB331" s="9">
        <v>372.22223000000002</v>
      </c>
    </row>
    <row r="332" spans="1:28" x14ac:dyDescent="0.25">
      <c r="A332" s="8" t="s">
        <v>726</v>
      </c>
      <c r="B332" s="8" t="s">
        <v>727</v>
      </c>
      <c r="C332" s="8" t="s">
        <v>30</v>
      </c>
      <c r="D332" s="10">
        <v>2.5999998999999998</v>
      </c>
      <c r="E332" s="10">
        <v>1</v>
      </c>
      <c r="F332" s="10">
        <v>1.6</v>
      </c>
      <c r="G332" s="10">
        <v>1</v>
      </c>
      <c r="H332" s="10">
        <v>1.6</v>
      </c>
      <c r="I332" s="10">
        <v>0</v>
      </c>
      <c r="J332" s="10">
        <v>0</v>
      </c>
      <c r="K332" s="10">
        <v>0</v>
      </c>
      <c r="L332" s="10">
        <v>0.30000000999999998</v>
      </c>
      <c r="M332" s="10">
        <v>0</v>
      </c>
      <c r="N332" s="10">
        <v>0.60000001999999997</v>
      </c>
      <c r="O332" s="8" t="s">
        <v>31</v>
      </c>
      <c r="P332" s="8" t="s">
        <v>31</v>
      </c>
      <c r="Q332" s="8" t="s">
        <v>57</v>
      </c>
      <c r="R332" s="8" t="s">
        <v>31</v>
      </c>
      <c r="S332" s="8" t="s">
        <v>31</v>
      </c>
      <c r="T332" s="8" t="s">
        <v>31</v>
      </c>
      <c r="U332" s="8" t="s">
        <v>31</v>
      </c>
      <c r="V332" s="8" t="s">
        <v>31</v>
      </c>
      <c r="W332" s="8" t="str">
        <f>_xlfn.IFNA(VLOOKUP(A332,[1]Sheet1!$A$1:$B$101,1,FALSE),"na")</f>
        <v>na</v>
      </c>
      <c r="X332" s="8" t="s">
        <v>35</v>
      </c>
      <c r="Y332" s="9">
        <v>465</v>
      </c>
      <c r="Z332" s="9">
        <v>178.84616</v>
      </c>
      <c r="AA332" s="9">
        <v>465</v>
      </c>
      <c r="AB332" s="9">
        <v>290.625</v>
      </c>
    </row>
    <row r="333" spans="1:28" x14ac:dyDescent="0.25">
      <c r="A333" s="8" t="s">
        <v>728</v>
      </c>
      <c r="B333" s="8" t="s">
        <v>729</v>
      </c>
      <c r="C333" s="8" t="s">
        <v>30</v>
      </c>
      <c r="D333" s="10">
        <v>2.8</v>
      </c>
      <c r="E333" s="10">
        <v>1</v>
      </c>
      <c r="F333" s="10">
        <v>1.8</v>
      </c>
      <c r="G333" s="10">
        <v>1</v>
      </c>
      <c r="H333" s="10">
        <v>1.8</v>
      </c>
      <c r="I333" s="10">
        <v>0</v>
      </c>
      <c r="J333" s="10">
        <v>0</v>
      </c>
      <c r="K333" s="10">
        <v>0</v>
      </c>
      <c r="L333" s="10">
        <v>0.80000000999999998</v>
      </c>
      <c r="M333" s="10">
        <v>0</v>
      </c>
      <c r="N333" s="10">
        <v>0.80000000999999998</v>
      </c>
      <c r="O333" s="8" t="s">
        <v>31</v>
      </c>
      <c r="P333" s="8" t="s">
        <v>31</v>
      </c>
      <c r="Q333" s="8" t="s">
        <v>57</v>
      </c>
      <c r="R333" s="8" t="s">
        <v>31</v>
      </c>
      <c r="S333" s="8" t="s">
        <v>31</v>
      </c>
      <c r="T333" s="8" t="s">
        <v>31</v>
      </c>
      <c r="U333" s="8" t="s">
        <v>31</v>
      </c>
      <c r="V333" s="8" t="s">
        <v>31</v>
      </c>
      <c r="W333" s="8" t="str">
        <f>_xlfn.IFNA(VLOOKUP(A333,[1]Sheet1!$A$1:$B$101,1,FALSE),"na")</f>
        <v>na</v>
      </c>
      <c r="X333" s="8" t="s">
        <v>730</v>
      </c>
      <c r="Y333" s="9">
        <v>435</v>
      </c>
      <c r="Z333" s="9">
        <v>155.35714999999999</v>
      </c>
      <c r="AA333" s="9">
        <v>435</v>
      </c>
      <c r="AB333" s="9">
        <v>241.66667000000001</v>
      </c>
    </row>
    <row r="334" spans="1:28" x14ac:dyDescent="0.25">
      <c r="A334" s="8" t="s">
        <v>731</v>
      </c>
      <c r="B334" s="8" t="s">
        <v>732</v>
      </c>
      <c r="C334" s="8" t="s">
        <v>30</v>
      </c>
      <c r="D334" s="10">
        <v>1.8</v>
      </c>
      <c r="E334" s="10">
        <v>1</v>
      </c>
      <c r="F334" s="10">
        <v>0.80000000999999998</v>
      </c>
      <c r="G334" s="10">
        <v>1</v>
      </c>
      <c r="H334" s="10">
        <v>0.80000000999999998</v>
      </c>
      <c r="I334" s="10">
        <v>0</v>
      </c>
      <c r="J334" s="10">
        <v>0</v>
      </c>
      <c r="K334" s="10">
        <v>0</v>
      </c>
      <c r="L334" s="10">
        <v>0.80000000999999998</v>
      </c>
      <c r="M334" s="10">
        <v>0</v>
      </c>
      <c r="N334" s="10">
        <v>0.80000000999999998</v>
      </c>
      <c r="O334" s="8" t="s">
        <v>31</v>
      </c>
      <c r="P334" s="8" t="s">
        <v>31</v>
      </c>
      <c r="Q334" s="8" t="s">
        <v>31</v>
      </c>
      <c r="R334" s="8" t="s">
        <v>31</v>
      </c>
      <c r="S334" s="8" t="s">
        <v>31</v>
      </c>
      <c r="T334" s="8" t="s">
        <v>31</v>
      </c>
      <c r="U334" s="8" t="s">
        <v>31</v>
      </c>
      <c r="V334" s="8" t="s">
        <v>31</v>
      </c>
      <c r="W334" s="8" t="str">
        <f>_xlfn.IFNA(VLOOKUP(A334,[1]Sheet1!$A$1:$B$101,1,FALSE),"na")</f>
        <v>na</v>
      </c>
      <c r="X334" s="8" t="s">
        <v>35</v>
      </c>
      <c r="Y334" s="9">
        <v>468</v>
      </c>
      <c r="Z334" s="9">
        <v>260</v>
      </c>
      <c r="AA334" s="9">
        <v>468</v>
      </c>
      <c r="AB334" s="9">
        <v>468</v>
      </c>
    </row>
    <row r="335" spans="1:28" x14ac:dyDescent="0.25">
      <c r="A335" s="8" t="s">
        <v>733</v>
      </c>
      <c r="B335" s="8" t="s">
        <v>734</v>
      </c>
      <c r="C335" s="8" t="s">
        <v>38</v>
      </c>
      <c r="D335" s="10">
        <v>4.5999999000000003</v>
      </c>
      <c r="E335" s="10">
        <v>1</v>
      </c>
      <c r="F335" s="10">
        <v>3.5999998999999998</v>
      </c>
      <c r="G335" s="10">
        <v>1</v>
      </c>
      <c r="H335" s="10">
        <v>3.5999998999999998</v>
      </c>
      <c r="I335" s="10">
        <v>0</v>
      </c>
      <c r="J335" s="10">
        <v>0</v>
      </c>
      <c r="K335" s="10">
        <v>0</v>
      </c>
      <c r="L335" s="10">
        <v>0.40000001000000002</v>
      </c>
      <c r="M335" s="10">
        <v>0</v>
      </c>
      <c r="N335" s="10">
        <v>1.6</v>
      </c>
      <c r="O335" s="8" t="s">
        <v>31</v>
      </c>
      <c r="P335" s="8" t="s">
        <v>31</v>
      </c>
      <c r="Q335" s="8" t="s">
        <v>31</v>
      </c>
      <c r="R335" s="8" t="s">
        <v>31</v>
      </c>
      <c r="S335" s="8" t="s">
        <v>31</v>
      </c>
      <c r="T335" s="8" t="s">
        <v>31</v>
      </c>
      <c r="U335" s="8" t="s">
        <v>31</v>
      </c>
      <c r="V335" s="8" t="s">
        <v>31</v>
      </c>
      <c r="W335" s="8" t="str">
        <f>_xlfn.IFNA(VLOOKUP(A335,[1]Sheet1!$A$1:$B$101,1,FALSE),"na")</f>
        <v>na</v>
      </c>
      <c r="X335" s="8" t="s">
        <v>35</v>
      </c>
      <c r="Y335" s="9">
        <v>1091</v>
      </c>
      <c r="Z335" s="9">
        <v>237.17392000000001</v>
      </c>
      <c r="AA335" s="9">
        <v>1091</v>
      </c>
      <c r="AB335" s="9">
        <v>303.05556999999999</v>
      </c>
    </row>
    <row r="336" spans="1:28" x14ac:dyDescent="0.25">
      <c r="A336" s="8" t="s">
        <v>735</v>
      </c>
      <c r="B336" s="8" t="s">
        <v>736</v>
      </c>
      <c r="C336" s="8" t="s">
        <v>30</v>
      </c>
      <c r="D336" s="10">
        <v>3.2</v>
      </c>
      <c r="E336" s="10">
        <v>2</v>
      </c>
      <c r="F336" s="10">
        <v>1.2</v>
      </c>
      <c r="G336" s="10">
        <v>2</v>
      </c>
      <c r="H336" s="10">
        <v>1.2</v>
      </c>
      <c r="I336" s="10">
        <v>0</v>
      </c>
      <c r="J336" s="10">
        <v>0</v>
      </c>
      <c r="K336" s="10">
        <v>0</v>
      </c>
      <c r="L336" s="10">
        <v>0.2</v>
      </c>
      <c r="M336" s="10">
        <v>0</v>
      </c>
      <c r="N336" s="10">
        <v>1.2</v>
      </c>
      <c r="O336" s="8" t="s">
        <v>31</v>
      </c>
      <c r="P336" s="8" t="s">
        <v>31</v>
      </c>
      <c r="Q336" s="8" t="s">
        <v>31</v>
      </c>
      <c r="R336" s="8" t="s">
        <v>31</v>
      </c>
      <c r="S336" s="8" t="s">
        <v>31</v>
      </c>
      <c r="T336" s="8" t="s">
        <v>31</v>
      </c>
      <c r="U336" s="8" t="s">
        <v>31</v>
      </c>
      <c r="V336" s="8" t="s">
        <v>31</v>
      </c>
      <c r="W336" s="8" t="str">
        <f>_xlfn.IFNA(VLOOKUP(A336,[1]Sheet1!$A$1:$B$101,1,FALSE),"na")</f>
        <v>na</v>
      </c>
      <c r="X336" s="8" t="s">
        <v>35</v>
      </c>
      <c r="Y336" s="9">
        <v>597</v>
      </c>
      <c r="Z336" s="9">
        <v>186.5625</v>
      </c>
      <c r="AA336" s="9">
        <v>298.5</v>
      </c>
      <c r="AB336" s="9">
        <v>497.49997000000002</v>
      </c>
    </row>
    <row r="337" spans="1:28" x14ac:dyDescent="0.25">
      <c r="A337" s="8" t="s">
        <v>737</v>
      </c>
      <c r="B337" s="8" t="s">
        <v>738</v>
      </c>
      <c r="C337" s="8" t="s">
        <v>30</v>
      </c>
      <c r="D337" s="10">
        <v>2.4000001000000002</v>
      </c>
      <c r="E337" s="10">
        <v>1</v>
      </c>
      <c r="F337" s="10">
        <v>1.4</v>
      </c>
      <c r="G337" s="10">
        <v>1</v>
      </c>
      <c r="H337" s="10">
        <v>1.4</v>
      </c>
      <c r="I337" s="10">
        <v>0</v>
      </c>
      <c r="J337" s="10">
        <v>0</v>
      </c>
      <c r="K337" s="10">
        <v>1</v>
      </c>
      <c r="L337" s="10">
        <v>0.40000001000000002</v>
      </c>
      <c r="M337" s="10">
        <v>0</v>
      </c>
      <c r="N337" s="10">
        <v>0.40000001000000002</v>
      </c>
      <c r="O337" s="8" t="s">
        <v>31</v>
      </c>
      <c r="P337" s="8" t="s">
        <v>31</v>
      </c>
      <c r="Q337" s="8" t="s">
        <v>57</v>
      </c>
      <c r="R337" s="8" t="s">
        <v>31</v>
      </c>
      <c r="S337" s="8" t="s">
        <v>31</v>
      </c>
      <c r="T337" s="8" t="s">
        <v>31</v>
      </c>
      <c r="U337" s="8" t="s">
        <v>31</v>
      </c>
      <c r="V337" s="8" t="s">
        <v>31</v>
      </c>
      <c r="W337" s="8" t="str">
        <f>_xlfn.IFNA(VLOOKUP(A337,[1]Sheet1!$A$1:$B$101,1,FALSE),"na")</f>
        <v>na</v>
      </c>
      <c r="X337" s="8" t="s">
        <v>35</v>
      </c>
      <c r="Y337" s="9">
        <v>515</v>
      </c>
      <c r="Z337" s="9">
        <v>214.58332999999999</v>
      </c>
      <c r="AA337" s="9">
        <v>515</v>
      </c>
      <c r="AB337" s="9">
        <v>367.85714999999999</v>
      </c>
    </row>
    <row r="338" spans="1:28" x14ac:dyDescent="0.25">
      <c r="A338" s="8" t="s">
        <v>739</v>
      </c>
      <c r="B338" s="8" t="s">
        <v>740</v>
      </c>
      <c r="C338" s="8" t="s">
        <v>30</v>
      </c>
      <c r="D338" s="10">
        <v>1.4</v>
      </c>
      <c r="E338" s="10">
        <v>1</v>
      </c>
      <c r="F338" s="10">
        <v>0.40000001000000002</v>
      </c>
      <c r="G338" s="10">
        <v>1</v>
      </c>
      <c r="H338" s="10">
        <v>0.40000001000000002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0.40000001000000002</v>
      </c>
      <c r="O338" s="8" t="s">
        <v>31</v>
      </c>
      <c r="P338" s="8" t="s">
        <v>31</v>
      </c>
      <c r="Q338" s="8" t="s">
        <v>31</v>
      </c>
      <c r="R338" s="8" t="s">
        <v>31</v>
      </c>
      <c r="S338" s="8" t="s">
        <v>31</v>
      </c>
      <c r="T338" s="8" t="s">
        <v>31</v>
      </c>
      <c r="U338" s="8" t="s">
        <v>31</v>
      </c>
      <c r="V338" s="8" t="s">
        <v>31</v>
      </c>
      <c r="W338" s="8" t="str">
        <f>_xlfn.IFNA(VLOOKUP(A338,[1]Sheet1!$A$1:$B$101,1,FALSE),"na")</f>
        <v>na</v>
      </c>
      <c r="X338" s="8" t="s">
        <v>35</v>
      </c>
      <c r="Y338" s="9">
        <v>367</v>
      </c>
      <c r="Z338" s="9">
        <v>262.14285000000001</v>
      </c>
      <c r="AA338" s="9">
        <v>367</v>
      </c>
      <c r="AB338" s="9">
        <v>367</v>
      </c>
    </row>
    <row r="339" spans="1:28" x14ac:dyDescent="0.25">
      <c r="A339" s="8" t="s">
        <v>741</v>
      </c>
      <c r="B339" s="8" t="s">
        <v>742</v>
      </c>
      <c r="C339" s="8" t="s">
        <v>30</v>
      </c>
      <c r="D339" s="10">
        <v>3.8</v>
      </c>
      <c r="E339" s="10">
        <v>1</v>
      </c>
      <c r="F339" s="10">
        <v>2.8</v>
      </c>
      <c r="G339" s="10">
        <v>1</v>
      </c>
      <c r="H339" s="10">
        <v>2.8</v>
      </c>
      <c r="I339" s="10">
        <v>0</v>
      </c>
      <c r="J339" s="10">
        <v>0</v>
      </c>
      <c r="K339" s="10">
        <v>0</v>
      </c>
      <c r="L339" s="10">
        <v>0.2</v>
      </c>
      <c r="M339" s="10">
        <v>0</v>
      </c>
      <c r="N339" s="10">
        <v>0.80000000999999998</v>
      </c>
      <c r="O339" s="8" t="s">
        <v>57</v>
      </c>
      <c r="P339" s="8" t="s">
        <v>31</v>
      </c>
      <c r="Q339" s="8" t="s">
        <v>57</v>
      </c>
      <c r="R339" s="8" t="s">
        <v>31</v>
      </c>
      <c r="S339" s="8" t="s">
        <v>31</v>
      </c>
      <c r="T339" s="8" t="s">
        <v>31</v>
      </c>
      <c r="U339" s="8" t="s">
        <v>31</v>
      </c>
      <c r="V339" s="8" t="s">
        <v>31</v>
      </c>
      <c r="W339" s="8" t="str">
        <f>_xlfn.IFNA(VLOOKUP(A339,[1]Sheet1!$A$1:$B$101,1,FALSE),"na")</f>
        <v>na</v>
      </c>
      <c r="X339" s="8" t="s">
        <v>35</v>
      </c>
      <c r="Y339" s="9">
        <v>415</v>
      </c>
      <c r="Z339" s="9">
        <v>109.21053000000001</v>
      </c>
      <c r="AA339" s="9">
        <v>415</v>
      </c>
      <c r="AB339" s="9">
        <v>148.21429000000001</v>
      </c>
    </row>
    <row r="340" spans="1:28" x14ac:dyDescent="0.25">
      <c r="A340" s="8" t="s">
        <v>743</v>
      </c>
      <c r="B340" s="8" t="s">
        <v>744</v>
      </c>
      <c r="C340" s="8" t="s">
        <v>67</v>
      </c>
      <c r="D340" s="10">
        <v>2.25</v>
      </c>
      <c r="E340" s="10">
        <v>1</v>
      </c>
      <c r="F340" s="10">
        <v>1.25</v>
      </c>
      <c r="G340" s="10">
        <v>1</v>
      </c>
      <c r="H340" s="10">
        <v>1.25</v>
      </c>
      <c r="I340" s="10">
        <v>0</v>
      </c>
      <c r="J340" s="10">
        <v>0</v>
      </c>
      <c r="K340" s="10">
        <v>0</v>
      </c>
      <c r="L340" s="10">
        <v>0.15000000999999999</v>
      </c>
      <c r="M340" s="10">
        <v>0</v>
      </c>
      <c r="N340" s="10">
        <v>0.25</v>
      </c>
      <c r="O340" s="8" t="s">
        <v>57</v>
      </c>
      <c r="P340" s="8" t="s">
        <v>31</v>
      </c>
      <c r="Q340" s="8" t="s">
        <v>31</v>
      </c>
      <c r="R340" s="8" t="s">
        <v>31</v>
      </c>
      <c r="S340" s="8" t="s">
        <v>31</v>
      </c>
      <c r="T340" s="8" t="s">
        <v>31</v>
      </c>
      <c r="U340" s="8" t="s">
        <v>31</v>
      </c>
      <c r="V340" s="8" t="s">
        <v>31</v>
      </c>
      <c r="W340" s="8" t="str">
        <f>_xlfn.IFNA(VLOOKUP(A340,[1]Sheet1!$A$1:$B$101,1,FALSE),"na")</f>
        <v>na</v>
      </c>
      <c r="X340" s="8" t="s">
        <v>35</v>
      </c>
      <c r="Y340" s="9">
        <v>578</v>
      </c>
      <c r="Z340" s="9">
        <v>256.88889</v>
      </c>
      <c r="AA340" s="9">
        <v>578</v>
      </c>
      <c r="AB340" s="9">
        <v>462.39999</v>
      </c>
    </row>
    <row r="341" spans="1:28" x14ac:dyDescent="0.25">
      <c r="A341" s="8" t="s">
        <v>745</v>
      </c>
      <c r="B341" s="8" t="s">
        <v>746</v>
      </c>
      <c r="C341" s="8" t="s">
        <v>30</v>
      </c>
      <c r="D341" s="10">
        <v>2.8</v>
      </c>
      <c r="E341" s="10">
        <v>1</v>
      </c>
      <c r="F341" s="10">
        <v>1.8</v>
      </c>
      <c r="G341" s="10">
        <v>1</v>
      </c>
      <c r="H341" s="10">
        <v>1.8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0.80000000999999998</v>
      </c>
      <c r="O341" s="8" t="s">
        <v>31</v>
      </c>
      <c r="P341" s="8" t="s">
        <v>31</v>
      </c>
      <c r="Q341" s="8" t="s">
        <v>57</v>
      </c>
      <c r="R341" s="8" t="s">
        <v>31</v>
      </c>
      <c r="S341" s="8" t="s">
        <v>31</v>
      </c>
      <c r="T341" s="8" t="s">
        <v>31</v>
      </c>
      <c r="U341" s="8" t="s">
        <v>31</v>
      </c>
      <c r="V341" s="8" t="s">
        <v>31</v>
      </c>
      <c r="W341" s="8" t="str">
        <f>_xlfn.IFNA(VLOOKUP(A341,[1]Sheet1!$A$1:$B$101,1,FALSE),"na")</f>
        <v>na</v>
      </c>
      <c r="X341" s="8" t="s">
        <v>730</v>
      </c>
      <c r="Y341" s="9">
        <v>425</v>
      </c>
      <c r="Z341" s="9">
        <v>151.78572</v>
      </c>
      <c r="AA341" s="9">
        <v>425</v>
      </c>
      <c r="AB341" s="9">
        <v>236.11111</v>
      </c>
    </row>
    <row r="342" spans="1:28" x14ac:dyDescent="0.25">
      <c r="A342" s="8" t="s">
        <v>747</v>
      </c>
      <c r="B342" s="8" t="s">
        <v>748</v>
      </c>
      <c r="C342" s="8" t="s">
        <v>30</v>
      </c>
      <c r="D342" s="10">
        <v>2.8</v>
      </c>
      <c r="E342" s="10">
        <v>2</v>
      </c>
      <c r="F342" s="10">
        <v>0.80000000999999998</v>
      </c>
      <c r="G342" s="10">
        <v>2</v>
      </c>
      <c r="H342" s="10">
        <v>0.80000000999999998</v>
      </c>
      <c r="I342" s="10">
        <v>0</v>
      </c>
      <c r="J342" s="10">
        <v>0</v>
      </c>
      <c r="K342" s="10">
        <v>0</v>
      </c>
      <c r="L342" s="10">
        <v>0.60000001999999997</v>
      </c>
      <c r="M342" s="10">
        <v>0</v>
      </c>
      <c r="N342" s="10">
        <v>0.80000000999999998</v>
      </c>
      <c r="O342" s="8" t="s">
        <v>31</v>
      </c>
      <c r="P342" s="8" t="s">
        <v>31</v>
      </c>
      <c r="Q342" s="8" t="s">
        <v>31</v>
      </c>
      <c r="R342" s="8" t="s">
        <v>31</v>
      </c>
      <c r="S342" s="8" t="s">
        <v>31</v>
      </c>
      <c r="T342" s="8" t="s">
        <v>31</v>
      </c>
      <c r="U342" s="8" t="s">
        <v>31</v>
      </c>
      <c r="V342" s="8" t="s">
        <v>31</v>
      </c>
      <c r="W342" s="8" t="str">
        <f>_xlfn.IFNA(VLOOKUP(A342,[1]Sheet1!$A$1:$B$101,1,FALSE),"na")</f>
        <v>na</v>
      </c>
      <c r="X342" s="8" t="s">
        <v>35</v>
      </c>
      <c r="Y342" s="9">
        <v>513</v>
      </c>
      <c r="Z342" s="9">
        <v>183.21429000000001</v>
      </c>
      <c r="AA342" s="9">
        <v>256.5</v>
      </c>
      <c r="AB342" s="9">
        <v>513</v>
      </c>
    </row>
    <row r="343" spans="1:28" x14ac:dyDescent="0.25">
      <c r="A343" s="8" t="s">
        <v>749</v>
      </c>
      <c r="B343" s="8" t="s">
        <v>750</v>
      </c>
      <c r="C343" s="8" t="s">
        <v>67</v>
      </c>
      <c r="D343" s="10">
        <v>3.0999998999999998</v>
      </c>
      <c r="E343" s="10">
        <v>2</v>
      </c>
      <c r="F343" s="10">
        <v>1.1000000000000001</v>
      </c>
      <c r="G343" s="10">
        <v>2</v>
      </c>
      <c r="H343" s="10">
        <v>1.1000000000000001</v>
      </c>
      <c r="I343" s="10">
        <v>0</v>
      </c>
      <c r="J343" s="10">
        <v>0</v>
      </c>
      <c r="K343" s="10">
        <v>1</v>
      </c>
      <c r="L343" s="10">
        <v>0</v>
      </c>
      <c r="M343" s="10">
        <v>0</v>
      </c>
      <c r="N343" s="10">
        <v>0.1</v>
      </c>
      <c r="O343" s="8" t="s">
        <v>57</v>
      </c>
      <c r="P343" s="8" t="s">
        <v>31</v>
      </c>
      <c r="Q343" s="8" t="s">
        <v>31</v>
      </c>
      <c r="R343" s="8" t="s">
        <v>31</v>
      </c>
      <c r="S343" s="8" t="s">
        <v>31</v>
      </c>
      <c r="T343" s="8" t="s">
        <v>31</v>
      </c>
      <c r="U343" s="8" t="s">
        <v>31</v>
      </c>
      <c r="V343" s="8" t="s">
        <v>31</v>
      </c>
      <c r="W343" s="8" t="str">
        <f>_xlfn.IFNA(VLOOKUP(A343,[1]Sheet1!$A$1:$B$101,1,FALSE),"na")</f>
        <v>na</v>
      </c>
      <c r="X343" s="8" t="s">
        <v>751</v>
      </c>
      <c r="Y343" s="9">
        <v>470</v>
      </c>
      <c r="Z343" s="9">
        <v>151.61292</v>
      </c>
      <c r="AA343" s="9">
        <v>235</v>
      </c>
      <c r="AB343" s="9">
        <v>427.27271000000002</v>
      </c>
    </row>
    <row r="344" spans="1:28" x14ac:dyDescent="0.25">
      <c r="A344" s="8" t="s">
        <v>752</v>
      </c>
      <c r="B344" s="8" t="s">
        <v>753</v>
      </c>
      <c r="C344" s="8" t="s">
        <v>30</v>
      </c>
      <c r="D344" s="10">
        <v>2.5999998999999998</v>
      </c>
      <c r="E344" s="10">
        <v>1</v>
      </c>
      <c r="F344" s="10">
        <v>1.6</v>
      </c>
      <c r="G344" s="10">
        <v>1</v>
      </c>
      <c r="H344" s="10">
        <v>1.6</v>
      </c>
      <c r="I344" s="10">
        <v>0</v>
      </c>
      <c r="J344" s="10">
        <v>0</v>
      </c>
      <c r="K344" s="10">
        <v>0</v>
      </c>
      <c r="L344" s="10">
        <v>0.2</v>
      </c>
      <c r="M344" s="10">
        <v>0</v>
      </c>
      <c r="N344" s="10">
        <v>0.60000001999999997</v>
      </c>
      <c r="O344" s="8" t="s">
        <v>57</v>
      </c>
      <c r="P344" s="8" t="s">
        <v>31</v>
      </c>
      <c r="Q344" s="8" t="s">
        <v>31</v>
      </c>
      <c r="R344" s="8" t="s">
        <v>31</v>
      </c>
      <c r="S344" s="8" t="s">
        <v>31</v>
      </c>
      <c r="T344" s="8" t="s">
        <v>31</v>
      </c>
      <c r="U344" s="8" t="s">
        <v>31</v>
      </c>
      <c r="V344" s="8" t="s">
        <v>31</v>
      </c>
      <c r="W344" s="8" t="str">
        <f>_xlfn.IFNA(VLOOKUP(A344,[1]Sheet1!$A$1:$B$101,1,FALSE),"na")</f>
        <v>na</v>
      </c>
      <c r="X344" s="8" t="s">
        <v>35</v>
      </c>
      <c r="Y344" s="9">
        <v>289</v>
      </c>
      <c r="Z344" s="9">
        <v>111.15385000000001</v>
      </c>
      <c r="AA344" s="9">
        <v>289</v>
      </c>
      <c r="AB344" s="9">
        <v>180.625</v>
      </c>
    </row>
    <row r="345" spans="1:28" x14ac:dyDescent="0.25">
      <c r="A345" s="8" t="s">
        <v>754</v>
      </c>
      <c r="B345" s="8" t="s">
        <v>755</v>
      </c>
      <c r="C345" s="8" t="s">
        <v>67</v>
      </c>
      <c r="D345" s="10">
        <v>1</v>
      </c>
      <c r="E345" s="10">
        <v>1</v>
      </c>
      <c r="F345" s="10">
        <v>0</v>
      </c>
      <c r="G345" s="10">
        <v>1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8" t="s">
        <v>31</v>
      </c>
      <c r="P345" s="8" t="s">
        <v>31</v>
      </c>
      <c r="Q345" s="8" t="s">
        <v>31</v>
      </c>
      <c r="R345" s="8" t="s">
        <v>31</v>
      </c>
      <c r="S345" s="8" t="s">
        <v>31</v>
      </c>
      <c r="T345" s="8" t="s">
        <v>31</v>
      </c>
      <c r="U345" s="8" t="s">
        <v>31</v>
      </c>
      <c r="V345" s="8" t="s">
        <v>31</v>
      </c>
      <c r="W345" s="8" t="str">
        <f>_xlfn.IFNA(VLOOKUP(A345,[1]Sheet1!$A$1:$B$101,1,FALSE),"na")</f>
        <v>na</v>
      </c>
      <c r="X345" s="8" t="s">
        <v>35</v>
      </c>
      <c r="Y345" s="9">
        <v>319</v>
      </c>
      <c r="Z345" s="9">
        <v>319</v>
      </c>
      <c r="AA345" s="9">
        <v>319</v>
      </c>
      <c r="AB345" s="9">
        <v>319</v>
      </c>
    </row>
    <row r="346" spans="1:28" x14ac:dyDescent="0.25">
      <c r="A346" s="8" t="s">
        <v>756</v>
      </c>
      <c r="B346" s="8" t="s">
        <v>757</v>
      </c>
      <c r="C346" s="8" t="s">
        <v>30</v>
      </c>
      <c r="D346" s="10">
        <v>3.4000001000000002</v>
      </c>
      <c r="E346" s="10">
        <v>2</v>
      </c>
      <c r="F346" s="10">
        <v>1.4</v>
      </c>
      <c r="G346" s="10">
        <v>2</v>
      </c>
      <c r="H346" s="10">
        <v>1.4</v>
      </c>
      <c r="I346" s="10">
        <v>0</v>
      </c>
      <c r="J346" s="10">
        <v>0</v>
      </c>
      <c r="K346" s="10">
        <v>0</v>
      </c>
      <c r="L346" s="10">
        <v>0.1</v>
      </c>
      <c r="M346" s="10">
        <v>0</v>
      </c>
      <c r="N346" s="10">
        <v>0.40000001000000002</v>
      </c>
      <c r="O346" s="8" t="s">
        <v>31</v>
      </c>
      <c r="P346" s="8" t="s">
        <v>31</v>
      </c>
      <c r="Q346" s="8" t="s">
        <v>57</v>
      </c>
      <c r="R346" s="8" t="s">
        <v>31</v>
      </c>
      <c r="S346" s="8" t="s">
        <v>31</v>
      </c>
      <c r="T346" s="8" t="s">
        <v>31</v>
      </c>
      <c r="U346" s="8" t="s">
        <v>31</v>
      </c>
      <c r="V346" s="8" t="s">
        <v>31</v>
      </c>
      <c r="W346" s="8" t="str">
        <f>_xlfn.IFNA(VLOOKUP(A346,[1]Sheet1!$A$1:$B$101,1,FALSE),"na")</f>
        <v>na</v>
      </c>
      <c r="X346" s="8" t="s">
        <v>35</v>
      </c>
      <c r="Y346" s="9">
        <v>499</v>
      </c>
      <c r="Z346" s="9">
        <v>146.76469</v>
      </c>
      <c r="AA346" s="9">
        <v>249.5</v>
      </c>
      <c r="AB346" s="9">
        <v>356.42858999999999</v>
      </c>
    </row>
    <row r="347" spans="1:28" x14ac:dyDescent="0.25">
      <c r="A347" s="8" t="s">
        <v>758</v>
      </c>
      <c r="B347" s="8" t="s">
        <v>759</v>
      </c>
      <c r="C347" s="8" t="s">
        <v>30</v>
      </c>
      <c r="D347" s="10">
        <v>1.4</v>
      </c>
      <c r="E347" s="10">
        <v>1</v>
      </c>
      <c r="F347" s="10">
        <v>0.40000001000000002</v>
      </c>
      <c r="G347" s="10">
        <v>1</v>
      </c>
      <c r="H347" s="10">
        <v>0.40000001000000002</v>
      </c>
      <c r="I347" s="10">
        <v>0</v>
      </c>
      <c r="J347" s="10">
        <v>0</v>
      </c>
      <c r="K347" s="10">
        <v>0</v>
      </c>
      <c r="L347" s="10">
        <v>0.40000001000000002</v>
      </c>
      <c r="M347" s="10">
        <v>0</v>
      </c>
      <c r="N347" s="10">
        <v>0.40000001000000002</v>
      </c>
      <c r="O347" s="8" t="s">
        <v>31</v>
      </c>
      <c r="P347" s="8" t="s">
        <v>31</v>
      </c>
      <c r="Q347" s="8" t="s">
        <v>31</v>
      </c>
      <c r="R347" s="8" t="s">
        <v>31</v>
      </c>
      <c r="S347" s="8" t="s">
        <v>31</v>
      </c>
      <c r="T347" s="8" t="s">
        <v>31</v>
      </c>
      <c r="U347" s="8" t="s">
        <v>31</v>
      </c>
      <c r="V347" s="8" t="s">
        <v>31</v>
      </c>
      <c r="W347" s="8" t="str">
        <f>_xlfn.IFNA(VLOOKUP(A347,[1]Sheet1!$A$1:$B$101,1,FALSE),"na")</f>
        <v>na</v>
      </c>
      <c r="X347" s="8" t="s">
        <v>35</v>
      </c>
      <c r="Y347" s="9">
        <v>345</v>
      </c>
      <c r="Z347" s="9">
        <v>246.42857000000001</v>
      </c>
      <c r="AA347" s="9">
        <v>345</v>
      </c>
      <c r="AB347" s="9">
        <v>345</v>
      </c>
    </row>
    <row r="348" spans="1:28" x14ac:dyDescent="0.25">
      <c r="A348" s="8" t="s">
        <v>760</v>
      </c>
      <c r="B348" s="8" t="s">
        <v>761</v>
      </c>
      <c r="C348" s="8" t="s">
        <v>30</v>
      </c>
      <c r="D348" s="10">
        <v>2.4000001000000002</v>
      </c>
      <c r="E348" s="10">
        <v>1</v>
      </c>
      <c r="F348" s="10">
        <v>1.4</v>
      </c>
      <c r="G348" s="10">
        <v>1</v>
      </c>
      <c r="H348" s="10">
        <v>1.4</v>
      </c>
      <c r="I348" s="10">
        <v>0</v>
      </c>
      <c r="J348" s="10">
        <v>0</v>
      </c>
      <c r="K348" s="10">
        <v>1</v>
      </c>
      <c r="L348" s="10">
        <v>0.1</v>
      </c>
      <c r="M348" s="10">
        <v>0</v>
      </c>
      <c r="N348" s="10">
        <v>0.40000001000000002</v>
      </c>
      <c r="O348" s="8" t="s">
        <v>57</v>
      </c>
      <c r="P348" s="8" t="s">
        <v>31</v>
      </c>
      <c r="Q348" s="8" t="s">
        <v>31</v>
      </c>
      <c r="R348" s="8" t="s">
        <v>31</v>
      </c>
      <c r="S348" s="8" t="s">
        <v>31</v>
      </c>
      <c r="T348" s="8" t="s">
        <v>31</v>
      </c>
      <c r="U348" s="8" t="s">
        <v>31</v>
      </c>
      <c r="V348" s="8" t="s">
        <v>31</v>
      </c>
      <c r="W348" s="8" t="str">
        <f>_xlfn.IFNA(VLOOKUP(A348,[1]Sheet1!$A$1:$B$101,1,FALSE),"na")</f>
        <v>na</v>
      </c>
      <c r="X348" s="8" t="s">
        <v>35</v>
      </c>
      <c r="Y348" s="9">
        <v>306</v>
      </c>
      <c r="Z348" s="9">
        <v>127.49999</v>
      </c>
      <c r="AA348" s="9">
        <v>306</v>
      </c>
      <c r="AB348" s="9">
        <v>218.57142999999999</v>
      </c>
    </row>
    <row r="349" spans="1:28" x14ac:dyDescent="0.25">
      <c r="A349" s="8" t="s">
        <v>762</v>
      </c>
      <c r="B349" s="8" t="s">
        <v>763</v>
      </c>
      <c r="C349" s="8" t="s">
        <v>30</v>
      </c>
      <c r="D349" s="10">
        <v>5</v>
      </c>
      <c r="E349" s="10">
        <v>3</v>
      </c>
      <c r="F349" s="10">
        <v>2</v>
      </c>
      <c r="G349" s="10">
        <v>3</v>
      </c>
      <c r="H349" s="10">
        <v>2</v>
      </c>
      <c r="I349" s="10">
        <v>0</v>
      </c>
      <c r="J349" s="10">
        <v>0</v>
      </c>
      <c r="K349" s="10">
        <v>1</v>
      </c>
      <c r="L349" s="10">
        <v>0.60000001999999997</v>
      </c>
      <c r="M349" s="10">
        <v>0</v>
      </c>
      <c r="N349" s="10">
        <v>1</v>
      </c>
      <c r="O349" s="8" t="s">
        <v>31</v>
      </c>
      <c r="P349" s="8" t="s">
        <v>31</v>
      </c>
      <c r="Q349" s="8" t="s">
        <v>57</v>
      </c>
      <c r="R349" s="8" t="s">
        <v>31</v>
      </c>
      <c r="S349" s="8" t="s">
        <v>31</v>
      </c>
      <c r="T349" s="8" t="s">
        <v>31</v>
      </c>
      <c r="U349" s="8" t="s">
        <v>31</v>
      </c>
      <c r="V349" s="8" t="s">
        <v>31</v>
      </c>
      <c r="W349" s="8" t="str">
        <f>_xlfn.IFNA(VLOOKUP(A349,[1]Sheet1!$A$1:$B$101,1,FALSE),"na")</f>
        <v>na</v>
      </c>
      <c r="X349" s="8" t="s">
        <v>35</v>
      </c>
      <c r="Y349" s="9">
        <v>641</v>
      </c>
      <c r="Z349" s="9">
        <v>128.19999999999999</v>
      </c>
      <c r="AA349" s="9">
        <v>213.66667000000001</v>
      </c>
      <c r="AB349" s="9">
        <v>320.5</v>
      </c>
    </row>
    <row r="350" spans="1:28" x14ac:dyDescent="0.25">
      <c r="A350" s="8" t="s">
        <v>764</v>
      </c>
      <c r="B350" s="8" t="s">
        <v>765</v>
      </c>
      <c r="C350" s="8" t="s">
        <v>30</v>
      </c>
      <c r="D350" s="10">
        <v>2.8</v>
      </c>
      <c r="E350" s="10">
        <v>2</v>
      </c>
      <c r="F350" s="10">
        <v>0.80000000999999998</v>
      </c>
      <c r="G350" s="10">
        <v>2</v>
      </c>
      <c r="H350" s="10">
        <v>0.80000000999999998</v>
      </c>
      <c r="I350" s="10">
        <v>0</v>
      </c>
      <c r="J350" s="10">
        <v>0</v>
      </c>
      <c r="K350" s="10">
        <v>0</v>
      </c>
      <c r="L350" s="10">
        <v>0.2</v>
      </c>
      <c r="M350" s="10">
        <v>0</v>
      </c>
      <c r="N350" s="10">
        <v>0.80000000999999998</v>
      </c>
      <c r="O350" s="8" t="s">
        <v>31</v>
      </c>
      <c r="P350" s="8" t="s">
        <v>31</v>
      </c>
      <c r="Q350" s="8" t="s">
        <v>31</v>
      </c>
      <c r="R350" s="8" t="s">
        <v>31</v>
      </c>
      <c r="S350" s="8" t="s">
        <v>31</v>
      </c>
      <c r="T350" s="8" t="s">
        <v>31</v>
      </c>
      <c r="U350" s="8" t="s">
        <v>31</v>
      </c>
      <c r="V350" s="8" t="s">
        <v>31</v>
      </c>
      <c r="W350" s="8" t="str">
        <f>_xlfn.IFNA(VLOOKUP(A350,[1]Sheet1!$A$1:$B$101,1,FALSE),"na")</f>
        <v>na</v>
      </c>
      <c r="X350" s="8" t="s">
        <v>35</v>
      </c>
      <c r="Y350" s="9">
        <v>397</v>
      </c>
      <c r="Z350" s="9">
        <v>141.78572</v>
      </c>
      <c r="AA350" s="9">
        <v>198.5</v>
      </c>
      <c r="AB350" s="9">
        <v>397</v>
      </c>
    </row>
    <row r="351" spans="1:28" x14ac:dyDescent="0.25">
      <c r="A351" s="8" t="s">
        <v>766</v>
      </c>
      <c r="B351" s="8" t="s">
        <v>767</v>
      </c>
      <c r="C351" s="8" t="s">
        <v>80</v>
      </c>
      <c r="D351" s="10">
        <v>5.0999999000000003</v>
      </c>
      <c r="E351" s="10">
        <v>2</v>
      </c>
      <c r="F351" s="10">
        <v>3.0999998999999998</v>
      </c>
      <c r="G351" s="10">
        <v>2</v>
      </c>
      <c r="H351" s="10">
        <v>3.0999998999999998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0.1</v>
      </c>
      <c r="O351" s="8" t="s">
        <v>31</v>
      </c>
      <c r="P351" s="8" t="s">
        <v>31</v>
      </c>
      <c r="Q351" s="8" t="s">
        <v>31</v>
      </c>
      <c r="R351" s="8" t="s">
        <v>31</v>
      </c>
      <c r="S351" s="8" t="s">
        <v>31</v>
      </c>
      <c r="T351" s="8" t="s">
        <v>31</v>
      </c>
      <c r="U351" s="8" t="s">
        <v>31</v>
      </c>
      <c r="V351" s="8" t="s">
        <v>31</v>
      </c>
      <c r="W351" s="8" t="str">
        <f>_xlfn.IFNA(VLOOKUP(A351,[1]Sheet1!$A$1:$B$101,1,FALSE),"na")</f>
        <v>na</v>
      </c>
      <c r="X351" s="8" t="s">
        <v>35</v>
      </c>
      <c r="Y351" s="9">
        <v>596</v>
      </c>
      <c r="Z351" s="9">
        <v>116.86275000000001</v>
      </c>
      <c r="AA351" s="9">
        <v>298</v>
      </c>
      <c r="AB351" s="9">
        <v>192.25807</v>
      </c>
    </row>
    <row r="352" spans="1:28" x14ac:dyDescent="0.25">
      <c r="A352" s="8" t="s">
        <v>768</v>
      </c>
      <c r="B352" s="8" t="s">
        <v>769</v>
      </c>
      <c r="C352" s="8" t="s">
        <v>62</v>
      </c>
      <c r="D352" s="10">
        <v>2</v>
      </c>
      <c r="E352" s="10">
        <v>1</v>
      </c>
      <c r="F352" s="10">
        <v>1</v>
      </c>
      <c r="G352" s="10">
        <v>1</v>
      </c>
      <c r="H352" s="10">
        <v>1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8" t="s">
        <v>31</v>
      </c>
      <c r="P352" s="8" t="s">
        <v>31</v>
      </c>
      <c r="Q352" s="8" t="s">
        <v>31</v>
      </c>
      <c r="R352" s="8" t="s">
        <v>57</v>
      </c>
      <c r="S352" s="8" t="s">
        <v>31</v>
      </c>
      <c r="T352" s="8" t="s">
        <v>57</v>
      </c>
      <c r="U352" s="8" t="s">
        <v>57</v>
      </c>
      <c r="V352" s="8" t="s">
        <v>31</v>
      </c>
      <c r="W352" s="8" t="str">
        <f>_xlfn.IFNA(VLOOKUP(A352,[1]Sheet1!$A$1:$B$101,1,FALSE),"na")</f>
        <v>na</v>
      </c>
      <c r="X352" s="8" t="s">
        <v>35</v>
      </c>
      <c r="Y352" s="9">
        <v>168</v>
      </c>
      <c r="Z352" s="9">
        <v>84</v>
      </c>
      <c r="AA352" s="9">
        <v>168</v>
      </c>
      <c r="AB352" s="9">
        <v>168</v>
      </c>
    </row>
    <row r="353" spans="1:28" x14ac:dyDescent="0.25">
      <c r="A353" s="8" t="s">
        <v>770</v>
      </c>
      <c r="B353" s="8" t="s">
        <v>771</v>
      </c>
      <c r="C353" s="8" t="s">
        <v>62</v>
      </c>
      <c r="D353" s="10">
        <v>4.0999999000000003</v>
      </c>
      <c r="E353" s="10">
        <v>2</v>
      </c>
      <c r="F353" s="10">
        <v>2.0999998999999998</v>
      </c>
      <c r="G353" s="10">
        <v>2</v>
      </c>
      <c r="H353" s="10">
        <v>2.0999998999999998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0.1</v>
      </c>
      <c r="O353" s="8" t="s">
        <v>31</v>
      </c>
      <c r="P353" s="8" t="s">
        <v>31</v>
      </c>
      <c r="Q353" s="8" t="s">
        <v>31</v>
      </c>
      <c r="R353" s="8" t="s">
        <v>31</v>
      </c>
      <c r="S353" s="8" t="s">
        <v>31</v>
      </c>
      <c r="T353" s="8" t="s">
        <v>31</v>
      </c>
      <c r="U353" s="8" t="s">
        <v>31</v>
      </c>
      <c r="V353" s="8" t="s">
        <v>57</v>
      </c>
      <c r="W353" s="8" t="str">
        <f>_xlfn.IFNA(VLOOKUP(A353,[1]Sheet1!$A$1:$B$101,1,FALSE),"na")</f>
        <v>na</v>
      </c>
      <c r="X353" s="8" t="s">
        <v>35</v>
      </c>
      <c r="Y353" s="9">
        <v>383</v>
      </c>
      <c r="Z353" s="9">
        <v>93.414635000000004</v>
      </c>
      <c r="AA353" s="9">
        <v>191.5</v>
      </c>
      <c r="AB353" s="9">
        <v>182.38096999999999</v>
      </c>
    </row>
    <row r="354" spans="1:28" x14ac:dyDescent="0.25">
      <c r="A354" s="8" t="s">
        <v>772</v>
      </c>
      <c r="B354" s="8" t="s">
        <v>773</v>
      </c>
      <c r="C354" s="8" t="s">
        <v>67</v>
      </c>
      <c r="D354" s="10">
        <v>2</v>
      </c>
      <c r="E354" s="10">
        <v>1</v>
      </c>
      <c r="F354" s="10">
        <v>1</v>
      </c>
      <c r="G354" s="10">
        <v>1</v>
      </c>
      <c r="H354" s="10">
        <v>1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8" t="s">
        <v>31</v>
      </c>
      <c r="P354" s="8" t="s">
        <v>31</v>
      </c>
      <c r="Q354" s="8" t="s">
        <v>31</v>
      </c>
      <c r="R354" s="8" t="s">
        <v>31</v>
      </c>
      <c r="S354" s="8" t="s">
        <v>31</v>
      </c>
      <c r="T354" s="8" t="s">
        <v>31</v>
      </c>
      <c r="U354" s="8" t="s">
        <v>31</v>
      </c>
      <c r="V354" s="8" t="s">
        <v>31</v>
      </c>
      <c r="W354" s="8" t="str">
        <f>_xlfn.IFNA(VLOOKUP(A354,[1]Sheet1!$A$1:$B$101,1,FALSE),"na")</f>
        <v>na</v>
      </c>
      <c r="X354" s="8" t="s">
        <v>35</v>
      </c>
      <c r="Y354" s="9">
        <v>150</v>
      </c>
      <c r="Z354" s="9">
        <v>75</v>
      </c>
      <c r="AA354" s="9">
        <v>150</v>
      </c>
      <c r="AB354" s="9">
        <v>150</v>
      </c>
    </row>
    <row r="355" spans="1:28" x14ac:dyDescent="0.25">
      <c r="A355" s="8" t="s">
        <v>774</v>
      </c>
      <c r="B355" s="8" t="s">
        <v>775</v>
      </c>
      <c r="C355" s="8" t="s">
        <v>67</v>
      </c>
      <c r="D355" s="10">
        <v>3</v>
      </c>
      <c r="E355" s="10">
        <v>3</v>
      </c>
      <c r="F355" s="10">
        <v>0</v>
      </c>
      <c r="G355" s="10">
        <v>3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8" t="s">
        <v>31</v>
      </c>
      <c r="P355" s="8" t="s">
        <v>31</v>
      </c>
      <c r="Q355" s="8" t="s">
        <v>31</v>
      </c>
      <c r="R355" s="8" t="s">
        <v>31</v>
      </c>
      <c r="S355" s="8" t="s">
        <v>31</v>
      </c>
      <c r="T355" s="8" t="s">
        <v>31</v>
      </c>
      <c r="U355" s="8" t="s">
        <v>31</v>
      </c>
      <c r="V355" s="8" t="s">
        <v>31</v>
      </c>
      <c r="W355" s="8" t="str">
        <f>_xlfn.IFNA(VLOOKUP(A355,[1]Sheet1!$A$1:$B$101,1,FALSE),"na")</f>
        <v>na</v>
      </c>
      <c r="X355" s="8" t="s">
        <v>35</v>
      </c>
      <c r="Y355" s="9">
        <v>327</v>
      </c>
      <c r="Z355" s="9">
        <v>109</v>
      </c>
      <c r="AA355" s="9">
        <v>109</v>
      </c>
      <c r="AB355" s="9">
        <v>327</v>
      </c>
    </row>
    <row r="356" spans="1:28" x14ac:dyDescent="0.25">
      <c r="A356" s="8" t="s">
        <v>776</v>
      </c>
      <c r="B356" s="8" t="s">
        <v>777</v>
      </c>
      <c r="C356" s="8" t="s">
        <v>30</v>
      </c>
      <c r="D356" s="10">
        <v>2.25</v>
      </c>
      <c r="E356" s="10">
        <v>1</v>
      </c>
      <c r="F356" s="10">
        <v>1.25</v>
      </c>
      <c r="G356" s="10">
        <v>1</v>
      </c>
      <c r="H356" s="10">
        <v>1.25</v>
      </c>
      <c r="I356" s="10">
        <v>0</v>
      </c>
      <c r="J356" s="10">
        <v>0</v>
      </c>
      <c r="K356" s="10">
        <v>0</v>
      </c>
      <c r="L356" s="10">
        <v>0.15000000999999999</v>
      </c>
      <c r="M356" s="10">
        <v>0</v>
      </c>
      <c r="N356" s="10">
        <v>0.25</v>
      </c>
      <c r="O356" s="8" t="s">
        <v>31</v>
      </c>
      <c r="P356" s="8" t="s">
        <v>31</v>
      </c>
      <c r="Q356" s="8" t="s">
        <v>31</v>
      </c>
      <c r="R356" s="8" t="s">
        <v>31</v>
      </c>
      <c r="S356" s="8" t="s">
        <v>31</v>
      </c>
      <c r="T356" s="8" t="s">
        <v>31</v>
      </c>
      <c r="U356" s="8" t="s">
        <v>31</v>
      </c>
      <c r="V356" s="8" t="s">
        <v>31</v>
      </c>
      <c r="W356" s="8" t="str">
        <f>_xlfn.IFNA(VLOOKUP(A356,[1]Sheet1!$A$1:$B$101,1,FALSE),"na")</f>
        <v>na</v>
      </c>
      <c r="X356" s="8" t="s">
        <v>35</v>
      </c>
      <c r="Y356" s="9">
        <v>552</v>
      </c>
      <c r="Z356" s="9">
        <v>245.33332999999999</v>
      </c>
      <c r="AA356" s="9">
        <v>552</v>
      </c>
      <c r="AB356" s="9">
        <v>441.60001</v>
      </c>
    </row>
    <row r="357" spans="1:28" x14ac:dyDescent="0.25">
      <c r="A357" s="8" t="s">
        <v>778</v>
      </c>
      <c r="B357" s="8" t="s">
        <v>779</v>
      </c>
      <c r="C357" s="8" t="s">
        <v>62</v>
      </c>
      <c r="D357" s="10">
        <v>5.0999999000000003</v>
      </c>
      <c r="E357" s="10">
        <v>3</v>
      </c>
      <c r="F357" s="10">
        <v>2.0999998999999998</v>
      </c>
      <c r="G357" s="10">
        <v>3</v>
      </c>
      <c r="H357" s="10">
        <v>2.0999998999999998</v>
      </c>
      <c r="I357" s="10">
        <v>0</v>
      </c>
      <c r="J357" s="10">
        <v>0</v>
      </c>
      <c r="K357" s="10">
        <v>0</v>
      </c>
      <c r="L357" s="10">
        <v>0.1</v>
      </c>
      <c r="M357" s="10">
        <v>0</v>
      </c>
      <c r="N357" s="10">
        <v>0.1</v>
      </c>
      <c r="O357" s="8" t="s">
        <v>31</v>
      </c>
      <c r="P357" s="8" t="s">
        <v>31</v>
      </c>
      <c r="Q357" s="8" t="s">
        <v>31</v>
      </c>
      <c r="R357" s="8" t="s">
        <v>31</v>
      </c>
      <c r="S357" s="8" t="s">
        <v>31</v>
      </c>
      <c r="T357" s="8" t="s">
        <v>31</v>
      </c>
      <c r="U357" s="8" t="s">
        <v>31</v>
      </c>
      <c r="V357" s="8" t="s">
        <v>31</v>
      </c>
      <c r="W357" s="8" t="str">
        <f>_xlfn.IFNA(VLOOKUP(A357,[1]Sheet1!$A$1:$B$101,1,FALSE),"na")</f>
        <v>na</v>
      </c>
      <c r="X357" s="8" t="s">
        <v>35</v>
      </c>
      <c r="Y357" s="9">
        <v>345</v>
      </c>
      <c r="Z357" s="9">
        <v>67.647057000000004</v>
      </c>
      <c r="AA357" s="9">
        <v>115</v>
      </c>
      <c r="AB357" s="9">
        <v>164.28572</v>
      </c>
    </row>
    <row r="358" spans="1:28" x14ac:dyDescent="0.25">
      <c r="A358" s="8" t="s">
        <v>780</v>
      </c>
      <c r="B358" s="8" t="s">
        <v>781</v>
      </c>
      <c r="C358" s="8" t="s">
        <v>62</v>
      </c>
      <c r="D358" s="10">
        <v>3.0999998999999998</v>
      </c>
      <c r="E358" s="10">
        <v>3</v>
      </c>
      <c r="F358" s="10">
        <v>0.1</v>
      </c>
      <c r="G358" s="10">
        <v>3</v>
      </c>
      <c r="H358" s="10">
        <v>0.1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0.1</v>
      </c>
      <c r="O358" s="8" t="s">
        <v>31</v>
      </c>
      <c r="P358" s="8" t="s">
        <v>31</v>
      </c>
      <c r="Q358" s="8" t="s">
        <v>31</v>
      </c>
      <c r="R358" s="8" t="s">
        <v>31</v>
      </c>
      <c r="S358" s="8" t="s">
        <v>31</v>
      </c>
      <c r="T358" s="8" t="s">
        <v>31</v>
      </c>
      <c r="U358" s="8" t="s">
        <v>31</v>
      </c>
      <c r="V358" s="8" t="s">
        <v>31</v>
      </c>
      <c r="W358" s="8" t="str">
        <f>_xlfn.IFNA(VLOOKUP(A358,[1]Sheet1!$A$1:$B$101,1,FALSE),"na")</f>
        <v>na</v>
      </c>
      <c r="X358" s="8" t="s">
        <v>35</v>
      </c>
      <c r="Y358" s="9">
        <v>286</v>
      </c>
      <c r="Z358" s="9">
        <v>92.258064000000005</v>
      </c>
      <c r="AA358" s="9">
        <v>95.333336000000003</v>
      </c>
      <c r="AB358" s="9">
        <v>286</v>
      </c>
    </row>
    <row r="359" spans="1:28" x14ac:dyDescent="0.25">
      <c r="A359" s="8" t="s">
        <v>782</v>
      </c>
      <c r="B359" s="8" t="s">
        <v>783</v>
      </c>
      <c r="C359" s="8" t="s">
        <v>30</v>
      </c>
      <c r="D359" s="10">
        <v>3.5</v>
      </c>
      <c r="E359" s="10">
        <v>2</v>
      </c>
      <c r="F359" s="10">
        <v>1.5</v>
      </c>
      <c r="G359" s="10">
        <v>2</v>
      </c>
      <c r="H359" s="10">
        <v>1.5</v>
      </c>
      <c r="I359" s="10">
        <v>0</v>
      </c>
      <c r="J359" s="10">
        <v>0</v>
      </c>
      <c r="K359" s="10">
        <v>0</v>
      </c>
      <c r="L359" s="10">
        <v>0.40000001000000002</v>
      </c>
      <c r="M359" s="10">
        <v>0</v>
      </c>
      <c r="N359" s="10">
        <v>0.5</v>
      </c>
      <c r="O359" s="8" t="s">
        <v>31</v>
      </c>
      <c r="P359" s="8" t="s">
        <v>57</v>
      </c>
      <c r="Q359" s="8" t="s">
        <v>31</v>
      </c>
      <c r="R359" s="8" t="s">
        <v>31</v>
      </c>
      <c r="S359" s="8" t="s">
        <v>31</v>
      </c>
      <c r="T359" s="8" t="s">
        <v>31</v>
      </c>
      <c r="U359" s="8" t="s">
        <v>31</v>
      </c>
      <c r="V359" s="8" t="s">
        <v>31</v>
      </c>
      <c r="W359" s="8" t="str">
        <f>_xlfn.IFNA(VLOOKUP(A359,[1]Sheet1!$A$1:$B$101,1,FALSE),"na")</f>
        <v>na</v>
      </c>
      <c r="X359" s="8" t="s">
        <v>512</v>
      </c>
      <c r="Y359" s="9">
        <v>446</v>
      </c>
      <c r="Z359" s="9">
        <v>127.42856999999999</v>
      </c>
      <c r="AA359" s="9">
        <v>223</v>
      </c>
      <c r="AB359" s="9">
        <v>297.33334000000002</v>
      </c>
    </row>
    <row r="360" spans="1:28" x14ac:dyDescent="0.25">
      <c r="A360" s="8" t="s">
        <v>784</v>
      </c>
      <c r="B360" s="8" t="s">
        <v>785</v>
      </c>
      <c r="C360" s="8" t="s">
        <v>67</v>
      </c>
      <c r="D360" s="10">
        <v>3.0999998999999998</v>
      </c>
      <c r="E360" s="10">
        <v>2</v>
      </c>
      <c r="F360" s="10">
        <v>1.1000000000000001</v>
      </c>
      <c r="G360" s="10">
        <v>2</v>
      </c>
      <c r="H360" s="10">
        <v>1.1000000000000001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0.1</v>
      </c>
      <c r="O360" s="8" t="s">
        <v>57</v>
      </c>
      <c r="P360" s="8" t="s">
        <v>31</v>
      </c>
      <c r="Q360" s="8" t="s">
        <v>31</v>
      </c>
      <c r="R360" s="8" t="s">
        <v>31</v>
      </c>
      <c r="S360" s="8" t="s">
        <v>31</v>
      </c>
      <c r="T360" s="8" t="s">
        <v>31</v>
      </c>
      <c r="U360" s="8" t="s">
        <v>31</v>
      </c>
      <c r="V360" s="8" t="s">
        <v>31</v>
      </c>
      <c r="W360" s="8" t="str">
        <f>_xlfn.IFNA(VLOOKUP(A360,[1]Sheet1!$A$1:$B$101,1,FALSE),"na")</f>
        <v>na</v>
      </c>
      <c r="X360" s="8" t="s">
        <v>35</v>
      </c>
      <c r="Y360" s="9">
        <v>383</v>
      </c>
      <c r="Z360" s="9">
        <v>123.54839</v>
      </c>
      <c r="AA360" s="9">
        <v>191.5</v>
      </c>
      <c r="AB360" s="9">
        <v>348.18182000000002</v>
      </c>
    </row>
    <row r="361" spans="1:28" x14ac:dyDescent="0.25">
      <c r="A361" s="8" t="s">
        <v>786</v>
      </c>
      <c r="B361" s="8" t="s">
        <v>787</v>
      </c>
      <c r="C361" s="8" t="s">
        <v>62</v>
      </c>
      <c r="D361" s="10">
        <v>3.0999998999999998</v>
      </c>
      <c r="E361" s="10">
        <v>2</v>
      </c>
      <c r="F361" s="10">
        <v>1.1000000000000001</v>
      </c>
      <c r="G361" s="10">
        <v>2</v>
      </c>
      <c r="H361" s="10">
        <v>1.1000000000000001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0.1</v>
      </c>
      <c r="O361" s="8" t="s">
        <v>57</v>
      </c>
      <c r="P361" s="8" t="s">
        <v>31</v>
      </c>
      <c r="Q361" s="8" t="s">
        <v>31</v>
      </c>
      <c r="R361" s="8" t="s">
        <v>31</v>
      </c>
      <c r="S361" s="8" t="s">
        <v>31</v>
      </c>
      <c r="T361" s="8" t="s">
        <v>57</v>
      </c>
      <c r="U361" s="8" t="s">
        <v>31</v>
      </c>
      <c r="V361" s="8" t="s">
        <v>31</v>
      </c>
      <c r="W361" s="8" t="str">
        <f>_xlfn.IFNA(VLOOKUP(A361,[1]Sheet1!$A$1:$B$101,1,FALSE),"na")</f>
        <v>na</v>
      </c>
      <c r="X361" s="8" t="s">
        <v>35</v>
      </c>
      <c r="Y361" s="9">
        <v>328</v>
      </c>
      <c r="Z361" s="9">
        <v>105.80646</v>
      </c>
      <c r="AA361" s="9">
        <v>164</v>
      </c>
      <c r="AB361" s="9">
        <v>298.18182000000002</v>
      </c>
    </row>
    <row r="362" spans="1:28" x14ac:dyDescent="0.25">
      <c r="A362" s="8" t="s">
        <v>788</v>
      </c>
      <c r="B362" s="8" t="s">
        <v>789</v>
      </c>
      <c r="C362" s="8" t="s">
        <v>62</v>
      </c>
      <c r="D362" s="10">
        <v>4.0999999000000003</v>
      </c>
      <c r="E362" s="10">
        <v>3</v>
      </c>
      <c r="F362" s="10">
        <v>1.1000000000000001</v>
      </c>
      <c r="G362" s="10">
        <v>3</v>
      </c>
      <c r="H362" s="10">
        <v>1.1000000000000001</v>
      </c>
      <c r="I362" s="10">
        <v>0</v>
      </c>
      <c r="J362" s="10">
        <v>0</v>
      </c>
      <c r="K362" s="10">
        <v>1</v>
      </c>
      <c r="L362" s="10">
        <v>0</v>
      </c>
      <c r="M362" s="10">
        <v>0</v>
      </c>
      <c r="N362" s="10">
        <v>0.1</v>
      </c>
      <c r="O362" s="8" t="s">
        <v>31</v>
      </c>
      <c r="P362" s="8" t="s">
        <v>31</v>
      </c>
      <c r="Q362" s="8" t="s">
        <v>31</v>
      </c>
      <c r="R362" s="8" t="s">
        <v>31</v>
      </c>
      <c r="S362" s="8" t="s">
        <v>31</v>
      </c>
      <c r="T362" s="8" t="s">
        <v>31</v>
      </c>
      <c r="U362" s="8" t="s">
        <v>31</v>
      </c>
      <c r="V362" s="8" t="s">
        <v>31</v>
      </c>
      <c r="W362" s="8" t="str">
        <f>_xlfn.IFNA(VLOOKUP(A362,[1]Sheet1!$A$1:$B$101,1,FALSE),"na")</f>
        <v>na</v>
      </c>
      <c r="X362" s="8" t="s">
        <v>35</v>
      </c>
      <c r="Y362" s="9">
        <v>416</v>
      </c>
      <c r="Z362" s="9">
        <v>101.46342</v>
      </c>
      <c r="AA362" s="9">
        <v>138.66667000000001</v>
      </c>
      <c r="AB362" s="9">
        <v>378.18182000000002</v>
      </c>
    </row>
    <row r="363" spans="1:28" x14ac:dyDescent="0.25">
      <c r="A363" s="8" t="s">
        <v>790</v>
      </c>
      <c r="B363" s="8" t="s">
        <v>791</v>
      </c>
      <c r="C363" s="8" t="s">
        <v>80</v>
      </c>
      <c r="D363" s="10">
        <v>3</v>
      </c>
      <c r="E363" s="10">
        <v>2</v>
      </c>
      <c r="F363" s="10">
        <v>1</v>
      </c>
      <c r="G363" s="10">
        <v>2</v>
      </c>
      <c r="H363" s="10">
        <v>1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8" t="s">
        <v>31</v>
      </c>
      <c r="P363" s="8" t="s">
        <v>31</v>
      </c>
      <c r="Q363" s="8" t="s">
        <v>31</v>
      </c>
      <c r="R363" s="8" t="s">
        <v>31</v>
      </c>
      <c r="S363" s="8" t="s">
        <v>31</v>
      </c>
      <c r="T363" s="8" t="s">
        <v>57</v>
      </c>
      <c r="U363" s="8" t="s">
        <v>31</v>
      </c>
      <c r="V363" s="8" t="s">
        <v>31</v>
      </c>
      <c r="W363" s="8" t="str">
        <f>_xlfn.IFNA(VLOOKUP(A363,[1]Sheet1!$A$1:$B$101,1,FALSE),"na")</f>
        <v>na</v>
      </c>
      <c r="X363" s="8" t="s">
        <v>792</v>
      </c>
      <c r="Y363" s="9">
        <v>466</v>
      </c>
      <c r="Z363" s="9">
        <v>155.33332999999999</v>
      </c>
      <c r="AA363" s="9">
        <v>233</v>
      </c>
      <c r="AB363" s="9">
        <v>466</v>
      </c>
    </row>
    <row r="364" spans="1:28" x14ac:dyDescent="0.25">
      <c r="A364" s="8" t="s">
        <v>793</v>
      </c>
      <c r="B364" s="8" t="s">
        <v>794</v>
      </c>
      <c r="C364" s="8" t="s">
        <v>67</v>
      </c>
      <c r="D364" s="10">
        <v>3.26667</v>
      </c>
      <c r="E364" s="10">
        <v>2</v>
      </c>
      <c r="F364" s="10">
        <v>1.26667</v>
      </c>
      <c r="G364" s="10">
        <v>2</v>
      </c>
      <c r="H364" s="10">
        <v>1.26667</v>
      </c>
      <c r="I364" s="10">
        <v>0</v>
      </c>
      <c r="J364" s="10">
        <v>0</v>
      </c>
      <c r="K364" s="10">
        <v>0</v>
      </c>
      <c r="L364" s="10">
        <v>6.6670001000000007E-2</v>
      </c>
      <c r="M364" s="10">
        <v>0</v>
      </c>
      <c r="N364" s="10">
        <v>0.26666999000000002</v>
      </c>
      <c r="O364" s="8" t="s">
        <v>31</v>
      </c>
      <c r="P364" s="8" t="s">
        <v>31</v>
      </c>
      <c r="Q364" s="8" t="s">
        <v>31</v>
      </c>
      <c r="R364" s="8" t="s">
        <v>31</v>
      </c>
      <c r="S364" s="8" t="s">
        <v>31</v>
      </c>
      <c r="T364" s="8" t="s">
        <v>31</v>
      </c>
      <c r="U364" s="8" t="s">
        <v>31</v>
      </c>
      <c r="V364" s="8" t="s">
        <v>31</v>
      </c>
      <c r="W364" s="8" t="str">
        <f>_xlfn.IFNA(VLOOKUP(A364,[1]Sheet1!$A$1:$B$101,1,FALSE),"na")</f>
        <v>na</v>
      </c>
      <c r="X364" s="8" t="s">
        <v>666</v>
      </c>
      <c r="Y364" s="9">
        <v>363</v>
      </c>
      <c r="Z364" s="9">
        <v>111.12233999999999</v>
      </c>
      <c r="AA364" s="9">
        <v>181.5</v>
      </c>
      <c r="AB364" s="9">
        <v>286.57819000000001</v>
      </c>
    </row>
    <row r="365" spans="1:28" x14ac:dyDescent="0.25">
      <c r="A365" s="8" t="s">
        <v>795</v>
      </c>
      <c r="B365" s="8" t="s">
        <v>796</v>
      </c>
      <c r="C365" s="8" t="s">
        <v>67</v>
      </c>
      <c r="D365" s="10">
        <v>2</v>
      </c>
      <c r="E365" s="10">
        <v>1</v>
      </c>
      <c r="F365" s="10">
        <v>1</v>
      </c>
      <c r="G365" s="10">
        <v>1</v>
      </c>
      <c r="H365" s="10">
        <v>1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8" t="s">
        <v>31</v>
      </c>
      <c r="P365" s="8" t="s">
        <v>57</v>
      </c>
      <c r="Q365" s="8" t="s">
        <v>31</v>
      </c>
      <c r="R365" s="8" t="s">
        <v>31</v>
      </c>
      <c r="S365" s="8" t="s">
        <v>31</v>
      </c>
      <c r="T365" s="8" t="s">
        <v>31</v>
      </c>
      <c r="U365" s="8" t="s">
        <v>31</v>
      </c>
      <c r="V365" s="8" t="s">
        <v>31</v>
      </c>
      <c r="W365" s="8" t="str">
        <f>_xlfn.IFNA(VLOOKUP(A365,[1]Sheet1!$A$1:$B$101,1,FALSE),"na")</f>
        <v>na</v>
      </c>
      <c r="X365" s="8" t="s">
        <v>35</v>
      </c>
      <c r="Y365" s="9">
        <v>192</v>
      </c>
      <c r="Z365" s="9">
        <v>96</v>
      </c>
      <c r="AA365" s="9">
        <v>192</v>
      </c>
      <c r="AB365" s="9">
        <v>192</v>
      </c>
    </row>
    <row r="366" spans="1:28" x14ac:dyDescent="0.25">
      <c r="A366" s="8" t="s">
        <v>797</v>
      </c>
      <c r="B366" s="8" t="s">
        <v>798</v>
      </c>
      <c r="C366" s="8" t="s">
        <v>80</v>
      </c>
      <c r="D366" s="10">
        <v>3.2</v>
      </c>
      <c r="E366" s="10">
        <v>2</v>
      </c>
      <c r="F366" s="10">
        <v>1.2</v>
      </c>
      <c r="G366" s="10">
        <v>2</v>
      </c>
      <c r="H366" s="10">
        <v>1.2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0.2</v>
      </c>
      <c r="O366" s="8" t="s">
        <v>31</v>
      </c>
      <c r="P366" s="8" t="s">
        <v>31</v>
      </c>
      <c r="Q366" s="8" t="s">
        <v>57</v>
      </c>
      <c r="R366" s="8" t="s">
        <v>31</v>
      </c>
      <c r="S366" s="8" t="s">
        <v>31</v>
      </c>
      <c r="T366" s="8" t="s">
        <v>57</v>
      </c>
      <c r="U366" s="8" t="s">
        <v>31</v>
      </c>
      <c r="V366" s="8" t="s">
        <v>31</v>
      </c>
      <c r="W366" s="8" t="str">
        <f>_xlfn.IFNA(VLOOKUP(A366,[1]Sheet1!$A$1:$B$101,1,FALSE),"na")</f>
        <v>na</v>
      </c>
      <c r="X366" s="8" t="s">
        <v>799</v>
      </c>
      <c r="Y366" s="9">
        <v>397</v>
      </c>
      <c r="Z366" s="9">
        <v>124.0625</v>
      </c>
      <c r="AA366" s="9">
        <v>198.5</v>
      </c>
      <c r="AB366" s="9">
        <v>330.83330999999998</v>
      </c>
    </row>
    <row r="367" spans="1:28" x14ac:dyDescent="0.25">
      <c r="A367" s="8" t="s">
        <v>800</v>
      </c>
      <c r="B367" s="8" t="s">
        <v>801</v>
      </c>
      <c r="C367" s="8" t="s">
        <v>62</v>
      </c>
      <c r="D367" s="10">
        <v>2.0999998999999998</v>
      </c>
      <c r="E367" s="10">
        <v>1</v>
      </c>
      <c r="F367" s="10">
        <v>1.1000000000000001</v>
      </c>
      <c r="G367" s="10">
        <v>1</v>
      </c>
      <c r="H367" s="10">
        <v>1.1000000000000001</v>
      </c>
      <c r="I367" s="10">
        <v>0</v>
      </c>
      <c r="J367" s="10">
        <v>0</v>
      </c>
      <c r="K367" s="10">
        <v>0</v>
      </c>
      <c r="L367" s="10">
        <v>0.1</v>
      </c>
      <c r="M367" s="10">
        <v>0</v>
      </c>
      <c r="N367" s="10">
        <v>0.1</v>
      </c>
      <c r="O367" s="8" t="s">
        <v>57</v>
      </c>
      <c r="P367" s="8" t="s">
        <v>57</v>
      </c>
      <c r="Q367" s="8" t="s">
        <v>31</v>
      </c>
      <c r="R367" s="8" t="s">
        <v>31</v>
      </c>
      <c r="S367" s="8" t="s">
        <v>31</v>
      </c>
      <c r="T367" s="8" t="s">
        <v>31</v>
      </c>
      <c r="U367" s="8" t="s">
        <v>31</v>
      </c>
      <c r="V367" s="8" t="s">
        <v>31</v>
      </c>
      <c r="W367" s="8" t="str">
        <f>_xlfn.IFNA(VLOOKUP(A367,[1]Sheet1!$A$1:$B$101,1,FALSE),"na")</f>
        <v>na</v>
      </c>
      <c r="X367" s="8" t="s">
        <v>35</v>
      </c>
      <c r="Y367" s="9">
        <v>170</v>
      </c>
      <c r="Z367" s="9">
        <v>80.952385000000007</v>
      </c>
      <c r="AA367" s="9">
        <v>170</v>
      </c>
      <c r="AB367" s="9">
        <v>154.54545999999999</v>
      </c>
    </row>
    <row r="368" spans="1:28" x14ac:dyDescent="0.25">
      <c r="A368" s="8" t="s">
        <v>802</v>
      </c>
      <c r="B368" s="8" t="s">
        <v>803</v>
      </c>
      <c r="C368" s="8" t="s">
        <v>30</v>
      </c>
      <c r="D368" s="10">
        <v>2.26667</v>
      </c>
      <c r="E368" s="10">
        <v>2</v>
      </c>
      <c r="F368" s="10">
        <v>0.26666999000000002</v>
      </c>
      <c r="G368" s="10">
        <v>2</v>
      </c>
      <c r="H368" s="10">
        <v>0.26666999000000002</v>
      </c>
      <c r="I368" s="10">
        <v>0</v>
      </c>
      <c r="J368" s="10">
        <v>0</v>
      </c>
      <c r="K368" s="10">
        <v>0</v>
      </c>
      <c r="L368" s="10">
        <v>6.6670001000000007E-2</v>
      </c>
      <c r="M368" s="10">
        <v>0</v>
      </c>
      <c r="N368" s="10">
        <v>0.26666999000000002</v>
      </c>
      <c r="O368" s="8" t="s">
        <v>31</v>
      </c>
      <c r="P368" s="8" t="s">
        <v>31</v>
      </c>
      <c r="Q368" s="8" t="s">
        <v>31</v>
      </c>
      <c r="R368" s="8" t="s">
        <v>31</v>
      </c>
      <c r="S368" s="8" t="s">
        <v>31</v>
      </c>
      <c r="T368" s="8" t="s">
        <v>31</v>
      </c>
      <c r="U368" s="8" t="s">
        <v>31</v>
      </c>
      <c r="V368" s="8" t="s">
        <v>31</v>
      </c>
      <c r="W368" s="8" t="str">
        <f>_xlfn.IFNA(VLOOKUP(A368,[1]Sheet1!$A$1:$B$101,1,FALSE),"na")</f>
        <v>na</v>
      </c>
      <c r="X368" s="8" t="s">
        <v>35</v>
      </c>
      <c r="Y368" s="9">
        <v>402</v>
      </c>
      <c r="Z368" s="9">
        <v>177.35267999999999</v>
      </c>
      <c r="AA368" s="9">
        <v>201</v>
      </c>
      <c r="AB368" s="9">
        <v>402</v>
      </c>
    </row>
    <row r="369" spans="1:28" x14ac:dyDescent="0.25">
      <c r="A369" s="8" t="s">
        <v>804</v>
      </c>
      <c r="B369" s="8" t="s">
        <v>805</v>
      </c>
      <c r="C369" s="8" t="s">
        <v>62</v>
      </c>
      <c r="D369" s="10">
        <v>10.1</v>
      </c>
      <c r="E369" s="10">
        <v>7</v>
      </c>
      <c r="F369" s="10">
        <v>3.0999998999999998</v>
      </c>
      <c r="G369" s="10">
        <v>7</v>
      </c>
      <c r="H369" s="10">
        <v>3.0999998999999998</v>
      </c>
      <c r="I369" s="10">
        <v>0</v>
      </c>
      <c r="J369" s="10">
        <v>0</v>
      </c>
      <c r="K369" s="10">
        <v>0</v>
      </c>
      <c r="L369" s="10">
        <v>1</v>
      </c>
      <c r="M369" s="10">
        <v>0</v>
      </c>
      <c r="N369" s="10">
        <v>0.1</v>
      </c>
      <c r="O369" s="8" t="s">
        <v>31</v>
      </c>
      <c r="P369" s="8" t="s">
        <v>31</v>
      </c>
      <c r="Q369" s="8" t="s">
        <v>31</v>
      </c>
      <c r="R369" s="8" t="s">
        <v>31</v>
      </c>
      <c r="S369" s="8" t="s">
        <v>31</v>
      </c>
      <c r="T369" s="8" t="s">
        <v>31</v>
      </c>
      <c r="U369" s="8" t="s">
        <v>31</v>
      </c>
      <c r="V369" s="8" t="s">
        <v>31</v>
      </c>
      <c r="W369" s="8" t="str">
        <f>_xlfn.IFNA(VLOOKUP(A369,[1]Sheet1!$A$1:$B$101,1,FALSE),"na")</f>
        <v>na</v>
      </c>
      <c r="X369" s="8" t="s">
        <v>806</v>
      </c>
      <c r="Y369" s="9">
        <v>1065</v>
      </c>
      <c r="Z369" s="9">
        <v>105.44553999999999</v>
      </c>
      <c r="AA369" s="9">
        <v>152.14285000000001</v>
      </c>
      <c r="AB369" s="9">
        <v>343.54840000000002</v>
      </c>
    </row>
    <row r="370" spans="1:28" x14ac:dyDescent="0.25">
      <c r="A370" s="8" t="s">
        <v>807</v>
      </c>
      <c r="B370" s="8" t="s">
        <v>808</v>
      </c>
      <c r="C370" s="8" t="s">
        <v>67</v>
      </c>
      <c r="D370" s="10">
        <v>2</v>
      </c>
      <c r="E370" s="10">
        <v>1</v>
      </c>
      <c r="F370" s="10">
        <v>1</v>
      </c>
      <c r="G370" s="10">
        <v>1</v>
      </c>
      <c r="H370" s="10">
        <v>1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8" t="s">
        <v>57</v>
      </c>
      <c r="P370" s="8" t="s">
        <v>31</v>
      </c>
      <c r="Q370" s="8" t="s">
        <v>31</v>
      </c>
      <c r="R370" s="8" t="s">
        <v>31</v>
      </c>
      <c r="S370" s="8" t="s">
        <v>31</v>
      </c>
      <c r="T370" s="8" t="s">
        <v>31</v>
      </c>
      <c r="U370" s="8" t="s">
        <v>31</v>
      </c>
      <c r="V370" s="8" t="s">
        <v>31</v>
      </c>
      <c r="W370" s="8" t="str">
        <f>_xlfn.IFNA(VLOOKUP(A370,[1]Sheet1!$A$1:$B$101,1,FALSE),"na")</f>
        <v>na</v>
      </c>
      <c r="X370" s="8" t="s">
        <v>809</v>
      </c>
      <c r="Y370" s="9">
        <v>154</v>
      </c>
      <c r="Z370" s="9">
        <v>77</v>
      </c>
      <c r="AA370" s="9">
        <v>154</v>
      </c>
      <c r="AB370" s="9">
        <v>154</v>
      </c>
    </row>
    <row r="371" spans="1:28" x14ac:dyDescent="0.25">
      <c r="A371" s="8" t="s">
        <v>810</v>
      </c>
      <c r="B371" s="8" t="s">
        <v>811</v>
      </c>
      <c r="C371" s="8" t="s">
        <v>62</v>
      </c>
      <c r="D371" s="10">
        <v>4.0999999000000003</v>
      </c>
      <c r="E371" s="10">
        <v>3</v>
      </c>
      <c r="F371" s="10">
        <v>1.1000000000000001</v>
      </c>
      <c r="G371" s="10">
        <v>3</v>
      </c>
      <c r="H371" s="10">
        <v>1.1000000000000001</v>
      </c>
      <c r="I371" s="10">
        <v>0</v>
      </c>
      <c r="J371" s="10">
        <v>0</v>
      </c>
      <c r="K371" s="10">
        <v>0</v>
      </c>
      <c r="L371" s="10">
        <v>1.1000000000000001</v>
      </c>
      <c r="M371" s="10">
        <v>0</v>
      </c>
      <c r="N371" s="10">
        <v>0.1</v>
      </c>
      <c r="O371" s="8" t="s">
        <v>31</v>
      </c>
      <c r="P371" s="8" t="s">
        <v>31</v>
      </c>
      <c r="Q371" s="8" t="s">
        <v>31</v>
      </c>
      <c r="R371" s="8" t="s">
        <v>31</v>
      </c>
      <c r="S371" s="8" t="s">
        <v>31</v>
      </c>
      <c r="T371" s="8" t="s">
        <v>31</v>
      </c>
      <c r="U371" s="8" t="s">
        <v>31</v>
      </c>
      <c r="V371" s="8" t="s">
        <v>31</v>
      </c>
      <c r="W371" s="8" t="str">
        <f>_xlfn.IFNA(VLOOKUP(A371,[1]Sheet1!$A$1:$B$101,1,FALSE),"na")</f>
        <v>na</v>
      </c>
      <c r="X371" s="8" t="s">
        <v>35</v>
      </c>
      <c r="Y371" s="9">
        <v>366</v>
      </c>
      <c r="Z371" s="9">
        <v>89.268294999999995</v>
      </c>
      <c r="AA371" s="9">
        <v>122</v>
      </c>
      <c r="AB371" s="9">
        <v>332.72726</v>
      </c>
    </row>
    <row r="372" spans="1:28" x14ac:dyDescent="0.25">
      <c r="A372" s="8" t="s">
        <v>812</v>
      </c>
      <c r="B372" s="8" t="s">
        <v>813</v>
      </c>
      <c r="C372" s="8" t="s">
        <v>67</v>
      </c>
      <c r="D372" s="10">
        <v>2</v>
      </c>
      <c r="E372" s="10">
        <v>1</v>
      </c>
      <c r="F372" s="10">
        <v>1</v>
      </c>
      <c r="G372" s="10">
        <v>1</v>
      </c>
      <c r="H372" s="10">
        <v>1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8" t="s">
        <v>31</v>
      </c>
      <c r="P372" s="8" t="s">
        <v>31</v>
      </c>
      <c r="Q372" s="8" t="s">
        <v>31</v>
      </c>
      <c r="R372" s="8" t="s">
        <v>31</v>
      </c>
      <c r="S372" s="8" t="s">
        <v>31</v>
      </c>
      <c r="T372" s="8" t="s">
        <v>31</v>
      </c>
      <c r="U372" s="8" t="s">
        <v>31</v>
      </c>
      <c r="V372" s="8" t="s">
        <v>31</v>
      </c>
      <c r="W372" s="8" t="str">
        <f>_xlfn.IFNA(VLOOKUP(A372,[1]Sheet1!$A$1:$B$101,1,FALSE),"na")</f>
        <v>na</v>
      </c>
      <c r="X372" s="8" t="s">
        <v>35</v>
      </c>
      <c r="Y372" s="9">
        <v>239</v>
      </c>
      <c r="Z372" s="9">
        <v>119.5</v>
      </c>
      <c r="AA372" s="9">
        <v>239</v>
      </c>
      <c r="AB372" s="9">
        <v>239</v>
      </c>
    </row>
    <row r="373" spans="1:28" x14ac:dyDescent="0.25">
      <c r="A373" s="8" t="s">
        <v>814</v>
      </c>
      <c r="B373" s="8" t="s">
        <v>815</v>
      </c>
      <c r="C373" s="8" t="s">
        <v>62</v>
      </c>
      <c r="D373" s="10">
        <v>3.0999998999999998</v>
      </c>
      <c r="E373" s="10">
        <v>2</v>
      </c>
      <c r="F373" s="10">
        <v>1.1000000000000001</v>
      </c>
      <c r="G373" s="10">
        <v>2</v>
      </c>
      <c r="H373" s="10">
        <v>1.1000000000000001</v>
      </c>
      <c r="I373" s="10">
        <v>0</v>
      </c>
      <c r="J373" s="10">
        <v>0</v>
      </c>
      <c r="K373" s="10">
        <v>0</v>
      </c>
      <c r="L373" s="10">
        <v>0.1</v>
      </c>
      <c r="M373" s="10">
        <v>0</v>
      </c>
      <c r="N373" s="10">
        <v>0.1</v>
      </c>
      <c r="O373" s="8" t="s">
        <v>57</v>
      </c>
      <c r="P373" s="8" t="s">
        <v>31</v>
      </c>
      <c r="Q373" s="8" t="s">
        <v>31</v>
      </c>
      <c r="R373" s="8" t="s">
        <v>31</v>
      </c>
      <c r="S373" s="8" t="s">
        <v>31</v>
      </c>
      <c r="T373" s="8" t="s">
        <v>57</v>
      </c>
      <c r="U373" s="8" t="s">
        <v>57</v>
      </c>
      <c r="V373" s="8" t="s">
        <v>31</v>
      </c>
      <c r="W373" s="8" t="str">
        <f>_xlfn.IFNA(VLOOKUP(A373,[1]Sheet1!$A$1:$B$101,1,FALSE),"na")</f>
        <v>na</v>
      </c>
      <c r="X373" s="8" t="s">
        <v>35</v>
      </c>
      <c r="Y373" s="9">
        <v>295</v>
      </c>
      <c r="Z373" s="9">
        <v>95.161293000000001</v>
      </c>
      <c r="AA373" s="9">
        <v>147.5</v>
      </c>
      <c r="AB373" s="9">
        <v>268.18182000000002</v>
      </c>
    </row>
    <row r="374" spans="1:28" x14ac:dyDescent="0.25">
      <c r="A374" s="8" t="s">
        <v>816</v>
      </c>
      <c r="B374" s="8" t="s">
        <v>817</v>
      </c>
      <c r="C374" s="8" t="s">
        <v>67</v>
      </c>
      <c r="D374" s="10">
        <v>4.2666702000000001</v>
      </c>
      <c r="E374" s="10">
        <v>3</v>
      </c>
      <c r="F374" s="10">
        <v>1.26667</v>
      </c>
      <c r="G374" s="10">
        <v>3</v>
      </c>
      <c r="H374" s="10">
        <v>1.26667</v>
      </c>
      <c r="I374" s="10">
        <v>0</v>
      </c>
      <c r="J374" s="10">
        <v>0</v>
      </c>
      <c r="K374" s="10">
        <v>1</v>
      </c>
      <c r="L374" s="10">
        <v>6.6670001000000007E-2</v>
      </c>
      <c r="M374" s="10">
        <v>0</v>
      </c>
      <c r="N374" s="10">
        <v>0.26666999000000002</v>
      </c>
      <c r="O374" s="8" t="s">
        <v>31</v>
      </c>
      <c r="P374" s="8" t="s">
        <v>31</v>
      </c>
      <c r="Q374" s="8" t="s">
        <v>31</v>
      </c>
      <c r="R374" s="8" t="s">
        <v>31</v>
      </c>
      <c r="S374" s="8" t="s">
        <v>31</v>
      </c>
      <c r="T374" s="8" t="s">
        <v>31</v>
      </c>
      <c r="U374" s="8" t="s">
        <v>31</v>
      </c>
      <c r="V374" s="8" t="s">
        <v>31</v>
      </c>
      <c r="W374" s="8" t="str">
        <f>_xlfn.IFNA(VLOOKUP(A374,[1]Sheet1!$A$1:$B$101,1,FALSE),"na")</f>
        <v>na</v>
      </c>
      <c r="X374" s="8" t="s">
        <v>666</v>
      </c>
      <c r="Y374" s="9">
        <v>246</v>
      </c>
      <c r="Z374" s="9">
        <v>57.656199999999998</v>
      </c>
      <c r="AA374" s="9">
        <v>82</v>
      </c>
      <c r="AB374" s="9">
        <v>194.21001999999999</v>
      </c>
    </row>
    <row r="375" spans="1:28" x14ac:dyDescent="0.25">
      <c r="A375" s="8" t="s">
        <v>818</v>
      </c>
      <c r="B375" s="8" t="s">
        <v>819</v>
      </c>
      <c r="C375" s="8" t="s">
        <v>62</v>
      </c>
      <c r="D375" s="10">
        <v>4.1999997999999996</v>
      </c>
      <c r="E375" s="10">
        <v>3</v>
      </c>
      <c r="F375" s="10">
        <v>1.2</v>
      </c>
      <c r="G375" s="10">
        <v>3</v>
      </c>
      <c r="H375" s="10">
        <v>1.2</v>
      </c>
      <c r="I375" s="10">
        <v>0</v>
      </c>
      <c r="J375" s="10">
        <v>0</v>
      </c>
      <c r="K375" s="10">
        <v>1</v>
      </c>
      <c r="L375" s="10">
        <v>0</v>
      </c>
      <c r="M375" s="10">
        <v>0</v>
      </c>
      <c r="N375" s="10">
        <v>0.2</v>
      </c>
      <c r="O375" s="8" t="s">
        <v>31</v>
      </c>
      <c r="P375" s="8" t="s">
        <v>31</v>
      </c>
      <c r="Q375" s="8" t="s">
        <v>31</v>
      </c>
      <c r="R375" s="8" t="s">
        <v>57</v>
      </c>
      <c r="S375" s="8" t="s">
        <v>31</v>
      </c>
      <c r="T375" s="8" t="s">
        <v>57</v>
      </c>
      <c r="U375" s="8" t="s">
        <v>31</v>
      </c>
      <c r="V375" s="8" t="s">
        <v>31</v>
      </c>
      <c r="W375" s="8" t="str">
        <f>_xlfn.IFNA(VLOOKUP(A375,[1]Sheet1!$A$1:$B$101,1,FALSE),"na")</f>
        <v>na</v>
      </c>
      <c r="X375" s="8" t="s">
        <v>35</v>
      </c>
      <c r="Y375" s="9">
        <v>361</v>
      </c>
      <c r="Z375" s="9">
        <v>85.952385000000007</v>
      </c>
      <c r="AA375" s="9">
        <v>120.33334000000001</v>
      </c>
      <c r="AB375" s="9">
        <v>300.83330999999998</v>
      </c>
    </row>
    <row r="376" spans="1:28" x14ac:dyDescent="0.25">
      <c r="A376" s="8" t="s">
        <v>820</v>
      </c>
      <c r="B376" s="8" t="s">
        <v>821</v>
      </c>
      <c r="C376" s="8" t="s">
        <v>62</v>
      </c>
      <c r="D376" s="10">
        <v>1</v>
      </c>
      <c r="E376" s="10">
        <v>0</v>
      </c>
      <c r="F376" s="10">
        <v>1</v>
      </c>
      <c r="G376" s="10">
        <v>0</v>
      </c>
      <c r="H376" s="10">
        <v>1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8" t="s">
        <v>57</v>
      </c>
      <c r="P376" s="8" t="s">
        <v>31</v>
      </c>
      <c r="Q376" s="8" t="s">
        <v>31</v>
      </c>
      <c r="R376" s="8" t="s">
        <v>31</v>
      </c>
      <c r="S376" s="8" t="s">
        <v>31</v>
      </c>
      <c r="T376" s="8" t="s">
        <v>31</v>
      </c>
      <c r="U376" s="8" t="s">
        <v>31</v>
      </c>
      <c r="V376" s="8" t="s">
        <v>31</v>
      </c>
      <c r="W376" s="8" t="str">
        <f>_xlfn.IFNA(VLOOKUP(A376,[1]Sheet1!$A$1:$B$101,1,FALSE),"na")</f>
        <v>na</v>
      </c>
      <c r="X376" s="8" t="s">
        <v>35</v>
      </c>
      <c r="Y376" s="9">
        <v>199</v>
      </c>
      <c r="Z376" s="9">
        <v>199</v>
      </c>
      <c r="AA376" s="9">
        <v>199</v>
      </c>
      <c r="AB376" s="9">
        <v>199</v>
      </c>
    </row>
    <row r="377" spans="1:28" x14ac:dyDescent="0.25">
      <c r="A377" s="8" t="s">
        <v>822</v>
      </c>
      <c r="B377" s="8" t="s">
        <v>823</v>
      </c>
      <c r="C377" s="8" t="s">
        <v>62</v>
      </c>
      <c r="D377" s="10">
        <v>4.0999999000000003</v>
      </c>
      <c r="E377" s="10">
        <v>2</v>
      </c>
      <c r="F377" s="10">
        <v>2.0999998999999998</v>
      </c>
      <c r="G377" s="10">
        <v>2</v>
      </c>
      <c r="H377" s="10">
        <v>2.0999998999999998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0.1</v>
      </c>
      <c r="O377" s="8" t="s">
        <v>31</v>
      </c>
      <c r="P377" s="8" t="s">
        <v>31</v>
      </c>
      <c r="Q377" s="8" t="s">
        <v>31</v>
      </c>
      <c r="R377" s="8" t="s">
        <v>31</v>
      </c>
      <c r="S377" s="8" t="s">
        <v>31</v>
      </c>
      <c r="T377" s="8" t="s">
        <v>57</v>
      </c>
      <c r="U377" s="8" t="s">
        <v>31</v>
      </c>
      <c r="V377" s="8" t="s">
        <v>31</v>
      </c>
      <c r="W377" s="8" t="str">
        <f>_xlfn.IFNA(VLOOKUP(A377,[1]Sheet1!$A$1:$B$101,1,FALSE),"na")</f>
        <v>na</v>
      </c>
      <c r="X377" s="8" t="s">
        <v>35</v>
      </c>
      <c r="Y377" s="9">
        <v>406</v>
      </c>
      <c r="Z377" s="9">
        <v>99.024390999999994</v>
      </c>
      <c r="AA377" s="9">
        <v>203</v>
      </c>
      <c r="AB377" s="9">
        <v>193.33333999999999</v>
      </c>
    </row>
    <row r="378" spans="1:28" x14ac:dyDescent="0.25">
      <c r="A378" s="8" t="s">
        <v>824</v>
      </c>
      <c r="B378" s="8" t="s">
        <v>825</v>
      </c>
      <c r="C378" s="8" t="s">
        <v>62</v>
      </c>
      <c r="D378" s="10">
        <v>4.0999999000000003</v>
      </c>
      <c r="E378" s="10">
        <v>3</v>
      </c>
      <c r="F378" s="10">
        <v>1.1000000000000001</v>
      </c>
      <c r="G378" s="10">
        <v>3</v>
      </c>
      <c r="H378" s="10">
        <v>1.1000000000000001</v>
      </c>
      <c r="I378" s="10">
        <v>0</v>
      </c>
      <c r="J378" s="10">
        <v>0</v>
      </c>
      <c r="K378" s="10">
        <v>0</v>
      </c>
      <c r="L378" s="10">
        <v>0.1</v>
      </c>
      <c r="M378" s="10">
        <v>0</v>
      </c>
      <c r="N378" s="10">
        <v>0.1</v>
      </c>
      <c r="O378" s="8" t="s">
        <v>31</v>
      </c>
      <c r="P378" s="8" t="s">
        <v>31</v>
      </c>
      <c r="Q378" s="8" t="s">
        <v>31</v>
      </c>
      <c r="R378" s="8" t="s">
        <v>31</v>
      </c>
      <c r="S378" s="8" t="s">
        <v>31</v>
      </c>
      <c r="T378" s="8" t="s">
        <v>31</v>
      </c>
      <c r="U378" s="8" t="s">
        <v>31</v>
      </c>
      <c r="V378" s="8" t="s">
        <v>57</v>
      </c>
      <c r="W378" s="8" t="str">
        <f>_xlfn.IFNA(VLOOKUP(A378,[1]Sheet1!$A$1:$B$101,1,FALSE),"na")</f>
        <v>na</v>
      </c>
      <c r="X378" s="8" t="s">
        <v>35</v>
      </c>
      <c r="Y378" s="9">
        <v>410</v>
      </c>
      <c r="Z378" s="9">
        <v>100</v>
      </c>
      <c r="AA378" s="9">
        <v>136.66667000000001</v>
      </c>
      <c r="AB378" s="9">
        <v>372.72726</v>
      </c>
    </row>
    <row r="379" spans="1:28" x14ac:dyDescent="0.25">
      <c r="A379" s="8" t="s">
        <v>826</v>
      </c>
      <c r="B379" s="8" t="s">
        <v>827</v>
      </c>
      <c r="C379" s="8" t="s">
        <v>67</v>
      </c>
      <c r="D379" s="10">
        <v>4.0999999000000003</v>
      </c>
      <c r="E379" s="10">
        <v>3</v>
      </c>
      <c r="F379" s="10">
        <v>1.1000000000000001</v>
      </c>
      <c r="G379" s="10">
        <v>3</v>
      </c>
      <c r="H379" s="10">
        <v>1.1000000000000001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0.1</v>
      </c>
      <c r="O379" s="8" t="s">
        <v>57</v>
      </c>
      <c r="P379" s="8" t="s">
        <v>31</v>
      </c>
      <c r="Q379" s="8" t="s">
        <v>31</v>
      </c>
      <c r="R379" s="8" t="s">
        <v>31</v>
      </c>
      <c r="S379" s="8" t="s">
        <v>31</v>
      </c>
      <c r="T379" s="8" t="s">
        <v>31</v>
      </c>
      <c r="U379" s="8" t="s">
        <v>31</v>
      </c>
      <c r="V379" s="8" t="s">
        <v>31</v>
      </c>
      <c r="W379" s="8" t="str">
        <f>_xlfn.IFNA(VLOOKUP(A379,[1]Sheet1!$A$1:$B$101,1,FALSE),"na")</f>
        <v>na</v>
      </c>
      <c r="X379" s="8" t="s">
        <v>35</v>
      </c>
      <c r="Y379" s="9">
        <v>549</v>
      </c>
      <c r="Z379" s="9">
        <v>133.90244000000001</v>
      </c>
      <c r="AA379" s="9">
        <v>183</v>
      </c>
      <c r="AB379" s="9">
        <v>499.09091000000001</v>
      </c>
    </row>
    <row r="380" spans="1:28" x14ac:dyDescent="0.25">
      <c r="A380" s="8" t="s">
        <v>828</v>
      </c>
      <c r="B380" s="8" t="s">
        <v>829</v>
      </c>
      <c r="C380" s="8" t="s">
        <v>30</v>
      </c>
      <c r="D380" s="10">
        <v>2.4000001000000002</v>
      </c>
      <c r="E380" s="10">
        <v>1</v>
      </c>
      <c r="F380" s="10">
        <v>1.4</v>
      </c>
      <c r="G380" s="10">
        <v>1</v>
      </c>
      <c r="H380" s="10">
        <v>1.4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0.40000001000000002</v>
      </c>
      <c r="O380" s="8" t="s">
        <v>57</v>
      </c>
      <c r="P380" s="8" t="s">
        <v>57</v>
      </c>
      <c r="Q380" s="8" t="s">
        <v>31</v>
      </c>
      <c r="R380" s="8" t="s">
        <v>31</v>
      </c>
      <c r="S380" s="8" t="s">
        <v>31</v>
      </c>
      <c r="T380" s="8" t="s">
        <v>31</v>
      </c>
      <c r="U380" s="8" t="s">
        <v>31</v>
      </c>
      <c r="V380" s="8" t="s">
        <v>31</v>
      </c>
      <c r="W380" s="8" t="str">
        <f>_xlfn.IFNA(VLOOKUP(A380,[1]Sheet1!$A$1:$B$101,1,FALSE),"na")</f>
        <v>na</v>
      </c>
      <c r="X380" s="8" t="s">
        <v>35</v>
      </c>
      <c r="Y380" s="9">
        <v>439</v>
      </c>
      <c r="Z380" s="9">
        <v>182.91666000000001</v>
      </c>
      <c r="AA380" s="9">
        <v>439</v>
      </c>
      <c r="AB380" s="9">
        <v>313.57144</v>
      </c>
    </row>
    <row r="381" spans="1:28" x14ac:dyDescent="0.25">
      <c r="A381" s="8" t="s">
        <v>830</v>
      </c>
      <c r="B381" s="8" t="s">
        <v>831</v>
      </c>
      <c r="C381" s="8" t="s">
        <v>62</v>
      </c>
      <c r="D381" s="10">
        <v>4</v>
      </c>
      <c r="E381" s="10">
        <v>3</v>
      </c>
      <c r="F381" s="10">
        <v>1</v>
      </c>
      <c r="G381" s="10">
        <v>3</v>
      </c>
      <c r="H381" s="10">
        <v>1</v>
      </c>
      <c r="I381" s="10">
        <v>0</v>
      </c>
      <c r="J381" s="10">
        <v>0</v>
      </c>
      <c r="K381" s="10">
        <v>1</v>
      </c>
      <c r="L381" s="10">
        <v>0</v>
      </c>
      <c r="M381" s="10">
        <v>0</v>
      </c>
      <c r="N381" s="10">
        <v>0</v>
      </c>
      <c r="O381" s="8" t="s">
        <v>31</v>
      </c>
      <c r="P381" s="8" t="s">
        <v>31</v>
      </c>
      <c r="Q381" s="8" t="s">
        <v>31</v>
      </c>
      <c r="R381" s="8" t="s">
        <v>31</v>
      </c>
      <c r="S381" s="8" t="s">
        <v>31</v>
      </c>
      <c r="T381" s="8" t="s">
        <v>57</v>
      </c>
      <c r="U381" s="8" t="s">
        <v>31</v>
      </c>
      <c r="V381" s="8" t="s">
        <v>31</v>
      </c>
      <c r="W381" s="8" t="str">
        <f>_xlfn.IFNA(VLOOKUP(A381,[1]Sheet1!$A$1:$B$101,1,FALSE),"na")</f>
        <v>na</v>
      </c>
      <c r="X381" s="8" t="s">
        <v>35</v>
      </c>
      <c r="Y381" s="9">
        <v>248</v>
      </c>
      <c r="Z381" s="9">
        <v>62</v>
      </c>
      <c r="AA381" s="9">
        <v>82.666663999999997</v>
      </c>
      <c r="AB381" s="9">
        <v>248</v>
      </c>
    </row>
    <row r="382" spans="1:28" x14ac:dyDescent="0.25">
      <c r="A382" s="8" t="s">
        <v>832</v>
      </c>
      <c r="B382" s="8" t="s">
        <v>833</v>
      </c>
      <c r="C382" s="8" t="s">
        <v>38</v>
      </c>
      <c r="D382" s="10">
        <v>2.4000001000000002</v>
      </c>
      <c r="E382" s="10">
        <v>2</v>
      </c>
      <c r="F382" s="10">
        <v>0.40000001000000002</v>
      </c>
      <c r="G382" s="10">
        <v>2</v>
      </c>
      <c r="H382" s="10">
        <v>0.40000001000000002</v>
      </c>
      <c r="I382" s="10">
        <v>0</v>
      </c>
      <c r="J382" s="10">
        <v>0</v>
      </c>
      <c r="K382" s="10">
        <v>0</v>
      </c>
      <c r="L382" s="10">
        <v>0.40000001000000002</v>
      </c>
      <c r="M382" s="10">
        <v>0</v>
      </c>
      <c r="N382" s="10">
        <v>0.40000001000000002</v>
      </c>
      <c r="O382" s="8" t="s">
        <v>31</v>
      </c>
      <c r="P382" s="8" t="s">
        <v>31</v>
      </c>
      <c r="Q382" s="8" t="s">
        <v>31</v>
      </c>
      <c r="R382" s="8" t="s">
        <v>31</v>
      </c>
      <c r="S382" s="8" t="s">
        <v>31</v>
      </c>
      <c r="T382" s="8" t="s">
        <v>31</v>
      </c>
      <c r="U382" s="8" t="s">
        <v>31</v>
      </c>
      <c r="V382" s="8" t="s">
        <v>31</v>
      </c>
      <c r="W382" s="8" t="str">
        <f>_xlfn.IFNA(VLOOKUP(A382,[1]Sheet1!$A$1:$B$101,1,FALSE),"na")</f>
        <v>na</v>
      </c>
      <c r="X382" s="8" t="s">
        <v>35</v>
      </c>
      <c r="Y382" s="9">
        <v>229</v>
      </c>
      <c r="Z382" s="9">
        <v>95.416663999999997</v>
      </c>
      <c r="AA382" s="9">
        <v>114.5</v>
      </c>
      <c r="AB382" s="9">
        <v>229</v>
      </c>
    </row>
    <row r="383" spans="1:28" x14ac:dyDescent="0.25">
      <c r="A383" s="8" t="s">
        <v>834</v>
      </c>
      <c r="B383" s="8" t="s">
        <v>835</v>
      </c>
      <c r="C383" s="8" t="s">
        <v>30</v>
      </c>
      <c r="D383" s="10">
        <v>2.5999998999999998</v>
      </c>
      <c r="E383" s="10">
        <v>1</v>
      </c>
      <c r="F383" s="10">
        <v>1.6</v>
      </c>
      <c r="G383" s="10">
        <v>1</v>
      </c>
      <c r="H383" s="10">
        <v>1.6</v>
      </c>
      <c r="I383" s="10">
        <v>0</v>
      </c>
      <c r="J383" s="10">
        <v>0</v>
      </c>
      <c r="K383" s="10">
        <v>0</v>
      </c>
      <c r="L383" s="10">
        <v>0.60000001999999997</v>
      </c>
      <c r="M383" s="10">
        <v>0</v>
      </c>
      <c r="N383" s="10">
        <v>0.60000001999999997</v>
      </c>
      <c r="O383" s="8" t="s">
        <v>57</v>
      </c>
      <c r="P383" s="8" t="s">
        <v>31</v>
      </c>
      <c r="Q383" s="8" t="s">
        <v>31</v>
      </c>
      <c r="R383" s="8" t="s">
        <v>31</v>
      </c>
      <c r="S383" s="8" t="s">
        <v>31</v>
      </c>
      <c r="T383" s="8" t="s">
        <v>31</v>
      </c>
      <c r="U383" s="8" t="s">
        <v>31</v>
      </c>
      <c r="V383" s="8" t="s">
        <v>31</v>
      </c>
      <c r="W383" s="8" t="str">
        <f>_xlfn.IFNA(VLOOKUP(A383,[1]Sheet1!$A$1:$B$101,1,FALSE),"na")</f>
        <v>na</v>
      </c>
      <c r="X383" s="8" t="s">
        <v>35</v>
      </c>
      <c r="Y383" s="9">
        <v>389</v>
      </c>
      <c r="Z383" s="9">
        <v>149.61538999999999</v>
      </c>
      <c r="AA383" s="9">
        <v>389</v>
      </c>
      <c r="AB383" s="9">
        <v>243.125</v>
      </c>
    </row>
    <row r="384" spans="1:28" x14ac:dyDescent="0.25">
      <c r="A384" s="8" t="s">
        <v>836</v>
      </c>
      <c r="B384" s="8" t="s">
        <v>837</v>
      </c>
      <c r="C384" s="8" t="s">
        <v>67</v>
      </c>
      <c r="D384" s="10">
        <v>2.0999998999999998</v>
      </c>
      <c r="E384" s="10">
        <v>2</v>
      </c>
      <c r="F384" s="10">
        <v>0.1</v>
      </c>
      <c r="G384" s="10">
        <v>2</v>
      </c>
      <c r="H384" s="10">
        <v>0.1</v>
      </c>
      <c r="I384" s="10">
        <v>0</v>
      </c>
      <c r="J384" s="10">
        <v>0</v>
      </c>
      <c r="K384" s="10">
        <v>0</v>
      </c>
      <c r="L384" s="10">
        <v>0.1</v>
      </c>
      <c r="M384" s="10">
        <v>0</v>
      </c>
      <c r="N384" s="10">
        <v>0.1</v>
      </c>
      <c r="O384" s="8" t="s">
        <v>31</v>
      </c>
      <c r="P384" s="8" t="s">
        <v>31</v>
      </c>
      <c r="Q384" s="8" t="s">
        <v>31</v>
      </c>
      <c r="R384" s="8" t="s">
        <v>31</v>
      </c>
      <c r="S384" s="8" t="s">
        <v>31</v>
      </c>
      <c r="T384" s="8" t="s">
        <v>31</v>
      </c>
      <c r="U384" s="8" t="s">
        <v>31</v>
      </c>
      <c r="V384" s="8" t="s">
        <v>31</v>
      </c>
      <c r="W384" s="8" t="str">
        <f>_xlfn.IFNA(VLOOKUP(A384,[1]Sheet1!$A$1:$B$101,1,FALSE),"na")</f>
        <v>na</v>
      </c>
      <c r="X384" s="8" t="s">
        <v>751</v>
      </c>
      <c r="Y384" s="9">
        <v>272</v>
      </c>
      <c r="Z384" s="9">
        <v>129.52382</v>
      </c>
      <c r="AA384" s="9">
        <v>136</v>
      </c>
      <c r="AB384" s="9">
        <v>272</v>
      </c>
    </row>
    <row r="385" spans="1:28" x14ac:dyDescent="0.25">
      <c r="A385" s="8" t="s">
        <v>838</v>
      </c>
      <c r="B385" s="8" t="s">
        <v>839</v>
      </c>
      <c r="C385" s="8" t="s">
        <v>30</v>
      </c>
      <c r="D385" s="10">
        <v>3.8</v>
      </c>
      <c r="E385" s="10">
        <v>2</v>
      </c>
      <c r="F385" s="10">
        <v>1.8</v>
      </c>
      <c r="G385" s="10">
        <v>2</v>
      </c>
      <c r="H385" s="10">
        <v>1.8</v>
      </c>
      <c r="I385" s="10">
        <v>0</v>
      </c>
      <c r="J385" s="10">
        <v>0</v>
      </c>
      <c r="K385" s="10">
        <v>0</v>
      </c>
      <c r="L385" s="10">
        <v>0.40000001000000002</v>
      </c>
      <c r="M385" s="10">
        <v>0</v>
      </c>
      <c r="N385" s="10">
        <v>0.80000000999999998</v>
      </c>
      <c r="O385" s="8" t="s">
        <v>31</v>
      </c>
      <c r="P385" s="8" t="s">
        <v>31</v>
      </c>
      <c r="Q385" s="8" t="s">
        <v>57</v>
      </c>
      <c r="R385" s="8" t="s">
        <v>31</v>
      </c>
      <c r="S385" s="8" t="s">
        <v>31</v>
      </c>
      <c r="T385" s="8" t="s">
        <v>31</v>
      </c>
      <c r="U385" s="8" t="s">
        <v>31</v>
      </c>
      <c r="V385" s="8" t="s">
        <v>31</v>
      </c>
      <c r="W385" s="8" t="str">
        <f>_xlfn.IFNA(VLOOKUP(A385,[1]Sheet1!$A$1:$B$101,1,FALSE),"na")</f>
        <v>na</v>
      </c>
      <c r="X385" s="8" t="s">
        <v>51</v>
      </c>
      <c r="Y385" s="9">
        <v>575</v>
      </c>
      <c r="Z385" s="9">
        <v>151.3158</v>
      </c>
      <c r="AA385" s="9">
        <v>287.5</v>
      </c>
      <c r="AB385" s="9">
        <v>319.44445999999999</v>
      </c>
    </row>
    <row r="386" spans="1:28" x14ac:dyDescent="0.25">
      <c r="A386" s="8" t="s">
        <v>840</v>
      </c>
      <c r="B386" s="8" t="s">
        <v>841</v>
      </c>
      <c r="C386" s="8" t="s">
        <v>30</v>
      </c>
      <c r="D386" s="10">
        <v>2.8</v>
      </c>
      <c r="E386" s="10">
        <v>1</v>
      </c>
      <c r="F386" s="10">
        <v>1.8</v>
      </c>
      <c r="G386" s="10">
        <v>1</v>
      </c>
      <c r="H386" s="10">
        <v>1.8</v>
      </c>
      <c r="I386" s="10">
        <v>0</v>
      </c>
      <c r="J386" s="10">
        <v>0</v>
      </c>
      <c r="K386" s="10">
        <v>0</v>
      </c>
      <c r="L386" s="10">
        <v>0.80000000999999998</v>
      </c>
      <c r="M386" s="10">
        <v>0</v>
      </c>
      <c r="N386" s="10">
        <v>0.80000000999999998</v>
      </c>
      <c r="O386" s="8" t="s">
        <v>31</v>
      </c>
      <c r="P386" s="8" t="s">
        <v>31</v>
      </c>
      <c r="Q386" s="8" t="s">
        <v>57</v>
      </c>
      <c r="R386" s="8" t="s">
        <v>31</v>
      </c>
      <c r="S386" s="8" t="s">
        <v>31</v>
      </c>
      <c r="T386" s="8" t="s">
        <v>31</v>
      </c>
      <c r="U386" s="8" t="s">
        <v>31</v>
      </c>
      <c r="V386" s="8" t="s">
        <v>31</v>
      </c>
      <c r="W386" s="8" t="str">
        <f>_xlfn.IFNA(VLOOKUP(A386,[1]Sheet1!$A$1:$B$101,1,FALSE),"na")</f>
        <v>na</v>
      </c>
      <c r="X386" s="8" t="s">
        <v>35</v>
      </c>
      <c r="Y386" s="9">
        <v>364</v>
      </c>
      <c r="Z386" s="9">
        <v>130</v>
      </c>
      <c r="AA386" s="9">
        <v>364</v>
      </c>
      <c r="AB386" s="9">
        <v>202.22223</v>
      </c>
    </row>
    <row r="387" spans="1:28" x14ac:dyDescent="0.25">
      <c r="A387" s="8" t="s">
        <v>842</v>
      </c>
      <c r="B387" s="8" t="s">
        <v>843</v>
      </c>
      <c r="C387" s="8" t="s">
        <v>30</v>
      </c>
      <c r="D387" s="10">
        <v>3.3</v>
      </c>
      <c r="E387" s="10">
        <v>1</v>
      </c>
      <c r="F387" s="10">
        <v>2.2999999999999998</v>
      </c>
      <c r="G387" s="10">
        <v>1</v>
      </c>
      <c r="H387" s="10">
        <v>2.2999999999999998</v>
      </c>
      <c r="I387" s="10">
        <v>0</v>
      </c>
      <c r="J387" s="10">
        <v>0</v>
      </c>
      <c r="K387" s="10">
        <v>0</v>
      </c>
      <c r="L387" s="10">
        <v>0.30000000999999998</v>
      </c>
      <c r="M387" s="10">
        <v>0</v>
      </c>
      <c r="N387" s="10">
        <v>0.30000000999999998</v>
      </c>
      <c r="O387" s="8" t="s">
        <v>31</v>
      </c>
      <c r="P387" s="8" t="s">
        <v>31</v>
      </c>
      <c r="Q387" s="8" t="s">
        <v>31</v>
      </c>
      <c r="R387" s="8" t="s">
        <v>31</v>
      </c>
      <c r="S387" s="8" t="s">
        <v>31</v>
      </c>
      <c r="T387" s="8" t="s">
        <v>31</v>
      </c>
      <c r="U387" s="8" t="s">
        <v>31</v>
      </c>
      <c r="V387" s="8" t="s">
        <v>31</v>
      </c>
      <c r="W387" s="8" t="str">
        <f>_xlfn.IFNA(VLOOKUP(A387,[1]Sheet1!$A$1:$B$101,1,FALSE),"na")</f>
        <v>na</v>
      </c>
      <c r="X387" s="8" t="s">
        <v>844</v>
      </c>
      <c r="Y387" s="9">
        <v>331</v>
      </c>
      <c r="Z387" s="9">
        <v>100.30303000000001</v>
      </c>
      <c r="AA387" s="9">
        <v>331</v>
      </c>
      <c r="AB387" s="9">
        <v>143.91304</v>
      </c>
    </row>
    <row r="388" spans="1:28" x14ac:dyDescent="0.25">
      <c r="A388" s="8" t="s">
        <v>845</v>
      </c>
      <c r="B388" s="8" t="s">
        <v>846</v>
      </c>
      <c r="C388" s="8" t="s">
        <v>30</v>
      </c>
      <c r="D388" s="10">
        <v>4.5999999000000003</v>
      </c>
      <c r="E388" s="10">
        <v>2</v>
      </c>
      <c r="F388" s="10">
        <v>2.5999998999999998</v>
      </c>
      <c r="G388" s="10">
        <v>2</v>
      </c>
      <c r="H388" s="10">
        <v>2.5999998999999998</v>
      </c>
      <c r="I388" s="10">
        <v>0</v>
      </c>
      <c r="J388" s="10">
        <v>0</v>
      </c>
      <c r="K388" s="10">
        <v>0</v>
      </c>
      <c r="L388" s="10">
        <v>0.40000001000000002</v>
      </c>
      <c r="M388" s="10">
        <v>0</v>
      </c>
      <c r="N388" s="10">
        <v>0.60000001999999997</v>
      </c>
      <c r="O388" s="8" t="s">
        <v>31</v>
      </c>
      <c r="P388" s="8" t="s">
        <v>31</v>
      </c>
      <c r="Q388" s="8" t="s">
        <v>57</v>
      </c>
      <c r="R388" s="8" t="s">
        <v>31</v>
      </c>
      <c r="S388" s="8" t="s">
        <v>31</v>
      </c>
      <c r="T388" s="8" t="s">
        <v>31</v>
      </c>
      <c r="U388" s="8" t="s">
        <v>31</v>
      </c>
      <c r="V388" s="8" t="s">
        <v>31</v>
      </c>
      <c r="W388" s="8" t="str">
        <f>_xlfn.IFNA(VLOOKUP(A388,[1]Sheet1!$A$1:$B$101,1,FALSE),"na")</f>
        <v>na</v>
      </c>
      <c r="X388" s="8" t="s">
        <v>35</v>
      </c>
      <c r="Y388" s="9">
        <v>613</v>
      </c>
      <c r="Z388" s="9">
        <v>133.26087999999999</v>
      </c>
      <c r="AA388" s="9">
        <v>306.5</v>
      </c>
      <c r="AB388" s="9">
        <v>235.76924</v>
      </c>
    </row>
    <row r="389" spans="1:28" x14ac:dyDescent="0.25">
      <c r="A389" s="8" t="s">
        <v>847</v>
      </c>
      <c r="B389" s="8" t="s">
        <v>848</v>
      </c>
      <c r="C389" s="8" t="s">
        <v>30</v>
      </c>
      <c r="D389" s="10">
        <v>2.5999998999999998</v>
      </c>
      <c r="E389" s="10">
        <v>2</v>
      </c>
      <c r="F389" s="10">
        <v>0.60000001999999997</v>
      </c>
      <c r="G389" s="10">
        <v>2</v>
      </c>
      <c r="H389" s="10">
        <v>0.60000001999999997</v>
      </c>
      <c r="I389" s="10">
        <v>0</v>
      </c>
      <c r="J389" s="10">
        <v>0</v>
      </c>
      <c r="K389" s="10">
        <v>0</v>
      </c>
      <c r="L389" s="10">
        <v>0.60000001999999997</v>
      </c>
      <c r="M389" s="10">
        <v>0</v>
      </c>
      <c r="N389" s="10">
        <v>0.60000001999999997</v>
      </c>
      <c r="O389" s="8" t="s">
        <v>31</v>
      </c>
      <c r="P389" s="8" t="s">
        <v>31</v>
      </c>
      <c r="Q389" s="8" t="s">
        <v>31</v>
      </c>
      <c r="R389" s="8" t="s">
        <v>31</v>
      </c>
      <c r="S389" s="8" t="s">
        <v>31</v>
      </c>
      <c r="T389" s="8" t="s">
        <v>31</v>
      </c>
      <c r="U389" s="8" t="s">
        <v>31</v>
      </c>
      <c r="V389" s="8" t="s">
        <v>31</v>
      </c>
      <c r="W389" s="8" t="str">
        <f>_xlfn.IFNA(VLOOKUP(A389,[1]Sheet1!$A$1:$B$101,1,FALSE),"na")</f>
        <v>na</v>
      </c>
      <c r="X389" s="8" t="s">
        <v>849</v>
      </c>
      <c r="Y389" s="9">
        <v>513</v>
      </c>
      <c r="Z389" s="9">
        <v>197.30769000000001</v>
      </c>
      <c r="AA389" s="9">
        <v>256.5</v>
      </c>
      <c r="AB389" s="9">
        <v>513</v>
      </c>
    </row>
    <row r="390" spans="1:28" x14ac:dyDescent="0.25">
      <c r="A390" s="8" t="s">
        <v>850</v>
      </c>
      <c r="B390" s="8" t="s">
        <v>851</v>
      </c>
      <c r="C390" s="8" t="s">
        <v>30</v>
      </c>
      <c r="D390" s="10">
        <v>2.5999998999999998</v>
      </c>
      <c r="E390" s="10">
        <v>1</v>
      </c>
      <c r="F390" s="10">
        <v>1.6</v>
      </c>
      <c r="G390" s="10">
        <v>1</v>
      </c>
      <c r="H390" s="10">
        <v>1.6</v>
      </c>
      <c r="I390" s="10">
        <v>0</v>
      </c>
      <c r="J390" s="10">
        <v>0</v>
      </c>
      <c r="K390" s="10">
        <v>1</v>
      </c>
      <c r="L390" s="10">
        <v>1.6</v>
      </c>
      <c r="M390" s="10">
        <v>0</v>
      </c>
      <c r="N390" s="10">
        <v>0.60000001999999997</v>
      </c>
      <c r="O390" s="8" t="s">
        <v>57</v>
      </c>
      <c r="P390" s="8" t="s">
        <v>31</v>
      </c>
      <c r="Q390" s="8" t="s">
        <v>31</v>
      </c>
      <c r="R390" s="8" t="s">
        <v>31</v>
      </c>
      <c r="S390" s="8" t="s">
        <v>31</v>
      </c>
      <c r="T390" s="8" t="s">
        <v>31</v>
      </c>
      <c r="U390" s="8" t="s">
        <v>31</v>
      </c>
      <c r="V390" s="8" t="s">
        <v>31</v>
      </c>
      <c r="W390" s="8" t="str">
        <f>_xlfn.IFNA(VLOOKUP(A390,[1]Sheet1!$A$1:$B$101,1,FALSE),"na")</f>
        <v>na</v>
      </c>
      <c r="X390" s="8" t="s">
        <v>844</v>
      </c>
      <c r="Y390" s="9">
        <v>262</v>
      </c>
      <c r="Z390" s="9">
        <v>100.76922999999999</v>
      </c>
      <c r="AA390" s="9">
        <v>262</v>
      </c>
      <c r="AB390" s="9">
        <v>163.75</v>
      </c>
    </row>
    <row r="391" spans="1:28" x14ac:dyDescent="0.25">
      <c r="A391" s="8" t="s">
        <v>852</v>
      </c>
      <c r="B391" s="8" t="s">
        <v>853</v>
      </c>
      <c r="C391" s="8" t="s">
        <v>30</v>
      </c>
      <c r="D391" s="10">
        <v>1.8</v>
      </c>
      <c r="E391" s="10">
        <v>1</v>
      </c>
      <c r="F391" s="10">
        <v>0.80000000999999998</v>
      </c>
      <c r="G391" s="10">
        <v>1</v>
      </c>
      <c r="H391" s="10">
        <v>0.80000000999999998</v>
      </c>
      <c r="I391" s="10">
        <v>0</v>
      </c>
      <c r="J391" s="10">
        <v>0</v>
      </c>
      <c r="K391" s="10">
        <v>0</v>
      </c>
      <c r="L391" s="10">
        <v>0.80000000999999998</v>
      </c>
      <c r="M391" s="10">
        <v>0</v>
      </c>
      <c r="N391" s="10">
        <v>0.80000000999999998</v>
      </c>
      <c r="O391" s="8" t="s">
        <v>31</v>
      </c>
      <c r="P391" s="8" t="s">
        <v>31</v>
      </c>
      <c r="Q391" s="8" t="s">
        <v>31</v>
      </c>
      <c r="R391" s="8" t="s">
        <v>31</v>
      </c>
      <c r="S391" s="8" t="s">
        <v>31</v>
      </c>
      <c r="T391" s="8" t="s">
        <v>31</v>
      </c>
      <c r="U391" s="8" t="s">
        <v>31</v>
      </c>
      <c r="V391" s="8" t="s">
        <v>31</v>
      </c>
      <c r="W391" s="8" t="str">
        <f>_xlfn.IFNA(VLOOKUP(A391,[1]Sheet1!$A$1:$B$101,1,FALSE),"na")</f>
        <v>na</v>
      </c>
      <c r="X391" s="8" t="s">
        <v>35</v>
      </c>
      <c r="Y391" s="9">
        <v>382</v>
      </c>
      <c r="Z391" s="9">
        <v>212.22223</v>
      </c>
      <c r="AA391" s="9">
        <v>382</v>
      </c>
      <c r="AB391" s="9">
        <v>382</v>
      </c>
    </row>
    <row r="392" spans="1:28" x14ac:dyDescent="0.25">
      <c r="A392" s="8" t="s">
        <v>854</v>
      </c>
      <c r="B392" s="8" t="s">
        <v>855</v>
      </c>
      <c r="C392" s="8" t="s">
        <v>30</v>
      </c>
      <c r="D392" s="10">
        <v>8</v>
      </c>
      <c r="E392" s="10">
        <v>4</v>
      </c>
      <c r="F392" s="10">
        <v>4</v>
      </c>
      <c r="G392" s="10">
        <v>4</v>
      </c>
      <c r="H392" s="10">
        <v>4</v>
      </c>
      <c r="I392" s="10">
        <v>0</v>
      </c>
      <c r="J392" s="10">
        <v>0</v>
      </c>
      <c r="K392" s="10">
        <v>0</v>
      </c>
      <c r="L392" s="10">
        <v>1</v>
      </c>
      <c r="M392" s="10">
        <v>0</v>
      </c>
      <c r="N392" s="10">
        <v>1</v>
      </c>
      <c r="O392" s="8" t="s">
        <v>31</v>
      </c>
      <c r="P392" s="8" t="s">
        <v>31</v>
      </c>
      <c r="Q392" s="8" t="s">
        <v>57</v>
      </c>
      <c r="R392" s="8" t="s">
        <v>31</v>
      </c>
      <c r="S392" s="8" t="s">
        <v>31</v>
      </c>
      <c r="T392" s="8" t="s">
        <v>31</v>
      </c>
      <c r="U392" s="8" t="s">
        <v>31</v>
      </c>
      <c r="V392" s="8" t="s">
        <v>31</v>
      </c>
      <c r="W392" s="8" t="str">
        <f>_xlfn.IFNA(VLOOKUP(A392,[1]Sheet1!$A$1:$B$101,1,FALSE),"na")</f>
        <v>na</v>
      </c>
      <c r="X392" s="8" t="s">
        <v>35</v>
      </c>
      <c r="Y392" s="9">
        <v>741</v>
      </c>
      <c r="Z392" s="9">
        <v>92.625</v>
      </c>
      <c r="AA392" s="9">
        <v>185.25</v>
      </c>
      <c r="AB392" s="9">
        <v>185.25</v>
      </c>
    </row>
    <row r="393" spans="1:28" x14ac:dyDescent="0.25">
      <c r="A393" s="8" t="s">
        <v>856</v>
      </c>
      <c r="B393" s="8" t="s">
        <v>857</v>
      </c>
      <c r="C393" s="8" t="s">
        <v>30</v>
      </c>
      <c r="D393" s="10">
        <v>3.5999998999999998</v>
      </c>
      <c r="E393" s="10">
        <v>2</v>
      </c>
      <c r="F393" s="10">
        <v>1.6</v>
      </c>
      <c r="G393" s="10">
        <v>2</v>
      </c>
      <c r="H393" s="10">
        <v>1.6</v>
      </c>
      <c r="I393" s="10">
        <v>0</v>
      </c>
      <c r="J393" s="10">
        <v>0</v>
      </c>
      <c r="K393" s="10">
        <v>1</v>
      </c>
      <c r="L393" s="10">
        <v>0.60000001999999997</v>
      </c>
      <c r="M393" s="10">
        <v>0</v>
      </c>
      <c r="N393" s="10">
        <v>0.60000001999999997</v>
      </c>
      <c r="O393" s="8" t="s">
        <v>31</v>
      </c>
      <c r="P393" s="8" t="s">
        <v>31</v>
      </c>
      <c r="Q393" s="8" t="s">
        <v>57</v>
      </c>
      <c r="R393" s="8" t="s">
        <v>31</v>
      </c>
      <c r="S393" s="8" t="s">
        <v>31</v>
      </c>
      <c r="T393" s="8" t="s">
        <v>31</v>
      </c>
      <c r="U393" s="8" t="s">
        <v>31</v>
      </c>
      <c r="V393" s="8" t="s">
        <v>31</v>
      </c>
      <c r="W393" s="8" t="str">
        <f>_xlfn.IFNA(VLOOKUP(A393,[1]Sheet1!$A$1:$B$101,1,FALSE),"na")</f>
        <v>na</v>
      </c>
      <c r="X393" s="8" t="s">
        <v>35</v>
      </c>
      <c r="Y393" s="9">
        <v>286</v>
      </c>
      <c r="Z393" s="9">
        <v>79.444443000000007</v>
      </c>
      <c r="AA393" s="9">
        <v>143</v>
      </c>
      <c r="AB393" s="9">
        <v>178.75</v>
      </c>
    </row>
    <row r="394" spans="1:28" x14ac:dyDescent="0.25">
      <c r="A394" s="8" t="s">
        <v>858</v>
      </c>
      <c r="B394" s="8" t="s">
        <v>859</v>
      </c>
      <c r="C394" s="8" t="s">
        <v>444</v>
      </c>
      <c r="D394" s="10">
        <v>1.2</v>
      </c>
      <c r="E394" s="10">
        <v>0</v>
      </c>
      <c r="F394" s="10">
        <v>1.2</v>
      </c>
      <c r="G394" s="10">
        <v>0</v>
      </c>
      <c r="H394" s="10">
        <v>1.2</v>
      </c>
      <c r="I394" s="10">
        <v>0</v>
      </c>
      <c r="J394" s="10">
        <v>0</v>
      </c>
      <c r="K394" s="10">
        <v>0</v>
      </c>
      <c r="L394" s="10">
        <v>0.2</v>
      </c>
      <c r="M394" s="10">
        <v>0</v>
      </c>
      <c r="N394" s="10">
        <v>0.2</v>
      </c>
      <c r="O394" s="8" t="s">
        <v>57</v>
      </c>
      <c r="P394" s="8" t="s">
        <v>31</v>
      </c>
      <c r="Q394" s="8" t="s">
        <v>31</v>
      </c>
      <c r="R394" s="8" t="s">
        <v>31</v>
      </c>
      <c r="S394" s="8" t="s">
        <v>31</v>
      </c>
      <c r="T394" s="8" t="s">
        <v>31</v>
      </c>
      <c r="U394" s="8" t="s">
        <v>31</v>
      </c>
      <c r="V394" s="8" t="s">
        <v>31</v>
      </c>
      <c r="W394" s="8" t="str">
        <f>_xlfn.IFNA(VLOOKUP(A394,[1]Sheet1!$A$1:$B$101,1,FALSE),"na")</f>
        <v>na</v>
      </c>
      <c r="X394" s="8" t="s">
        <v>35</v>
      </c>
      <c r="Y394" s="9">
        <v>83</v>
      </c>
      <c r="Z394" s="9">
        <v>83</v>
      </c>
      <c r="AA394" s="9">
        <v>83</v>
      </c>
      <c r="AB394" s="9">
        <v>83</v>
      </c>
    </row>
    <row r="395" spans="1:28" x14ac:dyDescent="0.25">
      <c r="A395" s="8" t="s">
        <v>860</v>
      </c>
      <c r="B395" s="8" t="s">
        <v>861</v>
      </c>
      <c r="C395" s="8" t="s">
        <v>30</v>
      </c>
      <c r="D395" s="10">
        <v>2.5999998999999998</v>
      </c>
      <c r="E395" s="10">
        <v>1</v>
      </c>
      <c r="F395" s="10">
        <v>1.6</v>
      </c>
      <c r="G395" s="10">
        <v>1</v>
      </c>
      <c r="H395" s="10">
        <v>1.6</v>
      </c>
      <c r="I395" s="10">
        <v>0</v>
      </c>
      <c r="J395" s="10">
        <v>0</v>
      </c>
      <c r="K395" s="10">
        <v>0</v>
      </c>
      <c r="L395" s="10">
        <v>0.60000001999999997</v>
      </c>
      <c r="M395" s="10">
        <v>0</v>
      </c>
      <c r="N395" s="10">
        <v>0.60000001999999997</v>
      </c>
      <c r="O395" s="8" t="s">
        <v>31</v>
      </c>
      <c r="P395" s="8" t="s">
        <v>31</v>
      </c>
      <c r="Q395" s="8" t="s">
        <v>31</v>
      </c>
      <c r="R395" s="8" t="s">
        <v>31</v>
      </c>
      <c r="S395" s="8" t="s">
        <v>31</v>
      </c>
      <c r="T395" s="8" t="s">
        <v>31</v>
      </c>
      <c r="U395" s="8" t="s">
        <v>31</v>
      </c>
      <c r="V395" s="8" t="s">
        <v>31</v>
      </c>
      <c r="W395" s="8" t="str">
        <f>_xlfn.IFNA(VLOOKUP(A395,[1]Sheet1!$A$1:$B$101,1,FALSE),"na")</f>
        <v>na</v>
      </c>
      <c r="X395" s="8" t="s">
        <v>35</v>
      </c>
      <c r="Y395" s="9">
        <v>438</v>
      </c>
      <c r="Z395" s="9">
        <v>168.46154999999999</v>
      </c>
      <c r="AA395" s="9">
        <v>438</v>
      </c>
      <c r="AB395" s="9">
        <v>273.75</v>
      </c>
    </row>
    <row r="396" spans="1:28" x14ac:dyDescent="0.25">
      <c r="A396" s="8" t="s">
        <v>862</v>
      </c>
      <c r="B396" s="8" t="s">
        <v>863</v>
      </c>
      <c r="C396" s="8" t="s">
        <v>30</v>
      </c>
      <c r="D396" s="10">
        <v>2.2999999999999998</v>
      </c>
      <c r="E396" s="10">
        <v>1</v>
      </c>
      <c r="F396" s="10">
        <v>1.3</v>
      </c>
      <c r="G396" s="10">
        <v>1</v>
      </c>
      <c r="H396" s="10">
        <v>1.3</v>
      </c>
      <c r="I396" s="10">
        <v>0</v>
      </c>
      <c r="J396" s="10">
        <v>0</v>
      </c>
      <c r="K396" s="10">
        <v>0</v>
      </c>
      <c r="L396" s="10">
        <v>0.1</v>
      </c>
      <c r="M396" s="10">
        <v>0</v>
      </c>
      <c r="N396" s="10">
        <v>0.30000000999999998</v>
      </c>
      <c r="O396" s="8" t="s">
        <v>31</v>
      </c>
      <c r="P396" s="8" t="s">
        <v>31</v>
      </c>
      <c r="Q396" s="8" t="s">
        <v>31</v>
      </c>
      <c r="R396" s="8" t="s">
        <v>31</v>
      </c>
      <c r="S396" s="8" t="s">
        <v>31</v>
      </c>
      <c r="T396" s="8" t="s">
        <v>31</v>
      </c>
      <c r="U396" s="8" t="s">
        <v>31</v>
      </c>
      <c r="V396" s="8" t="s">
        <v>31</v>
      </c>
      <c r="W396" s="8" t="str">
        <f>_xlfn.IFNA(VLOOKUP(A396,[1]Sheet1!$A$1:$B$101,1,FALSE),"na")</f>
        <v>na</v>
      </c>
      <c r="X396" s="8" t="s">
        <v>35</v>
      </c>
      <c r="Y396" s="9">
        <v>279</v>
      </c>
      <c r="Z396" s="9">
        <v>121.30435</v>
      </c>
      <c r="AA396" s="9">
        <v>279</v>
      </c>
      <c r="AB396" s="9">
        <v>214.61538999999999</v>
      </c>
    </row>
    <row r="397" spans="1:28" x14ac:dyDescent="0.25">
      <c r="A397" s="8" t="s">
        <v>864</v>
      </c>
      <c r="B397" s="8" t="s">
        <v>865</v>
      </c>
      <c r="C397" s="8" t="s">
        <v>30</v>
      </c>
      <c r="D397" s="10">
        <v>2.8</v>
      </c>
      <c r="E397" s="10">
        <v>1</v>
      </c>
      <c r="F397" s="10">
        <v>1.8</v>
      </c>
      <c r="G397" s="10">
        <v>1</v>
      </c>
      <c r="H397" s="10">
        <v>1.8</v>
      </c>
      <c r="I397" s="10">
        <v>0</v>
      </c>
      <c r="J397" s="10">
        <v>0</v>
      </c>
      <c r="K397" s="10">
        <v>0</v>
      </c>
      <c r="L397" s="10">
        <v>0.40000001000000002</v>
      </c>
      <c r="M397" s="10">
        <v>0</v>
      </c>
      <c r="N397" s="10">
        <v>0.80000000999999998</v>
      </c>
      <c r="O397" s="8" t="s">
        <v>31</v>
      </c>
      <c r="P397" s="8" t="s">
        <v>31</v>
      </c>
      <c r="Q397" s="8" t="s">
        <v>57</v>
      </c>
      <c r="R397" s="8" t="s">
        <v>31</v>
      </c>
      <c r="S397" s="8" t="s">
        <v>31</v>
      </c>
      <c r="T397" s="8" t="s">
        <v>31</v>
      </c>
      <c r="U397" s="8" t="s">
        <v>31</v>
      </c>
      <c r="V397" s="8" t="s">
        <v>31</v>
      </c>
      <c r="W397" s="8" t="str">
        <f>_xlfn.IFNA(VLOOKUP(A397,[1]Sheet1!$A$1:$B$101,1,FALSE),"na")</f>
        <v>na</v>
      </c>
      <c r="X397" s="8" t="s">
        <v>35</v>
      </c>
      <c r="Y397" s="9">
        <v>461</v>
      </c>
      <c r="Z397" s="9">
        <v>164.64285000000001</v>
      </c>
      <c r="AA397" s="9">
        <v>461</v>
      </c>
      <c r="AB397" s="9">
        <v>256.11111</v>
      </c>
    </row>
    <row r="398" spans="1:28" x14ac:dyDescent="0.25">
      <c r="A398" s="8" t="s">
        <v>866</v>
      </c>
      <c r="B398" s="8" t="s">
        <v>867</v>
      </c>
      <c r="C398" s="8" t="s">
        <v>67</v>
      </c>
      <c r="D398" s="10">
        <v>2.0999998999999998</v>
      </c>
      <c r="E398" s="10">
        <v>1</v>
      </c>
      <c r="F398" s="10">
        <v>1.1000000000000001</v>
      </c>
      <c r="G398" s="10">
        <v>1</v>
      </c>
      <c r="H398" s="10">
        <v>1.1000000000000001</v>
      </c>
      <c r="I398" s="10">
        <v>0</v>
      </c>
      <c r="J398" s="10">
        <v>0</v>
      </c>
      <c r="K398" s="10">
        <v>0</v>
      </c>
      <c r="L398" s="10">
        <v>0.1</v>
      </c>
      <c r="M398" s="10">
        <v>0</v>
      </c>
      <c r="N398" s="10">
        <v>0.1</v>
      </c>
      <c r="O398" s="8" t="s">
        <v>31</v>
      </c>
      <c r="P398" s="8" t="s">
        <v>31</v>
      </c>
      <c r="Q398" s="8" t="s">
        <v>31</v>
      </c>
      <c r="R398" s="8" t="s">
        <v>31</v>
      </c>
      <c r="S398" s="8" t="s">
        <v>31</v>
      </c>
      <c r="T398" s="8" t="s">
        <v>31</v>
      </c>
      <c r="U398" s="8" t="s">
        <v>31</v>
      </c>
      <c r="V398" s="8" t="s">
        <v>31</v>
      </c>
      <c r="W398" s="8" t="str">
        <f>_xlfn.IFNA(VLOOKUP(A398,[1]Sheet1!$A$1:$B$101,1,FALSE),"na")</f>
        <v>na</v>
      </c>
      <c r="X398" s="8" t="s">
        <v>35</v>
      </c>
      <c r="Y398" s="9">
        <v>326</v>
      </c>
      <c r="Z398" s="9">
        <v>155.2381</v>
      </c>
      <c r="AA398" s="9">
        <v>326</v>
      </c>
      <c r="AB398" s="9">
        <v>296.36362000000003</v>
      </c>
    </row>
    <row r="399" spans="1:28" x14ac:dyDescent="0.25">
      <c r="A399" s="8" t="s">
        <v>868</v>
      </c>
      <c r="B399" s="8" t="s">
        <v>869</v>
      </c>
      <c r="C399" s="8" t="s">
        <v>30</v>
      </c>
      <c r="D399" s="10">
        <v>4.4000000999999997</v>
      </c>
      <c r="E399" s="10">
        <v>1</v>
      </c>
      <c r="F399" s="10">
        <v>3.4000001000000002</v>
      </c>
      <c r="G399" s="10">
        <v>1</v>
      </c>
      <c r="H399" s="10">
        <v>3.4000001000000002</v>
      </c>
      <c r="I399" s="10">
        <v>0</v>
      </c>
      <c r="J399" s="10">
        <v>0</v>
      </c>
      <c r="K399" s="10">
        <v>0</v>
      </c>
      <c r="L399" s="10">
        <v>0.40000001000000002</v>
      </c>
      <c r="M399" s="10">
        <v>0</v>
      </c>
      <c r="N399" s="10">
        <v>0.40000001000000002</v>
      </c>
      <c r="O399" s="8" t="s">
        <v>31</v>
      </c>
      <c r="P399" s="8" t="s">
        <v>31</v>
      </c>
      <c r="Q399" s="8" t="s">
        <v>31</v>
      </c>
      <c r="R399" s="8" t="s">
        <v>31</v>
      </c>
      <c r="S399" s="8" t="s">
        <v>31</v>
      </c>
      <c r="T399" s="8" t="s">
        <v>31</v>
      </c>
      <c r="U399" s="8" t="s">
        <v>31</v>
      </c>
      <c r="V399" s="8" t="s">
        <v>31</v>
      </c>
      <c r="W399" s="8" t="str">
        <f>_xlfn.IFNA(VLOOKUP(A399,[1]Sheet1!$A$1:$B$101,1,FALSE),"na")</f>
        <v>na</v>
      </c>
      <c r="X399" s="8" t="s">
        <v>35</v>
      </c>
      <c r="Y399" s="9">
        <v>496</v>
      </c>
      <c r="Z399" s="9">
        <v>112.72727</v>
      </c>
      <c r="AA399" s="9">
        <v>496</v>
      </c>
      <c r="AB399" s="9">
        <v>145.88235</v>
      </c>
    </row>
    <row r="400" spans="1:28" x14ac:dyDescent="0.25">
      <c r="A400" s="8" t="s">
        <v>870</v>
      </c>
      <c r="B400" s="8" t="s">
        <v>871</v>
      </c>
      <c r="C400" s="8" t="s">
        <v>67</v>
      </c>
      <c r="D400" s="10">
        <v>2.2999999999999998</v>
      </c>
      <c r="E400" s="10">
        <v>1</v>
      </c>
      <c r="F400" s="10">
        <v>1.3</v>
      </c>
      <c r="G400" s="10">
        <v>1</v>
      </c>
      <c r="H400" s="10">
        <v>1.3</v>
      </c>
      <c r="I400" s="10">
        <v>0</v>
      </c>
      <c r="J400" s="10">
        <v>0</v>
      </c>
      <c r="K400" s="10">
        <v>0</v>
      </c>
      <c r="L400" s="10">
        <v>0.1</v>
      </c>
      <c r="M400" s="10">
        <v>0</v>
      </c>
      <c r="N400" s="10">
        <v>0.30000000999999998</v>
      </c>
      <c r="O400" s="8" t="s">
        <v>57</v>
      </c>
      <c r="P400" s="8" t="s">
        <v>31</v>
      </c>
      <c r="Q400" s="8" t="s">
        <v>31</v>
      </c>
      <c r="R400" s="8" t="s">
        <v>31</v>
      </c>
      <c r="S400" s="8" t="s">
        <v>31</v>
      </c>
      <c r="T400" s="8" t="s">
        <v>31</v>
      </c>
      <c r="U400" s="8" t="s">
        <v>31</v>
      </c>
      <c r="V400" s="8" t="s">
        <v>31</v>
      </c>
      <c r="W400" s="8" t="str">
        <f>_xlfn.IFNA(VLOOKUP(A400,[1]Sheet1!$A$1:$B$101,1,FALSE),"na")</f>
        <v>na</v>
      </c>
      <c r="X400" s="8" t="s">
        <v>35</v>
      </c>
      <c r="Y400" s="9">
        <v>278</v>
      </c>
      <c r="Z400" s="9">
        <v>120.86957</v>
      </c>
      <c r="AA400" s="9">
        <v>278</v>
      </c>
      <c r="AB400" s="9">
        <v>213.84616</v>
      </c>
    </row>
    <row r="401" spans="1:28" x14ac:dyDescent="0.25">
      <c r="A401" s="8" t="s">
        <v>872</v>
      </c>
      <c r="B401" s="8" t="s">
        <v>873</v>
      </c>
      <c r="C401" s="8" t="s">
        <v>30</v>
      </c>
      <c r="D401" s="10">
        <v>1.4</v>
      </c>
      <c r="E401" s="10">
        <v>1</v>
      </c>
      <c r="F401" s="10">
        <v>0.40000001000000002</v>
      </c>
      <c r="G401" s="10">
        <v>1</v>
      </c>
      <c r="H401" s="10">
        <v>0.40000001000000002</v>
      </c>
      <c r="I401" s="10">
        <v>0</v>
      </c>
      <c r="J401" s="10">
        <v>0</v>
      </c>
      <c r="K401" s="10">
        <v>0</v>
      </c>
      <c r="L401" s="10">
        <v>0.40000001000000002</v>
      </c>
      <c r="M401" s="10">
        <v>0</v>
      </c>
      <c r="N401" s="10">
        <v>0.40000001000000002</v>
      </c>
      <c r="O401" s="8" t="s">
        <v>31</v>
      </c>
      <c r="P401" s="8" t="s">
        <v>31</v>
      </c>
      <c r="Q401" s="8" t="s">
        <v>31</v>
      </c>
      <c r="R401" s="8" t="s">
        <v>31</v>
      </c>
      <c r="S401" s="8" t="s">
        <v>31</v>
      </c>
      <c r="T401" s="8" t="s">
        <v>31</v>
      </c>
      <c r="U401" s="8" t="s">
        <v>31</v>
      </c>
      <c r="V401" s="8" t="s">
        <v>31</v>
      </c>
      <c r="W401" s="8" t="str">
        <f>_xlfn.IFNA(VLOOKUP(A401,[1]Sheet1!$A$1:$B$101,1,FALSE),"na")</f>
        <v>na</v>
      </c>
      <c r="X401" s="8" t="s">
        <v>51</v>
      </c>
      <c r="Y401" s="9">
        <v>357</v>
      </c>
      <c r="Z401" s="9">
        <v>255</v>
      </c>
      <c r="AA401" s="9">
        <v>357</v>
      </c>
      <c r="AB401" s="9">
        <v>357</v>
      </c>
    </row>
    <row r="402" spans="1:28" x14ac:dyDescent="0.25">
      <c r="A402" s="8" t="s">
        <v>874</v>
      </c>
      <c r="B402" s="8" t="s">
        <v>875</v>
      </c>
      <c r="C402" s="8" t="s">
        <v>30</v>
      </c>
      <c r="D402" s="10">
        <v>2.4000001000000002</v>
      </c>
      <c r="E402" s="10">
        <v>1</v>
      </c>
      <c r="F402" s="10">
        <v>1.4</v>
      </c>
      <c r="G402" s="10">
        <v>1</v>
      </c>
      <c r="H402" s="10">
        <v>1.4</v>
      </c>
      <c r="I402" s="10">
        <v>0</v>
      </c>
      <c r="J402" s="10">
        <v>0</v>
      </c>
      <c r="K402" s="10">
        <v>1</v>
      </c>
      <c r="L402" s="10">
        <v>0.2</v>
      </c>
      <c r="M402" s="10">
        <v>0</v>
      </c>
      <c r="N402" s="10">
        <v>0.40000001000000002</v>
      </c>
      <c r="O402" s="8" t="s">
        <v>57</v>
      </c>
      <c r="P402" s="8" t="s">
        <v>31</v>
      </c>
      <c r="Q402" s="8" t="s">
        <v>31</v>
      </c>
      <c r="R402" s="8" t="s">
        <v>31</v>
      </c>
      <c r="S402" s="8" t="s">
        <v>31</v>
      </c>
      <c r="T402" s="8" t="s">
        <v>31</v>
      </c>
      <c r="U402" s="8" t="s">
        <v>31</v>
      </c>
      <c r="V402" s="8" t="s">
        <v>31</v>
      </c>
      <c r="W402" s="8" t="str">
        <f>_xlfn.IFNA(VLOOKUP(A402,[1]Sheet1!$A$1:$B$101,1,FALSE),"na")</f>
        <v>na</v>
      </c>
      <c r="X402" s="8" t="s">
        <v>35</v>
      </c>
      <c r="Y402" s="9">
        <v>300</v>
      </c>
      <c r="Z402" s="9">
        <v>124.99999</v>
      </c>
      <c r="AA402" s="9">
        <v>300</v>
      </c>
      <c r="AB402" s="9">
        <v>214.28572</v>
      </c>
    </row>
    <row r="403" spans="1:28" x14ac:dyDescent="0.25">
      <c r="A403" s="8" t="s">
        <v>876</v>
      </c>
      <c r="B403" s="8" t="s">
        <v>877</v>
      </c>
      <c r="C403" s="8" t="s">
        <v>444</v>
      </c>
      <c r="D403" s="10">
        <v>2.2000000000000002</v>
      </c>
      <c r="E403" s="10">
        <v>1</v>
      </c>
      <c r="F403" s="10">
        <v>1.2</v>
      </c>
      <c r="G403" s="10">
        <v>1</v>
      </c>
      <c r="H403" s="10">
        <v>1.2</v>
      </c>
      <c r="I403" s="10">
        <v>0</v>
      </c>
      <c r="J403" s="10">
        <v>0</v>
      </c>
      <c r="K403" s="10">
        <v>0</v>
      </c>
      <c r="L403" s="10">
        <v>0.2</v>
      </c>
      <c r="M403" s="10">
        <v>0</v>
      </c>
      <c r="N403" s="10">
        <v>0.2</v>
      </c>
      <c r="O403" s="8" t="s">
        <v>57</v>
      </c>
      <c r="P403" s="8" t="s">
        <v>31</v>
      </c>
      <c r="Q403" s="8" t="s">
        <v>31</v>
      </c>
      <c r="R403" s="8" t="s">
        <v>31</v>
      </c>
      <c r="S403" s="8" t="s">
        <v>31</v>
      </c>
      <c r="T403" s="8" t="s">
        <v>31</v>
      </c>
      <c r="U403" s="8" t="s">
        <v>31</v>
      </c>
      <c r="V403" s="8" t="s">
        <v>31</v>
      </c>
      <c r="W403" s="8" t="str">
        <f>_xlfn.IFNA(VLOOKUP(A403,[1]Sheet1!$A$1:$B$101,1,FALSE),"na")</f>
        <v>na</v>
      </c>
      <c r="X403" s="8" t="s">
        <v>35</v>
      </c>
      <c r="Y403" s="9">
        <v>148</v>
      </c>
      <c r="Z403" s="9">
        <v>67.272728000000001</v>
      </c>
      <c r="AA403" s="9">
        <v>148</v>
      </c>
      <c r="AB403" s="9">
        <v>123.33333</v>
      </c>
    </row>
    <row r="404" spans="1:28" x14ac:dyDescent="0.25">
      <c r="A404" s="8" t="s">
        <v>878</v>
      </c>
      <c r="B404" s="8" t="s">
        <v>879</v>
      </c>
      <c r="C404" s="8" t="s">
        <v>30</v>
      </c>
      <c r="D404" s="10">
        <v>2.4000001000000002</v>
      </c>
      <c r="E404" s="10">
        <v>1</v>
      </c>
      <c r="F404" s="10">
        <v>1.4</v>
      </c>
      <c r="G404" s="10">
        <v>1</v>
      </c>
      <c r="H404" s="10">
        <v>1.4</v>
      </c>
      <c r="I404" s="10">
        <v>0</v>
      </c>
      <c r="J404" s="10">
        <v>0</v>
      </c>
      <c r="K404" s="10">
        <v>0</v>
      </c>
      <c r="L404" s="10">
        <v>0.40000001000000002</v>
      </c>
      <c r="M404" s="10">
        <v>0</v>
      </c>
      <c r="N404" s="10">
        <v>0.40000001000000002</v>
      </c>
      <c r="O404" s="8" t="s">
        <v>31</v>
      </c>
      <c r="P404" s="8" t="s">
        <v>31</v>
      </c>
      <c r="Q404" s="8" t="s">
        <v>57</v>
      </c>
      <c r="R404" s="8" t="s">
        <v>31</v>
      </c>
      <c r="S404" s="8" t="s">
        <v>31</v>
      </c>
      <c r="T404" s="8" t="s">
        <v>31</v>
      </c>
      <c r="U404" s="8" t="s">
        <v>31</v>
      </c>
      <c r="V404" s="8" t="s">
        <v>31</v>
      </c>
      <c r="W404" s="8" t="str">
        <f>_xlfn.IFNA(VLOOKUP(A404,[1]Sheet1!$A$1:$B$101,1,FALSE),"na")</f>
        <v>na</v>
      </c>
      <c r="X404" s="8" t="s">
        <v>35</v>
      </c>
      <c r="Y404" s="9">
        <v>391</v>
      </c>
      <c r="Z404" s="9">
        <v>162.91666000000001</v>
      </c>
      <c r="AA404" s="9">
        <v>391</v>
      </c>
      <c r="AB404" s="9">
        <v>279.28570999999999</v>
      </c>
    </row>
    <row r="405" spans="1:28" x14ac:dyDescent="0.25">
      <c r="A405" s="8" t="s">
        <v>880</v>
      </c>
      <c r="B405" s="8" t="s">
        <v>881</v>
      </c>
      <c r="C405" s="8" t="s">
        <v>30</v>
      </c>
      <c r="D405" s="10">
        <v>1.2</v>
      </c>
      <c r="E405" s="10">
        <v>1</v>
      </c>
      <c r="F405" s="10">
        <v>0.2</v>
      </c>
      <c r="G405" s="10">
        <v>1</v>
      </c>
      <c r="H405" s="10">
        <v>0.2</v>
      </c>
      <c r="I405" s="10">
        <v>0</v>
      </c>
      <c r="J405" s="10">
        <v>0</v>
      </c>
      <c r="K405" s="10">
        <v>0</v>
      </c>
      <c r="L405" s="10">
        <v>0.2</v>
      </c>
      <c r="M405" s="10">
        <v>0</v>
      </c>
      <c r="N405" s="10">
        <v>0.2</v>
      </c>
      <c r="O405" s="8" t="s">
        <v>31</v>
      </c>
      <c r="P405" s="8" t="s">
        <v>31</v>
      </c>
      <c r="Q405" s="8" t="s">
        <v>57</v>
      </c>
      <c r="R405" s="8" t="s">
        <v>31</v>
      </c>
      <c r="S405" s="8" t="s">
        <v>31</v>
      </c>
      <c r="T405" s="8" t="s">
        <v>31</v>
      </c>
      <c r="U405" s="8" t="s">
        <v>31</v>
      </c>
      <c r="V405" s="8" t="s">
        <v>31</v>
      </c>
      <c r="W405" s="8" t="str">
        <f>_xlfn.IFNA(VLOOKUP(A405,[1]Sheet1!$A$1:$B$101,1,FALSE),"na")</f>
        <v>na</v>
      </c>
      <c r="X405" s="8" t="s">
        <v>35</v>
      </c>
      <c r="Y405" s="9">
        <v>584</v>
      </c>
      <c r="Z405" s="9">
        <v>486.66665999999998</v>
      </c>
      <c r="AA405" s="9">
        <v>584</v>
      </c>
      <c r="AB405" s="9">
        <v>584</v>
      </c>
    </row>
    <row r="406" spans="1:28" x14ac:dyDescent="0.25">
      <c r="A406" s="8" t="s">
        <v>882</v>
      </c>
      <c r="B406" s="8" t="s">
        <v>883</v>
      </c>
      <c r="C406" s="8" t="s">
        <v>67</v>
      </c>
      <c r="D406" s="10">
        <v>1.1000000000000001</v>
      </c>
      <c r="E406" s="10">
        <v>1</v>
      </c>
      <c r="F406" s="10">
        <v>0.1</v>
      </c>
      <c r="G406" s="10">
        <v>1</v>
      </c>
      <c r="H406" s="10">
        <v>0.1</v>
      </c>
      <c r="I406" s="10">
        <v>0</v>
      </c>
      <c r="J406" s="10">
        <v>0</v>
      </c>
      <c r="K406" s="10">
        <v>0</v>
      </c>
      <c r="L406" s="10">
        <v>0.1</v>
      </c>
      <c r="M406" s="10">
        <v>0</v>
      </c>
      <c r="N406" s="10">
        <v>0.1</v>
      </c>
      <c r="O406" s="8" t="s">
        <v>31</v>
      </c>
      <c r="P406" s="8" t="s">
        <v>31</v>
      </c>
      <c r="Q406" s="8" t="s">
        <v>31</v>
      </c>
      <c r="R406" s="8" t="s">
        <v>31</v>
      </c>
      <c r="S406" s="8" t="s">
        <v>31</v>
      </c>
      <c r="T406" s="8" t="s">
        <v>31</v>
      </c>
      <c r="U406" s="8" t="s">
        <v>31</v>
      </c>
      <c r="V406" s="8" t="s">
        <v>31</v>
      </c>
      <c r="W406" s="8" t="str">
        <f>_xlfn.IFNA(VLOOKUP(A406,[1]Sheet1!$A$1:$B$101,1,FALSE),"na")</f>
        <v>na</v>
      </c>
      <c r="X406" s="8" t="s">
        <v>35</v>
      </c>
      <c r="Y406" s="9">
        <v>146</v>
      </c>
      <c r="Z406" s="9">
        <v>132.72726</v>
      </c>
      <c r="AA406" s="9">
        <v>146</v>
      </c>
      <c r="AB406" s="9">
        <v>146</v>
      </c>
    </row>
    <row r="407" spans="1:28" x14ac:dyDescent="0.25">
      <c r="A407" s="8" t="s">
        <v>884</v>
      </c>
      <c r="B407" s="8" t="s">
        <v>885</v>
      </c>
      <c r="C407" s="8" t="s">
        <v>38</v>
      </c>
      <c r="D407" s="10">
        <v>3.3</v>
      </c>
      <c r="E407" s="10">
        <v>2</v>
      </c>
      <c r="F407" s="10">
        <v>1.3</v>
      </c>
      <c r="G407" s="10">
        <v>2</v>
      </c>
      <c r="H407" s="10">
        <v>1.3</v>
      </c>
      <c r="I407" s="10">
        <v>0</v>
      </c>
      <c r="J407" s="10">
        <v>0</v>
      </c>
      <c r="K407" s="10">
        <v>1</v>
      </c>
      <c r="L407" s="10">
        <v>0.30000000999999998</v>
      </c>
      <c r="M407" s="10">
        <v>0</v>
      </c>
      <c r="N407" s="10">
        <v>0.30000000999999998</v>
      </c>
      <c r="O407" s="8" t="s">
        <v>31</v>
      </c>
      <c r="P407" s="8" t="s">
        <v>31</v>
      </c>
      <c r="Q407" s="8" t="s">
        <v>31</v>
      </c>
      <c r="R407" s="8" t="s">
        <v>31</v>
      </c>
      <c r="S407" s="8" t="s">
        <v>31</v>
      </c>
      <c r="T407" s="8" t="s">
        <v>31</v>
      </c>
      <c r="U407" s="8" t="s">
        <v>31</v>
      </c>
      <c r="V407" s="8" t="s">
        <v>31</v>
      </c>
      <c r="W407" s="8" t="str">
        <f>_xlfn.IFNA(VLOOKUP(A407,[1]Sheet1!$A$1:$B$101,1,FALSE),"na")</f>
        <v>na</v>
      </c>
      <c r="X407" s="8" t="s">
        <v>35</v>
      </c>
      <c r="Y407" s="9">
        <v>801</v>
      </c>
      <c r="Z407" s="9">
        <v>242.72728000000001</v>
      </c>
      <c r="AA407" s="9">
        <v>400.5</v>
      </c>
      <c r="AB407" s="9">
        <v>616.15386999999998</v>
      </c>
    </row>
    <row r="408" spans="1:28" x14ac:dyDescent="0.25">
      <c r="A408" s="8" t="s">
        <v>886</v>
      </c>
      <c r="B408" s="8" t="s">
        <v>887</v>
      </c>
      <c r="C408" s="8" t="s">
        <v>67</v>
      </c>
      <c r="D408" s="10">
        <v>3.0999998999999998</v>
      </c>
      <c r="E408" s="10">
        <v>1</v>
      </c>
      <c r="F408" s="10">
        <v>2.0999998999999998</v>
      </c>
      <c r="G408" s="10">
        <v>1</v>
      </c>
      <c r="H408" s="10">
        <v>2.0999998999999998</v>
      </c>
      <c r="I408" s="10">
        <v>0</v>
      </c>
      <c r="J408" s="10">
        <v>0</v>
      </c>
      <c r="K408" s="10">
        <v>0</v>
      </c>
      <c r="L408" s="10">
        <v>0.1</v>
      </c>
      <c r="M408" s="10">
        <v>0</v>
      </c>
      <c r="N408" s="10">
        <v>0.1</v>
      </c>
      <c r="O408" s="8" t="s">
        <v>31</v>
      </c>
      <c r="P408" s="8" t="s">
        <v>31</v>
      </c>
      <c r="Q408" s="8" t="s">
        <v>31</v>
      </c>
      <c r="R408" s="8" t="s">
        <v>31</v>
      </c>
      <c r="S408" s="8" t="s">
        <v>31</v>
      </c>
      <c r="T408" s="8" t="s">
        <v>31</v>
      </c>
      <c r="U408" s="8" t="s">
        <v>31</v>
      </c>
      <c r="V408" s="8" t="s">
        <v>31</v>
      </c>
      <c r="W408" s="8" t="str">
        <f>_xlfn.IFNA(VLOOKUP(A408,[1]Sheet1!$A$1:$B$101,1,FALSE),"na")</f>
        <v>na</v>
      </c>
      <c r="X408" s="8" t="s">
        <v>484</v>
      </c>
      <c r="Y408" s="9">
        <v>251</v>
      </c>
      <c r="Z408" s="9">
        <v>80.967742999999999</v>
      </c>
      <c r="AA408" s="9">
        <v>251</v>
      </c>
      <c r="AB408" s="9">
        <v>119.52381</v>
      </c>
    </row>
    <row r="409" spans="1:28" x14ac:dyDescent="0.25">
      <c r="A409" s="8" t="s">
        <v>888</v>
      </c>
      <c r="B409" s="8" t="s">
        <v>889</v>
      </c>
      <c r="C409" s="8" t="s">
        <v>62</v>
      </c>
      <c r="D409" s="10">
        <v>4.1428599000000004</v>
      </c>
      <c r="E409" s="10">
        <v>3</v>
      </c>
      <c r="F409" s="10">
        <v>1.1428601</v>
      </c>
      <c r="G409" s="10">
        <v>3</v>
      </c>
      <c r="H409" s="10">
        <v>1.1428601</v>
      </c>
      <c r="I409" s="10">
        <v>0</v>
      </c>
      <c r="J409" s="10">
        <v>0</v>
      </c>
      <c r="K409" s="10">
        <v>1</v>
      </c>
      <c r="L409" s="10">
        <v>0.11429</v>
      </c>
      <c r="M409" s="10">
        <v>0</v>
      </c>
      <c r="N409" s="10">
        <v>0.14285999999999999</v>
      </c>
      <c r="O409" s="8" t="s">
        <v>57</v>
      </c>
      <c r="P409" s="8" t="s">
        <v>31</v>
      </c>
      <c r="Q409" s="8" t="s">
        <v>31</v>
      </c>
      <c r="R409" s="8" t="s">
        <v>31</v>
      </c>
      <c r="S409" s="8" t="s">
        <v>31</v>
      </c>
      <c r="T409" s="8" t="s">
        <v>57</v>
      </c>
      <c r="U409" s="8" t="s">
        <v>31</v>
      </c>
      <c r="V409" s="8" t="s">
        <v>31</v>
      </c>
      <c r="W409" s="8" t="str">
        <f>_xlfn.IFNA(VLOOKUP(A409,[1]Sheet1!$A$1:$B$101,1,FALSE),"na")</f>
        <v>na</v>
      </c>
      <c r="X409" s="8" t="s">
        <v>844</v>
      </c>
      <c r="Y409" s="9">
        <v>432</v>
      </c>
      <c r="Z409" s="9">
        <v>104.27579</v>
      </c>
      <c r="AA409" s="9">
        <v>144</v>
      </c>
      <c r="AB409" s="9">
        <v>377.99901999999997</v>
      </c>
    </row>
    <row r="410" spans="1:28" x14ac:dyDescent="0.25">
      <c r="A410" s="8" t="s">
        <v>890</v>
      </c>
      <c r="B410" s="8" t="s">
        <v>891</v>
      </c>
      <c r="C410" s="8" t="s">
        <v>67</v>
      </c>
      <c r="D410" s="10">
        <v>2.5</v>
      </c>
      <c r="E410" s="10">
        <v>1</v>
      </c>
      <c r="F410" s="10">
        <v>1.5</v>
      </c>
      <c r="G410" s="10">
        <v>1</v>
      </c>
      <c r="H410" s="10">
        <v>1.5</v>
      </c>
      <c r="I410" s="10">
        <v>0</v>
      </c>
      <c r="J410" s="10">
        <v>0</v>
      </c>
      <c r="K410" s="10">
        <v>0</v>
      </c>
      <c r="L410" s="10">
        <v>0.1</v>
      </c>
      <c r="M410" s="10">
        <v>0</v>
      </c>
      <c r="N410" s="10">
        <v>0.5</v>
      </c>
      <c r="O410" s="8" t="s">
        <v>31</v>
      </c>
      <c r="P410" s="8" t="s">
        <v>31</v>
      </c>
      <c r="Q410" s="8" t="s">
        <v>31</v>
      </c>
      <c r="R410" s="8" t="s">
        <v>31</v>
      </c>
      <c r="S410" s="8" t="s">
        <v>31</v>
      </c>
      <c r="T410" s="8" t="s">
        <v>31</v>
      </c>
      <c r="U410" s="8" t="s">
        <v>31</v>
      </c>
      <c r="V410" s="8" t="s">
        <v>31</v>
      </c>
      <c r="W410" s="8" t="str">
        <f>_xlfn.IFNA(VLOOKUP(A410,[1]Sheet1!$A$1:$B$101,1,FALSE),"na")</f>
        <v>na</v>
      </c>
      <c r="X410" s="8" t="s">
        <v>375</v>
      </c>
      <c r="Y410" s="9">
        <v>178</v>
      </c>
      <c r="Z410" s="9">
        <v>71.199996999999996</v>
      </c>
      <c r="AA410" s="9">
        <v>178</v>
      </c>
      <c r="AB410" s="9">
        <v>118.66665999999999</v>
      </c>
    </row>
    <row r="411" spans="1:28" x14ac:dyDescent="0.25">
      <c r="A411" s="8" t="s">
        <v>892</v>
      </c>
      <c r="B411" s="8" t="s">
        <v>893</v>
      </c>
      <c r="C411" s="8" t="s">
        <v>80</v>
      </c>
      <c r="D411" s="10">
        <v>4</v>
      </c>
      <c r="E411" s="10">
        <v>3</v>
      </c>
      <c r="F411" s="10">
        <v>1</v>
      </c>
      <c r="G411" s="10">
        <v>3</v>
      </c>
      <c r="H411" s="10">
        <v>1</v>
      </c>
      <c r="I411" s="10">
        <v>0</v>
      </c>
      <c r="J411" s="10">
        <v>0</v>
      </c>
      <c r="K411" s="10">
        <v>1</v>
      </c>
      <c r="L411" s="10">
        <v>0</v>
      </c>
      <c r="M411" s="10">
        <v>0</v>
      </c>
      <c r="N411" s="10">
        <v>0</v>
      </c>
      <c r="O411" s="8" t="s">
        <v>31</v>
      </c>
      <c r="P411" s="8" t="s">
        <v>31</v>
      </c>
      <c r="Q411" s="8" t="s">
        <v>31</v>
      </c>
      <c r="R411" s="8" t="s">
        <v>31</v>
      </c>
      <c r="S411" s="8" t="s">
        <v>31</v>
      </c>
      <c r="T411" s="8" t="s">
        <v>57</v>
      </c>
      <c r="U411" s="8" t="s">
        <v>31</v>
      </c>
      <c r="V411" s="8" t="s">
        <v>31</v>
      </c>
      <c r="W411" s="8" t="str">
        <f>_xlfn.IFNA(VLOOKUP(A411,[1]Sheet1!$A$1:$B$101,1,FALSE),"na")</f>
        <v>na</v>
      </c>
      <c r="X411" s="8" t="s">
        <v>35</v>
      </c>
      <c r="Y411" s="9">
        <v>426</v>
      </c>
      <c r="Z411" s="9">
        <v>106.5</v>
      </c>
      <c r="AA411" s="9">
        <v>142</v>
      </c>
      <c r="AB411" s="9">
        <v>426</v>
      </c>
    </row>
    <row r="412" spans="1:28" x14ac:dyDescent="0.25">
      <c r="A412" s="8" t="s">
        <v>894</v>
      </c>
      <c r="B412" s="8" t="s">
        <v>895</v>
      </c>
      <c r="C412" s="8" t="s">
        <v>67</v>
      </c>
      <c r="D412" s="10">
        <v>3.0999998999999998</v>
      </c>
      <c r="E412" s="10">
        <v>2</v>
      </c>
      <c r="F412" s="10">
        <v>1.1000000000000001</v>
      </c>
      <c r="G412" s="10">
        <v>2</v>
      </c>
      <c r="H412" s="10">
        <v>1.1000000000000001</v>
      </c>
      <c r="I412" s="10">
        <v>0</v>
      </c>
      <c r="J412" s="10">
        <v>0</v>
      </c>
      <c r="K412" s="10">
        <v>0</v>
      </c>
      <c r="L412" s="10">
        <v>0.1</v>
      </c>
      <c r="M412" s="10">
        <v>0</v>
      </c>
      <c r="N412" s="10">
        <v>0.1</v>
      </c>
      <c r="O412" s="8" t="s">
        <v>31</v>
      </c>
      <c r="P412" s="8" t="s">
        <v>31</v>
      </c>
      <c r="Q412" s="8" t="s">
        <v>31</v>
      </c>
      <c r="R412" s="8" t="s">
        <v>31</v>
      </c>
      <c r="S412" s="8" t="s">
        <v>31</v>
      </c>
      <c r="T412" s="8" t="s">
        <v>31</v>
      </c>
      <c r="U412" s="8" t="s">
        <v>31</v>
      </c>
      <c r="V412" s="8" t="s">
        <v>31</v>
      </c>
      <c r="W412" s="8" t="str">
        <f>_xlfn.IFNA(VLOOKUP(A412,[1]Sheet1!$A$1:$B$101,1,FALSE),"na")</f>
        <v>na</v>
      </c>
      <c r="X412" s="8" t="s">
        <v>35</v>
      </c>
      <c r="Y412" s="9">
        <v>252</v>
      </c>
      <c r="Z412" s="9">
        <v>81.290321000000006</v>
      </c>
      <c r="AA412" s="9">
        <v>126</v>
      </c>
      <c r="AB412" s="9">
        <v>229.0909</v>
      </c>
    </row>
    <row r="413" spans="1:28" x14ac:dyDescent="0.25">
      <c r="A413" s="8" t="s">
        <v>896</v>
      </c>
      <c r="B413" s="8" t="s">
        <v>897</v>
      </c>
      <c r="C413" s="8" t="s">
        <v>30</v>
      </c>
      <c r="D413" s="10">
        <v>2.2000000000000002</v>
      </c>
      <c r="E413" s="10">
        <v>1</v>
      </c>
      <c r="F413" s="10">
        <v>1.2</v>
      </c>
      <c r="G413" s="10">
        <v>1</v>
      </c>
      <c r="H413" s="10">
        <v>1.2</v>
      </c>
      <c r="I413" s="10">
        <v>0</v>
      </c>
      <c r="J413" s="10">
        <v>0</v>
      </c>
      <c r="K413" s="10">
        <v>0</v>
      </c>
      <c r="L413" s="10">
        <v>0.2</v>
      </c>
      <c r="M413" s="10">
        <v>0</v>
      </c>
      <c r="N413" s="10">
        <v>0.2</v>
      </c>
      <c r="O413" s="8" t="s">
        <v>31</v>
      </c>
      <c r="P413" s="8" t="s">
        <v>31</v>
      </c>
      <c r="Q413" s="8" t="s">
        <v>31</v>
      </c>
      <c r="R413" s="8" t="s">
        <v>31</v>
      </c>
      <c r="S413" s="8" t="s">
        <v>31</v>
      </c>
      <c r="T413" s="8" t="s">
        <v>31</v>
      </c>
      <c r="U413" s="8" t="s">
        <v>31</v>
      </c>
      <c r="V413" s="8" t="s">
        <v>31</v>
      </c>
      <c r="W413" s="8" t="str">
        <f>_xlfn.IFNA(VLOOKUP(A413,[1]Sheet1!$A$1:$B$101,1,FALSE),"na")</f>
        <v>na</v>
      </c>
      <c r="X413" s="8" t="s">
        <v>35</v>
      </c>
      <c r="Y413" s="9">
        <v>308</v>
      </c>
      <c r="Z413" s="9">
        <v>140</v>
      </c>
      <c r="AA413" s="9">
        <v>308</v>
      </c>
      <c r="AB413" s="9">
        <v>256.66665999999998</v>
      </c>
    </row>
    <row r="414" spans="1:28" x14ac:dyDescent="0.25">
      <c r="A414" s="8" t="s">
        <v>898</v>
      </c>
      <c r="B414" s="8" t="s">
        <v>899</v>
      </c>
      <c r="C414" s="8" t="s">
        <v>80</v>
      </c>
      <c r="D414" s="10">
        <v>3</v>
      </c>
      <c r="E414" s="10">
        <v>2</v>
      </c>
      <c r="F414" s="10">
        <v>1</v>
      </c>
      <c r="G414" s="10">
        <v>2</v>
      </c>
      <c r="H414" s="10">
        <v>1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8" t="s">
        <v>31</v>
      </c>
      <c r="P414" s="8" t="s">
        <v>31</v>
      </c>
      <c r="Q414" s="8" t="s">
        <v>31</v>
      </c>
      <c r="R414" s="8" t="s">
        <v>57</v>
      </c>
      <c r="S414" s="8" t="s">
        <v>31</v>
      </c>
      <c r="T414" s="8" t="s">
        <v>31</v>
      </c>
      <c r="U414" s="8" t="s">
        <v>31</v>
      </c>
      <c r="V414" s="8" t="s">
        <v>31</v>
      </c>
      <c r="W414" s="8" t="str">
        <f>_xlfn.IFNA(VLOOKUP(A414,[1]Sheet1!$A$1:$B$101,1,FALSE),"na")</f>
        <v>na</v>
      </c>
      <c r="X414" s="8" t="s">
        <v>35</v>
      </c>
      <c r="Y414" s="9">
        <v>523</v>
      </c>
      <c r="Z414" s="9">
        <v>174.33332999999999</v>
      </c>
      <c r="AA414" s="9">
        <v>261.5</v>
      </c>
      <c r="AB414" s="9">
        <v>523</v>
      </c>
    </row>
    <row r="415" spans="1:28" x14ac:dyDescent="0.25">
      <c r="A415" s="8" t="s">
        <v>900</v>
      </c>
      <c r="B415" s="8" t="s">
        <v>901</v>
      </c>
      <c r="C415" s="8" t="s">
        <v>62</v>
      </c>
      <c r="D415" s="10">
        <v>3.0999998999999998</v>
      </c>
      <c r="E415" s="10">
        <v>2</v>
      </c>
      <c r="F415" s="10">
        <v>1.1000000000000001</v>
      </c>
      <c r="G415" s="10">
        <v>2</v>
      </c>
      <c r="H415" s="10">
        <v>1.1000000000000001</v>
      </c>
      <c r="I415" s="10">
        <v>0</v>
      </c>
      <c r="J415" s="10">
        <v>0</v>
      </c>
      <c r="K415" s="10">
        <v>0</v>
      </c>
      <c r="L415" s="10">
        <v>0.1</v>
      </c>
      <c r="M415" s="10">
        <v>0</v>
      </c>
      <c r="N415" s="10">
        <v>0.1</v>
      </c>
      <c r="O415" s="8" t="s">
        <v>57</v>
      </c>
      <c r="P415" s="8" t="s">
        <v>31</v>
      </c>
      <c r="Q415" s="8" t="s">
        <v>31</v>
      </c>
      <c r="R415" s="8" t="s">
        <v>31</v>
      </c>
      <c r="S415" s="8" t="s">
        <v>31</v>
      </c>
      <c r="T415" s="8" t="s">
        <v>31</v>
      </c>
      <c r="U415" s="8" t="s">
        <v>31</v>
      </c>
      <c r="V415" s="8" t="s">
        <v>31</v>
      </c>
      <c r="W415" s="8" t="str">
        <f>_xlfn.IFNA(VLOOKUP(A415,[1]Sheet1!$A$1:$B$101,1,FALSE),"na")</f>
        <v>na</v>
      </c>
      <c r="X415" s="8" t="s">
        <v>35</v>
      </c>
      <c r="Y415" s="9">
        <v>376</v>
      </c>
      <c r="Z415" s="9">
        <v>121.29033</v>
      </c>
      <c r="AA415" s="9">
        <v>188</v>
      </c>
      <c r="AB415" s="9">
        <v>341.81817999999998</v>
      </c>
    </row>
    <row r="416" spans="1:28" x14ac:dyDescent="0.25">
      <c r="A416" s="8" t="s">
        <v>902</v>
      </c>
      <c r="B416" s="8" t="s">
        <v>903</v>
      </c>
      <c r="C416" s="8" t="s">
        <v>62</v>
      </c>
      <c r="D416" s="10">
        <v>3.0999998999999998</v>
      </c>
      <c r="E416" s="10">
        <v>1</v>
      </c>
      <c r="F416" s="10">
        <v>2.0999998999999998</v>
      </c>
      <c r="G416" s="10">
        <v>1</v>
      </c>
      <c r="H416" s="10">
        <v>2.0999998999999998</v>
      </c>
      <c r="I416" s="10">
        <v>0</v>
      </c>
      <c r="J416" s="10">
        <v>0</v>
      </c>
      <c r="K416" s="10">
        <v>0</v>
      </c>
      <c r="L416" s="10">
        <v>1</v>
      </c>
      <c r="M416" s="10">
        <v>0</v>
      </c>
      <c r="N416" s="10">
        <v>0.1</v>
      </c>
      <c r="O416" s="8" t="s">
        <v>31</v>
      </c>
      <c r="P416" s="8" t="s">
        <v>31</v>
      </c>
      <c r="Q416" s="8" t="s">
        <v>31</v>
      </c>
      <c r="R416" s="8" t="s">
        <v>31</v>
      </c>
      <c r="S416" s="8" t="s">
        <v>31</v>
      </c>
      <c r="T416" s="8" t="s">
        <v>31</v>
      </c>
      <c r="U416" s="8" t="s">
        <v>31</v>
      </c>
      <c r="V416" s="8" t="s">
        <v>31</v>
      </c>
      <c r="W416" s="8" t="str">
        <f>_xlfn.IFNA(VLOOKUP(A416,[1]Sheet1!$A$1:$B$101,1,FALSE),"na")</f>
        <v>na</v>
      </c>
      <c r="X416" s="8" t="s">
        <v>35</v>
      </c>
      <c r="Y416" s="9">
        <v>314</v>
      </c>
      <c r="Z416" s="9">
        <v>101.29033</v>
      </c>
      <c r="AA416" s="9">
        <v>314</v>
      </c>
      <c r="AB416" s="9">
        <v>149.52382</v>
      </c>
    </row>
    <row r="417" spans="1:28" x14ac:dyDescent="0.25">
      <c r="A417" s="8" t="s">
        <v>904</v>
      </c>
      <c r="B417" s="8" t="s">
        <v>905</v>
      </c>
      <c r="C417" s="8" t="s">
        <v>62</v>
      </c>
      <c r="D417" s="10">
        <v>4.0999999000000003</v>
      </c>
      <c r="E417" s="10">
        <v>3</v>
      </c>
      <c r="F417" s="10">
        <v>1.1000000000000001</v>
      </c>
      <c r="G417" s="10">
        <v>3</v>
      </c>
      <c r="H417" s="10">
        <v>1.1000000000000001</v>
      </c>
      <c r="I417" s="10">
        <v>0</v>
      </c>
      <c r="J417" s="10">
        <v>0</v>
      </c>
      <c r="K417" s="10">
        <v>0</v>
      </c>
      <c r="L417" s="10">
        <v>0.1</v>
      </c>
      <c r="M417" s="10">
        <v>0</v>
      </c>
      <c r="N417" s="10">
        <v>0.1</v>
      </c>
      <c r="O417" s="8" t="s">
        <v>57</v>
      </c>
      <c r="P417" s="8" t="s">
        <v>31</v>
      </c>
      <c r="Q417" s="8" t="s">
        <v>31</v>
      </c>
      <c r="R417" s="8" t="s">
        <v>31</v>
      </c>
      <c r="S417" s="8" t="s">
        <v>31</v>
      </c>
      <c r="T417" s="8" t="s">
        <v>57</v>
      </c>
      <c r="U417" s="8" t="s">
        <v>57</v>
      </c>
      <c r="V417" s="8" t="s">
        <v>31</v>
      </c>
      <c r="W417" s="8" t="str">
        <f>_xlfn.IFNA(VLOOKUP(A417,[1]Sheet1!$A$1:$B$101,1,FALSE),"na")</f>
        <v>na</v>
      </c>
      <c r="X417" s="8" t="s">
        <v>35</v>
      </c>
      <c r="Y417" s="9">
        <v>383</v>
      </c>
      <c r="Z417" s="9">
        <v>93.414635000000004</v>
      </c>
      <c r="AA417" s="9">
        <v>127.66665999999999</v>
      </c>
      <c r="AB417" s="9">
        <v>348.18182000000002</v>
      </c>
    </row>
    <row r="418" spans="1:28" x14ac:dyDescent="0.25">
      <c r="A418" s="8" t="s">
        <v>906</v>
      </c>
      <c r="B418" s="8" t="s">
        <v>907</v>
      </c>
      <c r="C418" s="8" t="s">
        <v>62</v>
      </c>
      <c r="D418" s="10">
        <v>3.0999998999999998</v>
      </c>
      <c r="E418" s="10">
        <v>2</v>
      </c>
      <c r="F418" s="10">
        <v>1.1000000000000001</v>
      </c>
      <c r="G418" s="10">
        <v>2</v>
      </c>
      <c r="H418" s="10">
        <v>1.1000000000000001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0.1</v>
      </c>
      <c r="O418" s="8" t="s">
        <v>31</v>
      </c>
      <c r="P418" s="8" t="s">
        <v>31</v>
      </c>
      <c r="Q418" s="8" t="s">
        <v>31</v>
      </c>
      <c r="R418" s="8" t="s">
        <v>31</v>
      </c>
      <c r="S418" s="8" t="s">
        <v>31</v>
      </c>
      <c r="T418" s="8" t="s">
        <v>31</v>
      </c>
      <c r="U418" s="8" t="s">
        <v>31</v>
      </c>
      <c r="V418" s="8" t="s">
        <v>31</v>
      </c>
      <c r="W418" s="8" t="str">
        <f>_xlfn.IFNA(VLOOKUP(A418,[1]Sheet1!$A$1:$B$101,1,FALSE),"na")</f>
        <v>na</v>
      </c>
      <c r="X418" s="8" t="s">
        <v>35</v>
      </c>
      <c r="Y418" s="9">
        <v>283</v>
      </c>
      <c r="Z418" s="9">
        <v>91.290329</v>
      </c>
      <c r="AA418" s="9">
        <v>141.5</v>
      </c>
      <c r="AB418" s="9">
        <v>257.27274</v>
      </c>
    </row>
    <row r="419" spans="1:28" x14ac:dyDescent="0.25">
      <c r="A419" s="8" t="s">
        <v>908</v>
      </c>
      <c r="B419" s="8" t="s">
        <v>909</v>
      </c>
      <c r="C419" s="8" t="s">
        <v>30</v>
      </c>
      <c r="D419" s="10">
        <v>1.5</v>
      </c>
      <c r="E419" s="10">
        <v>1</v>
      </c>
      <c r="F419" s="10">
        <v>0.5</v>
      </c>
      <c r="G419" s="10">
        <v>1</v>
      </c>
      <c r="H419" s="10">
        <v>0.5</v>
      </c>
      <c r="I419" s="10">
        <v>0</v>
      </c>
      <c r="J419" s="10">
        <v>0</v>
      </c>
      <c r="K419" s="10">
        <v>0</v>
      </c>
      <c r="L419" s="10">
        <v>0.1</v>
      </c>
      <c r="M419" s="10">
        <v>0</v>
      </c>
      <c r="N419" s="10">
        <v>0.5</v>
      </c>
      <c r="O419" s="8" t="s">
        <v>31</v>
      </c>
      <c r="P419" s="8" t="s">
        <v>31</v>
      </c>
      <c r="Q419" s="8" t="s">
        <v>31</v>
      </c>
      <c r="R419" s="8" t="s">
        <v>31</v>
      </c>
      <c r="S419" s="8" t="s">
        <v>31</v>
      </c>
      <c r="T419" s="8" t="s">
        <v>31</v>
      </c>
      <c r="U419" s="8" t="s">
        <v>31</v>
      </c>
      <c r="V419" s="8" t="s">
        <v>31</v>
      </c>
      <c r="W419" s="8" t="str">
        <f>_xlfn.IFNA(VLOOKUP(A419,[1]Sheet1!$A$1:$B$101,1,FALSE),"na")</f>
        <v>na</v>
      </c>
      <c r="X419" s="8" t="s">
        <v>375</v>
      </c>
      <c r="Y419" s="9">
        <v>348</v>
      </c>
      <c r="Z419" s="9">
        <v>232</v>
      </c>
      <c r="AA419" s="9">
        <v>348</v>
      </c>
      <c r="AB419" s="9">
        <v>348</v>
      </c>
    </row>
    <row r="420" spans="1:28" x14ac:dyDescent="0.25">
      <c r="A420" s="8" t="s">
        <v>910</v>
      </c>
      <c r="B420" s="8" t="s">
        <v>911</v>
      </c>
      <c r="C420" s="8" t="s">
        <v>30</v>
      </c>
      <c r="D420" s="10">
        <v>3.4000001000000002</v>
      </c>
      <c r="E420" s="10">
        <v>1</v>
      </c>
      <c r="F420" s="10">
        <v>2.4000001000000002</v>
      </c>
      <c r="G420" s="10">
        <v>1</v>
      </c>
      <c r="H420" s="10">
        <v>2.4000001000000002</v>
      </c>
      <c r="I420" s="10">
        <v>0</v>
      </c>
      <c r="J420" s="10">
        <v>0</v>
      </c>
      <c r="K420" s="10">
        <v>0</v>
      </c>
      <c r="L420" s="10">
        <v>0.40000001000000002</v>
      </c>
      <c r="M420" s="10">
        <v>0</v>
      </c>
      <c r="N420" s="10">
        <v>0.40000001000000002</v>
      </c>
      <c r="O420" s="8" t="s">
        <v>31</v>
      </c>
      <c r="P420" s="8" t="s">
        <v>31</v>
      </c>
      <c r="Q420" s="8" t="s">
        <v>57</v>
      </c>
      <c r="R420" s="8" t="s">
        <v>31</v>
      </c>
      <c r="S420" s="8" t="s">
        <v>31</v>
      </c>
      <c r="T420" s="8" t="s">
        <v>31</v>
      </c>
      <c r="U420" s="8" t="s">
        <v>31</v>
      </c>
      <c r="V420" s="8" t="s">
        <v>31</v>
      </c>
      <c r="W420" s="8" t="str">
        <f>_xlfn.IFNA(VLOOKUP(A420,[1]Sheet1!$A$1:$B$101,1,FALSE),"na")</f>
        <v>na</v>
      </c>
      <c r="X420" s="8" t="s">
        <v>912</v>
      </c>
      <c r="Y420" s="9">
        <v>308</v>
      </c>
      <c r="Z420" s="9">
        <v>90.588234</v>
      </c>
      <c r="AA420" s="9">
        <v>308</v>
      </c>
      <c r="AB420" s="9">
        <v>128.33332999999999</v>
      </c>
    </row>
    <row r="421" spans="1:28" x14ac:dyDescent="0.25">
      <c r="A421" s="8" t="s">
        <v>913</v>
      </c>
      <c r="B421" s="8" t="s">
        <v>914</v>
      </c>
      <c r="C421" s="8" t="s">
        <v>62</v>
      </c>
      <c r="D421" s="10">
        <v>5.4000000999999997</v>
      </c>
      <c r="E421" s="10">
        <v>4</v>
      </c>
      <c r="F421" s="10">
        <v>1.4</v>
      </c>
      <c r="G421" s="10">
        <v>4</v>
      </c>
      <c r="H421" s="10">
        <v>1.4</v>
      </c>
      <c r="I421" s="10">
        <v>0</v>
      </c>
      <c r="J421" s="10">
        <v>0</v>
      </c>
      <c r="K421" s="10">
        <v>0</v>
      </c>
      <c r="L421" s="10">
        <v>0.2</v>
      </c>
      <c r="M421" s="10">
        <v>0</v>
      </c>
      <c r="N421" s="10">
        <v>0.40000001000000002</v>
      </c>
      <c r="O421" s="8" t="s">
        <v>31</v>
      </c>
      <c r="P421" s="8" t="s">
        <v>31</v>
      </c>
      <c r="Q421" s="8" t="s">
        <v>31</v>
      </c>
      <c r="R421" s="8" t="s">
        <v>31</v>
      </c>
      <c r="S421" s="8" t="s">
        <v>31</v>
      </c>
      <c r="T421" s="8" t="s">
        <v>31</v>
      </c>
      <c r="U421" s="8" t="s">
        <v>31</v>
      </c>
      <c r="V421" s="8" t="s">
        <v>31</v>
      </c>
      <c r="W421" s="8" t="str">
        <f>_xlfn.IFNA(VLOOKUP(A421,[1]Sheet1!$A$1:$B$101,1,FALSE),"na")</f>
        <v>na</v>
      </c>
      <c r="X421" s="8" t="s">
        <v>844</v>
      </c>
      <c r="Y421" s="9">
        <v>444</v>
      </c>
      <c r="Z421" s="9">
        <v>82.222221000000005</v>
      </c>
      <c r="AA421" s="9">
        <v>111</v>
      </c>
      <c r="AB421" s="9">
        <v>317.14285000000001</v>
      </c>
    </row>
    <row r="422" spans="1:28" x14ac:dyDescent="0.25">
      <c r="A422" s="8" t="s">
        <v>915</v>
      </c>
      <c r="B422" s="8" t="s">
        <v>916</v>
      </c>
      <c r="C422" s="8" t="s">
        <v>67</v>
      </c>
      <c r="D422" s="10">
        <v>3.0999998999999998</v>
      </c>
      <c r="E422" s="10">
        <v>2</v>
      </c>
      <c r="F422" s="10">
        <v>1.1000000000000001</v>
      </c>
      <c r="G422" s="10">
        <v>2</v>
      </c>
      <c r="H422" s="10">
        <v>1.1000000000000001</v>
      </c>
      <c r="I422" s="10">
        <v>0</v>
      </c>
      <c r="J422" s="10">
        <v>0</v>
      </c>
      <c r="K422" s="10">
        <v>0</v>
      </c>
      <c r="L422" s="10">
        <v>0.1</v>
      </c>
      <c r="M422" s="10">
        <v>0</v>
      </c>
      <c r="N422" s="10">
        <v>0.1</v>
      </c>
      <c r="O422" s="8" t="s">
        <v>57</v>
      </c>
      <c r="P422" s="8" t="s">
        <v>57</v>
      </c>
      <c r="Q422" s="8" t="s">
        <v>31</v>
      </c>
      <c r="R422" s="8" t="s">
        <v>31</v>
      </c>
      <c r="S422" s="8" t="s">
        <v>31</v>
      </c>
      <c r="T422" s="8" t="s">
        <v>31</v>
      </c>
      <c r="U422" s="8" t="s">
        <v>31</v>
      </c>
      <c r="V422" s="8" t="s">
        <v>31</v>
      </c>
      <c r="W422" s="8" t="str">
        <f>_xlfn.IFNA(VLOOKUP(A422,[1]Sheet1!$A$1:$B$101,1,FALSE),"na")</f>
        <v>na</v>
      </c>
      <c r="X422" s="8" t="s">
        <v>375</v>
      </c>
      <c r="Y422" s="9">
        <v>295</v>
      </c>
      <c r="Z422" s="9">
        <v>95.161293000000001</v>
      </c>
      <c r="AA422" s="9">
        <v>147.5</v>
      </c>
      <c r="AB422" s="9">
        <v>268.18182000000002</v>
      </c>
    </row>
    <row r="423" spans="1:28" x14ac:dyDescent="0.25">
      <c r="A423" s="8" t="s">
        <v>917</v>
      </c>
      <c r="B423" s="8" t="s">
        <v>918</v>
      </c>
      <c r="C423" s="8" t="s">
        <v>30</v>
      </c>
      <c r="D423" s="10">
        <v>1.4</v>
      </c>
      <c r="E423" s="10">
        <v>0</v>
      </c>
      <c r="F423" s="10">
        <v>1.4</v>
      </c>
      <c r="G423" s="10">
        <v>0</v>
      </c>
      <c r="H423" s="10">
        <v>1.4</v>
      </c>
      <c r="I423" s="10">
        <v>0</v>
      </c>
      <c r="J423" s="10">
        <v>0</v>
      </c>
      <c r="K423" s="10">
        <v>0</v>
      </c>
      <c r="L423" s="10">
        <v>0.40000001000000002</v>
      </c>
      <c r="M423" s="10">
        <v>0</v>
      </c>
      <c r="N423" s="10">
        <v>0.40000001000000002</v>
      </c>
      <c r="O423" s="8" t="s">
        <v>57</v>
      </c>
      <c r="P423" s="8" t="s">
        <v>31</v>
      </c>
      <c r="Q423" s="8" t="s">
        <v>31</v>
      </c>
      <c r="R423" s="8" t="s">
        <v>31</v>
      </c>
      <c r="S423" s="8" t="s">
        <v>31</v>
      </c>
      <c r="T423" s="8" t="s">
        <v>31</v>
      </c>
      <c r="U423" s="8" t="s">
        <v>31</v>
      </c>
      <c r="V423" s="8" t="s">
        <v>31</v>
      </c>
      <c r="W423" s="8" t="str">
        <f>_xlfn.IFNA(VLOOKUP(A423,[1]Sheet1!$A$1:$B$101,1,FALSE),"na")</f>
        <v>na</v>
      </c>
      <c r="X423" s="8" t="s">
        <v>912</v>
      </c>
      <c r="Y423" s="9">
        <v>294</v>
      </c>
      <c r="Z423" s="9">
        <v>210</v>
      </c>
      <c r="AA423" s="9">
        <v>294</v>
      </c>
      <c r="AB423" s="9">
        <v>210</v>
      </c>
    </row>
    <row r="424" spans="1:28" x14ac:dyDescent="0.25">
      <c r="A424" s="8" t="s">
        <v>919</v>
      </c>
      <c r="B424" s="8" t="s">
        <v>920</v>
      </c>
      <c r="C424" s="8" t="s">
        <v>67</v>
      </c>
      <c r="D424" s="10">
        <v>1.0666698999999999</v>
      </c>
      <c r="E424" s="10">
        <v>1</v>
      </c>
      <c r="F424" s="10">
        <v>6.6670001000000007E-2</v>
      </c>
      <c r="G424" s="10">
        <v>1</v>
      </c>
      <c r="H424" s="10">
        <v>6.6670001000000007E-2</v>
      </c>
      <c r="I424" s="10">
        <v>0</v>
      </c>
      <c r="J424" s="10">
        <v>0</v>
      </c>
      <c r="K424" s="10">
        <v>1</v>
      </c>
      <c r="L424" s="10">
        <v>6.6670001000000007E-2</v>
      </c>
      <c r="M424" s="10">
        <v>0</v>
      </c>
      <c r="N424" s="10">
        <v>6.6670001000000007E-2</v>
      </c>
      <c r="O424" s="8" t="s">
        <v>31</v>
      </c>
      <c r="P424" s="8" t="s">
        <v>31</v>
      </c>
      <c r="Q424" s="8" t="s">
        <v>31</v>
      </c>
      <c r="R424" s="8" t="s">
        <v>31</v>
      </c>
      <c r="S424" s="8" t="s">
        <v>31</v>
      </c>
      <c r="T424" s="8" t="s">
        <v>31</v>
      </c>
      <c r="U424" s="8" t="s">
        <v>31</v>
      </c>
      <c r="V424" s="8" t="s">
        <v>31</v>
      </c>
      <c r="W424" s="8" t="str">
        <f>_xlfn.IFNA(VLOOKUP(A424,[1]Sheet1!$A$1:$B$101,1,FALSE),"na")</f>
        <v>na</v>
      </c>
      <c r="X424" s="8" t="s">
        <v>691</v>
      </c>
      <c r="Y424" s="9">
        <v>104</v>
      </c>
      <c r="Z424" s="9">
        <v>97.499701999999999</v>
      </c>
      <c r="AA424" s="9">
        <v>104</v>
      </c>
      <c r="AB424" s="9">
        <v>104</v>
      </c>
    </row>
    <row r="425" spans="1:28" x14ac:dyDescent="0.25">
      <c r="A425" s="8" t="s">
        <v>921</v>
      </c>
      <c r="B425" s="8" t="s">
        <v>922</v>
      </c>
      <c r="C425" s="8" t="s">
        <v>67</v>
      </c>
      <c r="D425" s="10">
        <v>3.0999998999999998</v>
      </c>
      <c r="E425" s="10">
        <v>0</v>
      </c>
      <c r="F425" s="10">
        <v>3.0999998999999998</v>
      </c>
      <c r="G425" s="10">
        <v>0</v>
      </c>
      <c r="H425" s="10">
        <v>3.0999998999999998</v>
      </c>
      <c r="I425" s="10">
        <v>0</v>
      </c>
      <c r="J425" s="10">
        <v>0</v>
      </c>
      <c r="K425" s="10">
        <v>0</v>
      </c>
      <c r="L425" s="10">
        <v>0.1</v>
      </c>
      <c r="M425" s="10">
        <v>0</v>
      </c>
      <c r="N425" s="10">
        <v>0.1</v>
      </c>
      <c r="O425" s="8" t="s">
        <v>31</v>
      </c>
      <c r="P425" s="8" t="s">
        <v>31</v>
      </c>
      <c r="Q425" s="8" t="s">
        <v>57</v>
      </c>
      <c r="R425" s="8" t="s">
        <v>31</v>
      </c>
      <c r="S425" s="8" t="s">
        <v>31</v>
      </c>
      <c r="T425" s="8" t="s">
        <v>31</v>
      </c>
      <c r="U425" s="8" t="s">
        <v>31</v>
      </c>
      <c r="V425" s="8" t="s">
        <v>31</v>
      </c>
      <c r="W425" s="8" t="str">
        <f>_xlfn.IFNA(VLOOKUP(A425,[1]Sheet1!$A$1:$B$101,1,FALSE),"na")</f>
        <v>na</v>
      </c>
      <c r="X425" s="8" t="s">
        <v>487</v>
      </c>
      <c r="Y425" s="9">
        <v>188</v>
      </c>
      <c r="Z425" s="9">
        <v>60.645164000000001</v>
      </c>
      <c r="AA425" s="9">
        <v>188</v>
      </c>
      <c r="AB425" s="9">
        <v>60.645164000000001</v>
      </c>
    </row>
    <row r="426" spans="1:28" x14ac:dyDescent="0.25">
      <c r="A426" s="8" t="s">
        <v>923</v>
      </c>
      <c r="B426" s="8" t="s">
        <v>924</v>
      </c>
      <c r="C426" s="8" t="s">
        <v>80</v>
      </c>
      <c r="D426" s="10">
        <v>3.3333298999999998</v>
      </c>
      <c r="E426" s="10">
        <v>2</v>
      </c>
      <c r="F426" s="10">
        <v>1.3333299999999999</v>
      </c>
      <c r="G426" s="10">
        <v>2</v>
      </c>
      <c r="H426" s="10">
        <v>1.3333299999999999</v>
      </c>
      <c r="I426" s="10">
        <v>0</v>
      </c>
      <c r="J426" s="10">
        <v>0</v>
      </c>
      <c r="K426" s="10">
        <v>0</v>
      </c>
      <c r="L426" s="10">
        <v>0.33333001000000001</v>
      </c>
      <c r="M426" s="10">
        <v>0</v>
      </c>
      <c r="N426" s="10">
        <v>0.33333001000000001</v>
      </c>
      <c r="O426" s="8" t="s">
        <v>31</v>
      </c>
      <c r="P426" s="8" t="s">
        <v>31</v>
      </c>
      <c r="Q426" s="8" t="s">
        <v>31</v>
      </c>
      <c r="R426" s="8" t="s">
        <v>31</v>
      </c>
      <c r="S426" s="8" t="s">
        <v>31</v>
      </c>
      <c r="T426" s="8" t="s">
        <v>31</v>
      </c>
      <c r="U426" s="8" t="s">
        <v>57</v>
      </c>
      <c r="V426" s="8" t="s">
        <v>31</v>
      </c>
      <c r="W426" s="8" t="str">
        <f>_xlfn.IFNA(VLOOKUP(A426,[1]Sheet1!$A$1:$B$101,1,FALSE),"na")</f>
        <v>na</v>
      </c>
      <c r="X426" s="8" t="s">
        <v>844</v>
      </c>
      <c r="Y426" s="9">
        <v>370</v>
      </c>
      <c r="Z426" s="9">
        <v>111.00011000000001</v>
      </c>
      <c r="AA426" s="9">
        <v>185</v>
      </c>
      <c r="AB426" s="9">
        <v>277.50067000000001</v>
      </c>
    </row>
    <row r="427" spans="1:28" x14ac:dyDescent="0.25">
      <c r="A427" s="8" t="s">
        <v>925</v>
      </c>
      <c r="B427" s="8" t="s">
        <v>926</v>
      </c>
      <c r="C427" s="8" t="s">
        <v>80</v>
      </c>
      <c r="D427" s="10">
        <v>5.0666698999999999</v>
      </c>
      <c r="E427" s="10">
        <v>5</v>
      </c>
      <c r="F427" s="10">
        <v>6.6670001000000007E-2</v>
      </c>
      <c r="G427" s="10">
        <v>5</v>
      </c>
      <c r="H427" s="10">
        <v>6.6670001000000007E-2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6.6670001000000007E-2</v>
      </c>
      <c r="O427" s="8" t="s">
        <v>31</v>
      </c>
      <c r="P427" s="8" t="s">
        <v>31</v>
      </c>
      <c r="Q427" s="8" t="s">
        <v>31</v>
      </c>
      <c r="R427" s="8" t="s">
        <v>31</v>
      </c>
      <c r="S427" s="8" t="s">
        <v>31</v>
      </c>
      <c r="T427" s="8" t="s">
        <v>31</v>
      </c>
      <c r="U427" s="8" t="s">
        <v>31</v>
      </c>
      <c r="V427" s="8" t="s">
        <v>31</v>
      </c>
      <c r="W427" s="8" t="str">
        <f>_xlfn.IFNA(VLOOKUP(A427,[1]Sheet1!$A$1:$B$101,1,FALSE),"na")</f>
        <v>na</v>
      </c>
      <c r="X427" s="8" t="s">
        <v>35</v>
      </c>
      <c r="Y427" s="9">
        <v>672</v>
      </c>
      <c r="Z427" s="9">
        <v>132.63149999999999</v>
      </c>
      <c r="AA427" s="9">
        <v>134.39999</v>
      </c>
      <c r="AB427" s="9">
        <v>672</v>
      </c>
    </row>
    <row r="428" spans="1:28" x14ac:dyDescent="0.25">
      <c r="A428" s="8" t="s">
        <v>927</v>
      </c>
      <c r="B428" s="8" t="s">
        <v>928</v>
      </c>
      <c r="C428" s="8" t="s">
        <v>62</v>
      </c>
      <c r="D428" s="10">
        <v>4.1428599000000004</v>
      </c>
      <c r="E428" s="10">
        <v>2</v>
      </c>
      <c r="F428" s="10">
        <v>2.1428598999999999</v>
      </c>
      <c r="G428" s="10">
        <v>2</v>
      </c>
      <c r="H428" s="10">
        <v>2.1428598999999999</v>
      </c>
      <c r="I428" s="10">
        <v>0</v>
      </c>
      <c r="J428" s="10">
        <v>0</v>
      </c>
      <c r="K428" s="10">
        <v>0</v>
      </c>
      <c r="L428" s="10">
        <v>0.11429</v>
      </c>
      <c r="M428" s="10">
        <v>0</v>
      </c>
      <c r="N428" s="10">
        <v>0.14285999999999999</v>
      </c>
      <c r="O428" s="8" t="s">
        <v>31</v>
      </c>
      <c r="P428" s="8" t="s">
        <v>31</v>
      </c>
      <c r="Q428" s="8" t="s">
        <v>31</v>
      </c>
      <c r="R428" s="8" t="s">
        <v>31</v>
      </c>
      <c r="S428" s="8" t="s">
        <v>31</v>
      </c>
      <c r="T428" s="8" t="s">
        <v>57</v>
      </c>
      <c r="U428" s="8" t="s">
        <v>31</v>
      </c>
      <c r="V428" s="8" t="s">
        <v>31</v>
      </c>
      <c r="W428" s="8" t="str">
        <f>_xlfn.IFNA(VLOOKUP(A428,[1]Sheet1!$A$1:$B$101,1,FALSE),"na")</f>
        <v>na</v>
      </c>
      <c r="X428" s="8" t="s">
        <v>844</v>
      </c>
      <c r="Y428" s="9">
        <v>290</v>
      </c>
      <c r="Z428" s="9">
        <v>69.999954000000002</v>
      </c>
      <c r="AA428" s="9">
        <v>145</v>
      </c>
      <c r="AB428" s="9">
        <v>135.33315999999999</v>
      </c>
    </row>
    <row r="429" spans="1:28" x14ac:dyDescent="0.25">
      <c r="A429" s="8" t="s">
        <v>929</v>
      </c>
      <c r="B429" s="8" t="s">
        <v>930</v>
      </c>
      <c r="C429" s="8" t="s">
        <v>67</v>
      </c>
      <c r="D429" s="10">
        <v>2.0666698999999999</v>
      </c>
      <c r="E429" s="10">
        <v>1</v>
      </c>
      <c r="F429" s="10">
        <v>1.0666698999999999</v>
      </c>
      <c r="G429" s="10">
        <v>1</v>
      </c>
      <c r="H429" s="10">
        <v>1.0666698999999999</v>
      </c>
      <c r="I429" s="10">
        <v>0</v>
      </c>
      <c r="J429" s="10">
        <v>0</v>
      </c>
      <c r="K429" s="10">
        <v>0</v>
      </c>
      <c r="L429" s="10">
        <v>6.6670001000000007E-2</v>
      </c>
      <c r="M429" s="10">
        <v>0</v>
      </c>
      <c r="N429" s="10">
        <v>6.6670001000000007E-2</v>
      </c>
      <c r="O429" s="8" t="s">
        <v>57</v>
      </c>
      <c r="P429" s="8" t="s">
        <v>31</v>
      </c>
      <c r="Q429" s="8" t="s">
        <v>31</v>
      </c>
      <c r="R429" s="8" t="s">
        <v>31</v>
      </c>
      <c r="S429" s="8" t="s">
        <v>31</v>
      </c>
      <c r="T429" s="8" t="s">
        <v>31</v>
      </c>
      <c r="U429" s="8" t="s">
        <v>31</v>
      </c>
      <c r="V429" s="8" t="s">
        <v>31</v>
      </c>
      <c r="W429" s="8" t="str">
        <f>_xlfn.IFNA(VLOOKUP(A429,[1]Sheet1!$A$1:$B$101,1,FALSE),"na")</f>
        <v>na</v>
      </c>
      <c r="X429" s="8" t="s">
        <v>691</v>
      </c>
      <c r="Y429" s="9">
        <v>172</v>
      </c>
      <c r="Z429" s="9">
        <v>83.225677000000005</v>
      </c>
      <c r="AA429" s="9">
        <v>172</v>
      </c>
      <c r="AB429" s="9">
        <v>161.24950999999999</v>
      </c>
    </row>
    <row r="430" spans="1:28" x14ac:dyDescent="0.25">
      <c r="A430" s="8" t="s">
        <v>931</v>
      </c>
      <c r="B430" s="8" t="s">
        <v>932</v>
      </c>
      <c r="C430" s="8" t="s">
        <v>62</v>
      </c>
      <c r="D430" s="10">
        <v>3.1428598999999999</v>
      </c>
      <c r="E430" s="10">
        <v>1</v>
      </c>
      <c r="F430" s="10">
        <v>2.1428598999999999</v>
      </c>
      <c r="G430" s="10">
        <v>1</v>
      </c>
      <c r="H430" s="10">
        <v>2.1428598999999999</v>
      </c>
      <c r="I430" s="10">
        <v>0</v>
      </c>
      <c r="J430" s="10">
        <v>0</v>
      </c>
      <c r="K430" s="10">
        <v>0</v>
      </c>
      <c r="L430" s="10">
        <v>0.11429</v>
      </c>
      <c r="M430" s="10">
        <v>0</v>
      </c>
      <c r="N430" s="10">
        <v>0.14285999999999999</v>
      </c>
      <c r="O430" s="8" t="s">
        <v>31</v>
      </c>
      <c r="P430" s="8" t="s">
        <v>31</v>
      </c>
      <c r="Q430" s="8" t="s">
        <v>57</v>
      </c>
      <c r="R430" s="8" t="s">
        <v>31</v>
      </c>
      <c r="S430" s="8" t="s">
        <v>31</v>
      </c>
      <c r="T430" s="8" t="s">
        <v>31</v>
      </c>
      <c r="U430" s="8" t="s">
        <v>31</v>
      </c>
      <c r="V430" s="8" t="s">
        <v>31</v>
      </c>
      <c r="W430" s="8" t="str">
        <f>_xlfn.IFNA(VLOOKUP(A430,[1]Sheet1!$A$1:$B$101,1,FALSE),"na")</f>
        <v>na</v>
      </c>
      <c r="X430" s="8"/>
      <c r="Y430" s="9">
        <v>135</v>
      </c>
      <c r="Z430" s="9">
        <v>42.954506000000002</v>
      </c>
      <c r="AA430" s="9">
        <v>135</v>
      </c>
      <c r="AB430" s="9">
        <v>62.999915999999999</v>
      </c>
    </row>
    <row r="431" spans="1:28" x14ac:dyDescent="0.25">
      <c r="A431" s="8" t="s">
        <v>933</v>
      </c>
      <c r="B431" s="8" t="s">
        <v>934</v>
      </c>
      <c r="C431" s="8" t="s">
        <v>67</v>
      </c>
      <c r="D431" s="10">
        <v>3</v>
      </c>
      <c r="E431" s="10">
        <v>3</v>
      </c>
      <c r="F431" s="10">
        <v>0</v>
      </c>
      <c r="G431" s="10">
        <v>3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8" t="s">
        <v>31</v>
      </c>
      <c r="P431" s="8" t="s">
        <v>31</v>
      </c>
      <c r="Q431" s="8" t="s">
        <v>31</v>
      </c>
      <c r="R431" s="8" t="s">
        <v>31</v>
      </c>
      <c r="S431" s="8" t="s">
        <v>31</v>
      </c>
      <c r="T431" s="8" t="s">
        <v>31</v>
      </c>
      <c r="U431" s="8" t="s">
        <v>31</v>
      </c>
      <c r="V431" s="8" t="s">
        <v>31</v>
      </c>
      <c r="W431" s="8" t="str">
        <f>_xlfn.IFNA(VLOOKUP(A431,[1]Sheet1!$A$1:$B$101,1,FALSE),"na")</f>
        <v>na</v>
      </c>
      <c r="X431" s="8" t="s">
        <v>434</v>
      </c>
      <c r="Y431" s="9">
        <v>393</v>
      </c>
      <c r="Z431" s="9">
        <v>131</v>
      </c>
      <c r="AA431" s="9">
        <v>131</v>
      </c>
      <c r="AB431" s="9">
        <v>393</v>
      </c>
    </row>
    <row r="432" spans="1:28" x14ac:dyDescent="0.25">
      <c r="A432" s="8" t="s">
        <v>935</v>
      </c>
      <c r="B432" s="8" t="s">
        <v>936</v>
      </c>
      <c r="C432" s="8" t="s">
        <v>62</v>
      </c>
      <c r="D432" s="10">
        <v>3.2</v>
      </c>
      <c r="E432" s="10">
        <v>2</v>
      </c>
      <c r="F432" s="10">
        <v>1.2</v>
      </c>
      <c r="G432" s="10">
        <v>2</v>
      </c>
      <c r="H432" s="10">
        <v>1.2</v>
      </c>
      <c r="I432" s="10">
        <v>0</v>
      </c>
      <c r="J432" s="10">
        <v>0</v>
      </c>
      <c r="K432" s="10">
        <v>0</v>
      </c>
      <c r="L432" s="10">
        <v>0.2</v>
      </c>
      <c r="M432" s="10">
        <v>0</v>
      </c>
      <c r="N432" s="10">
        <v>0.2</v>
      </c>
      <c r="O432" s="8" t="s">
        <v>57</v>
      </c>
      <c r="P432" s="8" t="s">
        <v>31</v>
      </c>
      <c r="Q432" s="8" t="s">
        <v>57</v>
      </c>
      <c r="R432" s="8" t="s">
        <v>31</v>
      </c>
      <c r="S432" s="8" t="s">
        <v>31</v>
      </c>
      <c r="T432" s="8" t="s">
        <v>31</v>
      </c>
      <c r="U432" s="8" t="s">
        <v>31</v>
      </c>
      <c r="V432" s="8" t="s">
        <v>31</v>
      </c>
      <c r="W432" s="8" t="str">
        <f>_xlfn.IFNA(VLOOKUP(A432,[1]Sheet1!$A$1:$B$101,1,FALSE),"na")</f>
        <v>na</v>
      </c>
      <c r="X432" s="8" t="s">
        <v>35</v>
      </c>
      <c r="Y432" s="9">
        <v>354</v>
      </c>
      <c r="Z432" s="9">
        <v>110.625</v>
      </c>
      <c r="AA432" s="9">
        <v>177</v>
      </c>
      <c r="AB432" s="9">
        <v>295</v>
      </c>
    </row>
    <row r="433" spans="1:28" x14ac:dyDescent="0.25">
      <c r="A433" s="8" t="s">
        <v>937</v>
      </c>
      <c r="B433" s="8" t="s">
        <v>938</v>
      </c>
      <c r="C433" s="8" t="s">
        <v>62</v>
      </c>
      <c r="D433" s="10">
        <v>6.4000000999999997</v>
      </c>
      <c r="E433" s="10">
        <v>3</v>
      </c>
      <c r="F433" s="10">
        <v>3.4000001000000002</v>
      </c>
      <c r="G433" s="10">
        <v>3</v>
      </c>
      <c r="H433" s="10">
        <v>3.4000001000000002</v>
      </c>
      <c r="I433" s="10">
        <v>0</v>
      </c>
      <c r="J433" s="10">
        <v>0</v>
      </c>
      <c r="K433" s="10">
        <v>0</v>
      </c>
      <c r="L433" s="10">
        <v>0.2</v>
      </c>
      <c r="M433" s="10">
        <v>0</v>
      </c>
      <c r="N433" s="10">
        <v>0.40000001000000002</v>
      </c>
      <c r="O433" s="8" t="s">
        <v>31</v>
      </c>
      <c r="P433" s="8" t="s">
        <v>31</v>
      </c>
      <c r="Q433" s="8" t="s">
        <v>57</v>
      </c>
      <c r="R433" s="8" t="s">
        <v>31</v>
      </c>
      <c r="S433" s="8" t="s">
        <v>31</v>
      </c>
      <c r="T433" s="8" t="s">
        <v>57</v>
      </c>
      <c r="U433" s="8" t="s">
        <v>31</v>
      </c>
      <c r="V433" s="8" t="s">
        <v>31</v>
      </c>
      <c r="W433" s="8" t="str">
        <f>_xlfn.IFNA(VLOOKUP(A433,[1]Sheet1!$A$1:$B$101,1,FALSE),"na")</f>
        <v>na</v>
      </c>
      <c r="X433" s="8" t="s">
        <v>35</v>
      </c>
      <c r="Y433" s="9">
        <v>431</v>
      </c>
      <c r="Z433" s="9">
        <v>67.34375</v>
      </c>
      <c r="AA433" s="9">
        <v>143.66667000000001</v>
      </c>
      <c r="AB433" s="9">
        <v>126.7647</v>
      </c>
    </row>
    <row r="434" spans="1:28" x14ac:dyDescent="0.25">
      <c r="A434" s="8" t="s">
        <v>939</v>
      </c>
      <c r="B434" s="8" t="s">
        <v>940</v>
      </c>
      <c r="C434" s="8" t="s">
        <v>62</v>
      </c>
      <c r="D434" s="10">
        <v>5.1428599000000004</v>
      </c>
      <c r="E434" s="10">
        <v>3</v>
      </c>
      <c r="F434" s="10">
        <v>2.1428598999999999</v>
      </c>
      <c r="G434" s="10">
        <v>3</v>
      </c>
      <c r="H434" s="10">
        <v>2.1428598999999999</v>
      </c>
      <c r="I434" s="10">
        <v>0</v>
      </c>
      <c r="J434" s="10">
        <v>0</v>
      </c>
      <c r="K434" s="10">
        <v>1</v>
      </c>
      <c r="L434" s="10">
        <v>0.11429</v>
      </c>
      <c r="M434" s="10">
        <v>0</v>
      </c>
      <c r="N434" s="10">
        <v>0.14285999999999999</v>
      </c>
      <c r="O434" s="8" t="s">
        <v>31</v>
      </c>
      <c r="P434" s="8" t="s">
        <v>31</v>
      </c>
      <c r="Q434" s="8" t="s">
        <v>31</v>
      </c>
      <c r="R434" s="8" t="s">
        <v>31</v>
      </c>
      <c r="S434" s="8" t="s">
        <v>31</v>
      </c>
      <c r="T434" s="8" t="s">
        <v>57</v>
      </c>
      <c r="U434" s="8" t="s">
        <v>31</v>
      </c>
      <c r="V434" s="8" t="s">
        <v>31</v>
      </c>
      <c r="W434" s="8" t="str">
        <f>_xlfn.IFNA(VLOOKUP(A434,[1]Sheet1!$A$1:$B$101,1,FALSE),"na")</f>
        <v>na</v>
      </c>
      <c r="X434" s="8" t="s">
        <v>844</v>
      </c>
      <c r="Y434" s="9">
        <v>292</v>
      </c>
      <c r="Z434" s="9">
        <v>56.777748000000003</v>
      </c>
      <c r="AA434" s="9">
        <v>97.333336000000003</v>
      </c>
      <c r="AB434" s="9">
        <v>136.26649</v>
      </c>
    </row>
    <row r="435" spans="1:28" x14ac:dyDescent="0.25">
      <c r="A435" s="8" t="s">
        <v>941</v>
      </c>
      <c r="B435" s="8" t="s">
        <v>942</v>
      </c>
      <c r="C435" s="8" t="s">
        <v>80</v>
      </c>
      <c r="D435" s="10">
        <v>4.0666698999999999</v>
      </c>
      <c r="E435" s="10">
        <v>3</v>
      </c>
      <c r="F435" s="10">
        <v>1.0666698999999999</v>
      </c>
      <c r="G435" s="10">
        <v>3</v>
      </c>
      <c r="H435" s="10">
        <v>1.0666698999999999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6.6670001000000007E-2</v>
      </c>
      <c r="O435" s="8" t="s">
        <v>31</v>
      </c>
      <c r="P435" s="8" t="s">
        <v>31</v>
      </c>
      <c r="Q435" s="8" t="s">
        <v>31</v>
      </c>
      <c r="R435" s="8" t="s">
        <v>31</v>
      </c>
      <c r="S435" s="8" t="s">
        <v>31</v>
      </c>
      <c r="T435" s="8" t="s">
        <v>57</v>
      </c>
      <c r="U435" s="8" t="s">
        <v>31</v>
      </c>
      <c r="V435" s="8" t="s">
        <v>31</v>
      </c>
      <c r="W435" s="8" t="str">
        <f>_xlfn.IFNA(VLOOKUP(A435,[1]Sheet1!$A$1:$B$101,1,FALSE),"na")</f>
        <v>na</v>
      </c>
      <c r="X435" s="8" t="s">
        <v>35</v>
      </c>
      <c r="Y435" s="9">
        <v>388</v>
      </c>
      <c r="Z435" s="9">
        <v>95.409760000000006</v>
      </c>
      <c r="AA435" s="9">
        <v>129.33332999999999</v>
      </c>
      <c r="AB435" s="9">
        <v>363.74887000000001</v>
      </c>
    </row>
    <row r="436" spans="1:28" x14ac:dyDescent="0.25">
      <c r="A436" s="8" t="s">
        <v>943</v>
      </c>
      <c r="B436" s="8" t="s">
        <v>944</v>
      </c>
      <c r="C436" s="8" t="s">
        <v>30</v>
      </c>
      <c r="D436" s="10">
        <v>3.5999998999999998</v>
      </c>
      <c r="E436" s="10">
        <v>1</v>
      </c>
      <c r="F436" s="10">
        <v>2.5999998999999998</v>
      </c>
      <c r="G436" s="10">
        <v>1</v>
      </c>
      <c r="H436" s="10">
        <v>2.5999998999999998</v>
      </c>
      <c r="I436" s="10">
        <v>0</v>
      </c>
      <c r="J436" s="10">
        <v>0</v>
      </c>
      <c r="K436" s="10">
        <v>0</v>
      </c>
      <c r="L436" s="10">
        <v>0.60000001999999997</v>
      </c>
      <c r="M436" s="10">
        <v>0</v>
      </c>
      <c r="N436" s="10">
        <v>0.60000001999999997</v>
      </c>
      <c r="O436" s="8" t="s">
        <v>57</v>
      </c>
      <c r="P436" s="8" t="s">
        <v>31</v>
      </c>
      <c r="Q436" s="8" t="s">
        <v>31</v>
      </c>
      <c r="R436" s="8" t="s">
        <v>31</v>
      </c>
      <c r="S436" s="8" t="s">
        <v>31</v>
      </c>
      <c r="T436" s="8" t="s">
        <v>31</v>
      </c>
      <c r="U436" s="8" t="s">
        <v>31</v>
      </c>
      <c r="V436" s="8" t="s">
        <v>31</v>
      </c>
      <c r="W436" s="8" t="str">
        <f>_xlfn.IFNA(VLOOKUP(A436,[1]Sheet1!$A$1:$B$101,1,FALSE),"na")</f>
        <v>na</v>
      </c>
      <c r="X436" s="8" t="s">
        <v>35</v>
      </c>
      <c r="Y436" s="9">
        <v>402</v>
      </c>
      <c r="Z436" s="9">
        <v>111.66667</v>
      </c>
      <c r="AA436" s="9">
        <v>402</v>
      </c>
      <c r="AB436" s="9">
        <v>154.61538999999999</v>
      </c>
    </row>
    <row r="437" spans="1:28" x14ac:dyDescent="0.25">
      <c r="A437" s="8" t="s">
        <v>945</v>
      </c>
      <c r="B437" s="8" t="s">
        <v>946</v>
      </c>
      <c r="C437" s="8" t="s">
        <v>30</v>
      </c>
      <c r="D437" s="10">
        <v>1.3333299999999999</v>
      </c>
      <c r="E437" s="10">
        <v>1</v>
      </c>
      <c r="F437" s="10">
        <v>0.33333001000000001</v>
      </c>
      <c r="G437" s="10">
        <v>1</v>
      </c>
      <c r="H437" s="10">
        <v>0.33333001000000001</v>
      </c>
      <c r="I437" s="10">
        <v>0</v>
      </c>
      <c r="J437" s="10">
        <v>0</v>
      </c>
      <c r="K437" s="10">
        <v>0</v>
      </c>
      <c r="L437" s="10">
        <v>0.33333001000000001</v>
      </c>
      <c r="M437" s="10">
        <v>0</v>
      </c>
      <c r="N437" s="10">
        <v>0.33333001000000001</v>
      </c>
      <c r="O437" s="8" t="s">
        <v>31</v>
      </c>
      <c r="P437" s="8" t="s">
        <v>31</v>
      </c>
      <c r="Q437" s="8" t="s">
        <v>31</v>
      </c>
      <c r="R437" s="8" t="s">
        <v>31</v>
      </c>
      <c r="S437" s="8" t="s">
        <v>31</v>
      </c>
      <c r="T437" s="8" t="s">
        <v>31</v>
      </c>
      <c r="U437" s="8" t="s">
        <v>31</v>
      </c>
      <c r="V437" s="8" t="s">
        <v>31</v>
      </c>
      <c r="W437" s="8" t="str">
        <f>_xlfn.IFNA(VLOOKUP(A437,[1]Sheet1!$A$1:$B$101,1,FALSE),"na")</f>
        <v>na</v>
      </c>
      <c r="X437" s="8" t="s">
        <v>35</v>
      </c>
      <c r="Y437" s="9">
        <v>355</v>
      </c>
      <c r="Z437" s="9">
        <v>266.25067000000001</v>
      </c>
      <c r="AA437" s="9">
        <v>355</v>
      </c>
      <c r="AB437" s="9">
        <v>355</v>
      </c>
    </row>
    <row r="438" spans="1:28" x14ac:dyDescent="0.25">
      <c r="A438" s="8" t="s">
        <v>947</v>
      </c>
      <c r="B438" s="8" t="s">
        <v>948</v>
      </c>
      <c r="C438" s="8" t="s">
        <v>67</v>
      </c>
      <c r="D438" s="10">
        <v>1.3333299999999999</v>
      </c>
      <c r="E438" s="10">
        <v>0</v>
      </c>
      <c r="F438" s="10">
        <v>1.3333299999999999</v>
      </c>
      <c r="G438" s="10">
        <v>0</v>
      </c>
      <c r="H438" s="10">
        <v>1.3333299999999999</v>
      </c>
      <c r="I438" s="10">
        <v>0</v>
      </c>
      <c r="J438" s="10">
        <v>0</v>
      </c>
      <c r="K438" s="10">
        <v>0</v>
      </c>
      <c r="L438" s="10">
        <v>0.33333001000000001</v>
      </c>
      <c r="M438" s="10">
        <v>0</v>
      </c>
      <c r="N438" s="10">
        <v>0.33333001000000001</v>
      </c>
      <c r="O438" s="8" t="s">
        <v>31</v>
      </c>
      <c r="P438" s="8" t="s">
        <v>31</v>
      </c>
      <c r="Q438" s="8" t="s">
        <v>31</v>
      </c>
      <c r="R438" s="8" t="s">
        <v>31</v>
      </c>
      <c r="S438" s="8" t="s">
        <v>31</v>
      </c>
      <c r="T438" s="8" t="s">
        <v>31</v>
      </c>
      <c r="U438" s="8" t="s">
        <v>31</v>
      </c>
      <c r="V438" s="8" t="s">
        <v>31</v>
      </c>
      <c r="W438" s="8" t="str">
        <f>_xlfn.IFNA(VLOOKUP(A438,[1]Sheet1!$A$1:$B$101,1,FALSE),"na")</f>
        <v>na</v>
      </c>
      <c r="X438" s="8" t="s">
        <v>35</v>
      </c>
      <c r="Y438" s="9">
        <v>346</v>
      </c>
      <c r="Z438" s="9">
        <v>259.50063999999998</v>
      </c>
      <c r="AA438" s="9">
        <v>346</v>
      </c>
      <c r="AB438" s="9">
        <v>259.50063999999998</v>
      </c>
    </row>
    <row r="439" spans="1:28" x14ac:dyDescent="0.25">
      <c r="A439" s="8" t="s">
        <v>949</v>
      </c>
      <c r="B439" s="8" t="s">
        <v>950</v>
      </c>
      <c r="C439" s="8" t="s">
        <v>30</v>
      </c>
      <c r="D439" s="10">
        <v>3.5999998999999998</v>
      </c>
      <c r="E439" s="10">
        <v>1</v>
      </c>
      <c r="F439" s="10">
        <v>2.5999998999999998</v>
      </c>
      <c r="G439" s="10">
        <v>1</v>
      </c>
      <c r="H439" s="10">
        <v>2.5999998999999998</v>
      </c>
      <c r="I439" s="10">
        <v>0</v>
      </c>
      <c r="J439" s="10">
        <v>0</v>
      </c>
      <c r="K439" s="10">
        <v>0</v>
      </c>
      <c r="L439" s="10">
        <v>0.60000001999999997</v>
      </c>
      <c r="M439" s="10">
        <v>0</v>
      </c>
      <c r="N439" s="10">
        <v>0.60000001999999997</v>
      </c>
      <c r="O439" s="8" t="s">
        <v>31</v>
      </c>
      <c r="P439" s="8" t="s">
        <v>57</v>
      </c>
      <c r="Q439" s="8" t="s">
        <v>57</v>
      </c>
      <c r="R439" s="8" t="s">
        <v>31</v>
      </c>
      <c r="S439" s="8" t="s">
        <v>31</v>
      </c>
      <c r="T439" s="8" t="s">
        <v>31</v>
      </c>
      <c r="U439" s="8" t="s">
        <v>31</v>
      </c>
      <c r="V439" s="8" t="s">
        <v>31</v>
      </c>
      <c r="W439" s="8" t="str">
        <f>_xlfn.IFNA(VLOOKUP(A439,[1]Sheet1!$A$1:$B$101,1,FALSE),"na")</f>
        <v>na</v>
      </c>
      <c r="X439" s="8" t="s">
        <v>35</v>
      </c>
      <c r="Y439" s="9">
        <v>418</v>
      </c>
      <c r="Z439" s="9">
        <v>116.11111</v>
      </c>
      <c r="AA439" s="9">
        <v>418</v>
      </c>
      <c r="AB439" s="9">
        <v>160.76924</v>
      </c>
    </row>
    <row r="440" spans="1:28" x14ac:dyDescent="0.25">
      <c r="A440" s="8" t="s">
        <v>951</v>
      </c>
      <c r="B440" s="8" t="s">
        <v>952</v>
      </c>
      <c r="C440" s="8" t="s">
        <v>80</v>
      </c>
      <c r="D440" s="10">
        <v>5</v>
      </c>
      <c r="E440" s="10">
        <v>4</v>
      </c>
      <c r="F440" s="10">
        <v>1</v>
      </c>
      <c r="G440" s="10">
        <v>4</v>
      </c>
      <c r="H440" s="10">
        <v>1</v>
      </c>
      <c r="I440" s="10">
        <v>0</v>
      </c>
      <c r="J440" s="10">
        <v>0</v>
      </c>
      <c r="K440" s="10">
        <v>1</v>
      </c>
      <c r="L440" s="10">
        <v>0</v>
      </c>
      <c r="M440" s="10">
        <v>0</v>
      </c>
      <c r="N440" s="10">
        <v>0</v>
      </c>
      <c r="O440" s="8" t="s">
        <v>31</v>
      </c>
      <c r="P440" s="8" t="s">
        <v>31</v>
      </c>
      <c r="Q440" s="8" t="s">
        <v>31</v>
      </c>
      <c r="R440" s="8" t="s">
        <v>31</v>
      </c>
      <c r="S440" s="8" t="s">
        <v>31</v>
      </c>
      <c r="T440" s="8" t="s">
        <v>31</v>
      </c>
      <c r="U440" s="8" t="s">
        <v>31</v>
      </c>
      <c r="V440" s="8" t="s">
        <v>31</v>
      </c>
      <c r="W440" s="8" t="str">
        <f>_xlfn.IFNA(VLOOKUP(A440,[1]Sheet1!$A$1:$B$101,1,FALSE),"na")</f>
        <v>na</v>
      </c>
      <c r="X440" s="8" t="s">
        <v>35</v>
      </c>
      <c r="Y440" s="9">
        <v>677</v>
      </c>
      <c r="Z440" s="9">
        <v>135.39999</v>
      </c>
      <c r="AA440" s="9">
        <v>169.25</v>
      </c>
      <c r="AB440" s="9">
        <v>677</v>
      </c>
    </row>
    <row r="441" spans="1:28" x14ac:dyDescent="0.25">
      <c r="A441" s="8" t="s">
        <v>953</v>
      </c>
      <c r="B441" s="8" t="s">
        <v>954</v>
      </c>
      <c r="C441" s="8" t="s">
        <v>62</v>
      </c>
      <c r="D441" s="10">
        <v>2</v>
      </c>
      <c r="E441" s="10">
        <v>1</v>
      </c>
      <c r="F441" s="10">
        <v>1</v>
      </c>
      <c r="G441" s="10">
        <v>1</v>
      </c>
      <c r="H441" s="10">
        <v>1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8" t="s">
        <v>31</v>
      </c>
      <c r="P441" s="8" t="s">
        <v>31</v>
      </c>
      <c r="Q441" s="8" t="s">
        <v>31</v>
      </c>
      <c r="R441" s="8" t="s">
        <v>31</v>
      </c>
      <c r="S441" s="8" t="s">
        <v>31</v>
      </c>
      <c r="T441" s="8" t="s">
        <v>57</v>
      </c>
      <c r="U441" s="8" t="s">
        <v>31</v>
      </c>
      <c r="V441" s="8" t="s">
        <v>31</v>
      </c>
      <c r="W441" s="8" t="str">
        <f>_xlfn.IFNA(VLOOKUP(A441,[1]Sheet1!$A$1:$B$101,1,FALSE),"na")</f>
        <v>na</v>
      </c>
      <c r="X441" s="8" t="s">
        <v>484</v>
      </c>
      <c r="Y441" s="9">
        <v>229</v>
      </c>
      <c r="Z441" s="9">
        <v>114.5</v>
      </c>
      <c r="AA441" s="9">
        <v>229</v>
      </c>
      <c r="AB441" s="9">
        <v>229</v>
      </c>
    </row>
    <row r="442" spans="1:28" x14ac:dyDescent="0.25">
      <c r="A442" s="8" t="s">
        <v>955</v>
      </c>
      <c r="B442" s="8" t="s">
        <v>956</v>
      </c>
      <c r="C442" s="8" t="s">
        <v>62</v>
      </c>
      <c r="D442" s="10">
        <v>9.1999998000000005</v>
      </c>
      <c r="E442" s="10">
        <v>5</v>
      </c>
      <c r="F442" s="10">
        <v>4.1999997999999996</v>
      </c>
      <c r="G442" s="10">
        <v>5</v>
      </c>
      <c r="H442" s="10">
        <v>4.1999997999999996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0.2</v>
      </c>
      <c r="O442" s="8" t="s">
        <v>31</v>
      </c>
      <c r="P442" s="8" t="s">
        <v>31</v>
      </c>
      <c r="Q442" s="8" t="s">
        <v>31</v>
      </c>
      <c r="R442" s="8" t="s">
        <v>31</v>
      </c>
      <c r="S442" s="8" t="s">
        <v>31</v>
      </c>
      <c r="T442" s="8" t="s">
        <v>57</v>
      </c>
      <c r="U442" s="8" t="s">
        <v>31</v>
      </c>
      <c r="V442" s="8" t="s">
        <v>57</v>
      </c>
      <c r="W442" s="8" t="str">
        <f>_xlfn.IFNA(VLOOKUP(A442,[1]Sheet1!$A$1:$B$101,1,FALSE),"na")</f>
        <v>na</v>
      </c>
      <c r="X442" s="8" t="s">
        <v>426</v>
      </c>
      <c r="Y442" s="9">
        <v>370</v>
      </c>
      <c r="Z442" s="9">
        <v>40.217391999999997</v>
      </c>
      <c r="AA442" s="9">
        <v>74</v>
      </c>
      <c r="AB442" s="9">
        <v>88.095245000000006</v>
      </c>
    </row>
    <row r="443" spans="1:28" x14ac:dyDescent="0.25">
      <c r="A443" s="8" t="s">
        <v>957</v>
      </c>
      <c r="B443" s="8" t="s">
        <v>958</v>
      </c>
      <c r="C443" s="8" t="s">
        <v>62</v>
      </c>
      <c r="D443" s="10">
        <v>2.2000000000000002</v>
      </c>
      <c r="E443" s="10">
        <v>2</v>
      </c>
      <c r="F443" s="10">
        <v>0.2</v>
      </c>
      <c r="G443" s="10">
        <v>2</v>
      </c>
      <c r="H443" s="10">
        <v>0.2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0.2</v>
      </c>
      <c r="O443" s="8" t="s">
        <v>31</v>
      </c>
      <c r="P443" s="8" t="s">
        <v>31</v>
      </c>
      <c r="Q443" s="8" t="s">
        <v>31</v>
      </c>
      <c r="R443" s="8" t="s">
        <v>31</v>
      </c>
      <c r="S443" s="8" t="s">
        <v>31</v>
      </c>
      <c r="T443" s="8" t="s">
        <v>57</v>
      </c>
      <c r="U443" s="8" t="s">
        <v>31</v>
      </c>
      <c r="V443" s="8" t="s">
        <v>57</v>
      </c>
      <c r="W443" s="8" t="str">
        <f>_xlfn.IFNA(VLOOKUP(A443,[1]Sheet1!$A$1:$B$101,1,FALSE),"na")</f>
        <v>na</v>
      </c>
      <c r="X443" s="8" t="s">
        <v>35</v>
      </c>
      <c r="Y443" s="9">
        <v>111</v>
      </c>
      <c r="Z443" s="9">
        <v>50.454543999999999</v>
      </c>
      <c r="AA443" s="9">
        <v>55.5</v>
      </c>
      <c r="AB443" s="9">
        <v>111</v>
      </c>
    </row>
    <row r="444" spans="1:28" x14ac:dyDescent="0.25">
      <c r="A444" s="8" t="s">
        <v>959</v>
      </c>
      <c r="B444" s="8" t="s">
        <v>960</v>
      </c>
      <c r="C444" s="8" t="s">
        <v>30</v>
      </c>
      <c r="D444" s="10">
        <v>1.0666698999999999</v>
      </c>
      <c r="E444" s="10">
        <v>1</v>
      </c>
      <c r="F444" s="10">
        <v>6.6670001000000007E-2</v>
      </c>
      <c r="G444" s="10">
        <v>1</v>
      </c>
      <c r="H444" s="10">
        <v>6.6670001000000007E-2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6.6670001000000007E-2</v>
      </c>
      <c r="O444" s="8" t="s">
        <v>31</v>
      </c>
      <c r="P444" s="8" t="s">
        <v>31</v>
      </c>
      <c r="Q444" s="8" t="s">
        <v>31</v>
      </c>
      <c r="R444" s="8" t="s">
        <v>31</v>
      </c>
      <c r="S444" s="8" t="s">
        <v>31</v>
      </c>
      <c r="T444" s="8" t="s">
        <v>31</v>
      </c>
      <c r="U444" s="8" t="s">
        <v>31</v>
      </c>
      <c r="V444" s="8" t="s">
        <v>31</v>
      </c>
      <c r="W444" s="8" t="str">
        <f>_xlfn.IFNA(VLOOKUP(A444,[1]Sheet1!$A$1:$B$101,1,FALSE),"na")</f>
        <v>na</v>
      </c>
      <c r="X444" s="8" t="s">
        <v>35</v>
      </c>
      <c r="Y444" s="9">
        <v>396</v>
      </c>
      <c r="Z444" s="9">
        <v>371.24887000000001</v>
      </c>
      <c r="AA444" s="9">
        <v>396</v>
      </c>
      <c r="AB444" s="9">
        <v>396</v>
      </c>
    </row>
    <row r="445" spans="1:28" x14ac:dyDescent="0.25">
      <c r="A445" s="8" t="s">
        <v>961</v>
      </c>
      <c r="B445" s="8" t="s">
        <v>962</v>
      </c>
      <c r="C445" s="8" t="s">
        <v>62</v>
      </c>
      <c r="D445" s="10">
        <v>5.1428599000000004</v>
      </c>
      <c r="E445" s="10">
        <v>2</v>
      </c>
      <c r="F445" s="10">
        <v>3.1428598999999999</v>
      </c>
      <c r="G445" s="10">
        <v>2</v>
      </c>
      <c r="H445" s="10">
        <v>3.1428598999999999</v>
      </c>
      <c r="I445" s="10">
        <v>0</v>
      </c>
      <c r="J445" s="10">
        <v>0</v>
      </c>
      <c r="K445" s="10">
        <v>0</v>
      </c>
      <c r="L445" s="10">
        <v>1.11429</v>
      </c>
      <c r="M445" s="10">
        <v>0</v>
      </c>
      <c r="N445" s="10">
        <v>0.14285999999999999</v>
      </c>
      <c r="O445" s="8" t="s">
        <v>31</v>
      </c>
      <c r="P445" s="8" t="s">
        <v>31</v>
      </c>
      <c r="Q445" s="8" t="s">
        <v>31</v>
      </c>
      <c r="R445" s="8" t="s">
        <v>31</v>
      </c>
      <c r="S445" s="8" t="s">
        <v>31</v>
      </c>
      <c r="T445" s="8" t="s">
        <v>57</v>
      </c>
      <c r="U445" s="8" t="s">
        <v>57</v>
      </c>
      <c r="V445" s="8" t="s">
        <v>31</v>
      </c>
      <c r="W445" s="8" t="str">
        <f>_xlfn.IFNA(VLOOKUP(A445,[1]Sheet1!$A$1:$B$101,1,FALSE),"na")</f>
        <v>na</v>
      </c>
      <c r="X445" s="8" t="s">
        <v>963</v>
      </c>
      <c r="Y445" s="9">
        <v>395</v>
      </c>
      <c r="Z445" s="9">
        <v>76.805510999999996</v>
      </c>
      <c r="AA445" s="9">
        <v>197.5</v>
      </c>
      <c r="AB445" s="9">
        <v>125.68171</v>
      </c>
    </row>
    <row r="446" spans="1:28" x14ac:dyDescent="0.25">
      <c r="A446" s="8" t="s">
        <v>964</v>
      </c>
      <c r="B446" s="8" t="s">
        <v>965</v>
      </c>
      <c r="C446" s="8" t="s">
        <v>80</v>
      </c>
      <c r="D446" s="10">
        <v>3.0999998999999998</v>
      </c>
      <c r="E446" s="10">
        <v>3</v>
      </c>
      <c r="F446" s="10">
        <v>0.1</v>
      </c>
      <c r="G446" s="10">
        <v>3</v>
      </c>
      <c r="H446" s="10">
        <v>0.1</v>
      </c>
      <c r="I446" s="10">
        <v>0</v>
      </c>
      <c r="J446" s="10">
        <v>0</v>
      </c>
      <c r="K446" s="10">
        <v>0</v>
      </c>
      <c r="L446" s="10">
        <v>0.1</v>
      </c>
      <c r="M446" s="10">
        <v>0</v>
      </c>
      <c r="N446" s="10">
        <v>0.1</v>
      </c>
      <c r="O446" s="8" t="s">
        <v>31</v>
      </c>
      <c r="P446" s="8" t="s">
        <v>31</v>
      </c>
      <c r="Q446" s="8" t="s">
        <v>31</v>
      </c>
      <c r="R446" s="8" t="s">
        <v>31</v>
      </c>
      <c r="S446" s="8" t="s">
        <v>31</v>
      </c>
      <c r="T446" s="8" t="s">
        <v>31</v>
      </c>
      <c r="U446" s="8" t="s">
        <v>57</v>
      </c>
      <c r="V446" s="8" t="s">
        <v>31</v>
      </c>
      <c r="W446" s="8" t="str">
        <f>_xlfn.IFNA(VLOOKUP(A446,[1]Sheet1!$A$1:$B$101,1,FALSE),"na")</f>
        <v>na</v>
      </c>
      <c r="X446" s="8" t="s">
        <v>35</v>
      </c>
      <c r="Y446" s="9">
        <v>501</v>
      </c>
      <c r="Z446" s="9">
        <v>161.61292</v>
      </c>
      <c r="AA446" s="9">
        <v>167</v>
      </c>
      <c r="AB446" s="9">
        <v>501</v>
      </c>
    </row>
    <row r="447" spans="1:28" x14ac:dyDescent="0.25">
      <c r="A447" s="8" t="s">
        <v>966</v>
      </c>
      <c r="B447" s="8" t="s">
        <v>967</v>
      </c>
      <c r="C447" s="8" t="s">
        <v>67</v>
      </c>
      <c r="D447" s="10">
        <v>2.0999998999999998</v>
      </c>
      <c r="E447" s="10">
        <v>1</v>
      </c>
      <c r="F447" s="10">
        <v>1.1000000000000001</v>
      </c>
      <c r="G447" s="10">
        <v>1</v>
      </c>
      <c r="H447" s="10">
        <v>1.1000000000000001</v>
      </c>
      <c r="I447" s="10">
        <v>0</v>
      </c>
      <c r="J447" s="10">
        <v>0</v>
      </c>
      <c r="K447" s="10">
        <v>0</v>
      </c>
      <c r="L447" s="10">
        <v>0.1</v>
      </c>
      <c r="M447" s="10">
        <v>0</v>
      </c>
      <c r="N447" s="10">
        <v>0.1</v>
      </c>
      <c r="O447" s="8" t="s">
        <v>31</v>
      </c>
      <c r="P447" s="8" t="s">
        <v>31</v>
      </c>
      <c r="Q447" s="8" t="s">
        <v>57</v>
      </c>
      <c r="R447" s="8" t="s">
        <v>31</v>
      </c>
      <c r="S447" s="8" t="s">
        <v>31</v>
      </c>
      <c r="T447" s="8" t="s">
        <v>31</v>
      </c>
      <c r="U447" s="8" t="s">
        <v>31</v>
      </c>
      <c r="V447" s="8" t="s">
        <v>31</v>
      </c>
      <c r="W447" s="8" t="str">
        <f>_xlfn.IFNA(VLOOKUP(A447,[1]Sheet1!$A$1:$B$101,1,FALSE),"na")</f>
        <v>na</v>
      </c>
      <c r="X447" s="8" t="s">
        <v>844</v>
      </c>
      <c r="Y447" s="9">
        <v>145</v>
      </c>
      <c r="Z447" s="9">
        <v>69.047623000000002</v>
      </c>
      <c r="AA447" s="9">
        <v>145</v>
      </c>
      <c r="AB447" s="9">
        <v>131.81818000000001</v>
      </c>
    </row>
    <row r="448" spans="1:28" x14ac:dyDescent="0.25">
      <c r="A448" s="8" t="s">
        <v>968</v>
      </c>
      <c r="B448" s="8" t="s">
        <v>969</v>
      </c>
      <c r="C448" s="8" t="s">
        <v>67</v>
      </c>
      <c r="D448" s="10">
        <v>2.0999998999999998</v>
      </c>
      <c r="E448" s="10">
        <v>2</v>
      </c>
      <c r="F448" s="10">
        <v>0.1</v>
      </c>
      <c r="G448" s="10">
        <v>2</v>
      </c>
      <c r="H448" s="10">
        <v>0.1</v>
      </c>
      <c r="I448" s="10">
        <v>0</v>
      </c>
      <c r="J448" s="10">
        <v>0</v>
      </c>
      <c r="K448" s="10">
        <v>1</v>
      </c>
      <c r="L448" s="10">
        <v>0.1</v>
      </c>
      <c r="M448" s="10">
        <v>0</v>
      </c>
      <c r="N448" s="10">
        <v>0.1</v>
      </c>
      <c r="O448" s="8" t="s">
        <v>31</v>
      </c>
      <c r="P448" s="8" t="s">
        <v>31</v>
      </c>
      <c r="Q448" s="8" t="s">
        <v>31</v>
      </c>
      <c r="R448" s="8" t="s">
        <v>31</v>
      </c>
      <c r="S448" s="8" t="s">
        <v>31</v>
      </c>
      <c r="T448" s="8" t="s">
        <v>31</v>
      </c>
      <c r="U448" s="8" t="s">
        <v>31</v>
      </c>
      <c r="V448" s="8" t="s">
        <v>31</v>
      </c>
      <c r="W448" s="8" t="str">
        <f>_xlfn.IFNA(VLOOKUP(A448,[1]Sheet1!$A$1:$B$101,1,FALSE),"na")</f>
        <v>na</v>
      </c>
      <c r="X448" s="8" t="s">
        <v>844</v>
      </c>
      <c r="Y448" s="9">
        <v>143</v>
      </c>
      <c r="Z448" s="9">
        <v>68.095237999999995</v>
      </c>
      <c r="AA448" s="9">
        <v>71.5</v>
      </c>
      <c r="AB448" s="9">
        <v>143</v>
      </c>
    </row>
    <row r="449" spans="1:28" x14ac:dyDescent="0.25">
      <c r="A449" s="8" t="s">
        <v>970</v>
      </c>
      <c r="B449" s="8" t="s">
        <v>971</v>
      </c>
      <c r="C449" s="8" t="s">
        <v>67</v>
      </c>
      <c r="D449" s="10">
        <v>2.2000000000000002</v>
      </c>
      <c r="E449" s="10">
        <v>1</v>
      </c>
      <c r="F449" s="10">
        <v>1.2</v>
      </c>
      <c r="G449" s="10">
        <v>1</v>
      </c>
      <c r="H449" s="10">
        <v>1.2</v>
      </c>
      <c r="I449" s="10">
        <v>0</v>
      </c>
      <c r="J449" s="10">
        <v>0</v>
      </c>
      <c r="K449" s="10">
        <v>0</v>
      </c>
      <c r="L449" s="10">
        <v>0.2</v>
      </c>
      <c r="M449" s="10">
        <v>0</v>
      </c>
      <c r="N449" s="10">
        <v>0.2</v>
      </c>
      <c r="O449" s="8" t="s">
        <v>31</v>
      </c>
      <c r="P449" s="8" t="s">
        <v>31</v>
      </c>
      <c r="Q449" s="8" t="s">
        <v>31</v>
      </c>
      <c r="R449" s="8" t="s">
        <v>31</v>
      </c>
      <c r="S449" s="8" t="s">
        <v>31</v>
      </c>
      <c r="T449" s="8" t="s">
        <v>31</v>
      </c>
      <c r="U449" s="8" t="s">
        <v>31</v>
      </c>
      <c r="V449" s="8" t="s">
        <v>31</v>
      </c>
      <c r="W449" s="8" t="str">
        <f>_xlfn.IFNA(VLOOKUP(A449,[1]Sheet1!$A$1:$B$101,1,FALSE),"na")</f>
        <v>na</v>
      </c>
      <c r="X449" s="8" t="s">
        <v>35</v>
      </c>
      <c r="Y449" s="9">
        <v>131</v>
      </c>
      <c r="Z449" s="9">
        <v>59.545451999999997</v>
      </c>
      <c r="AA449" s="9">
        <v>131</v>
      </c>
      <c r="AB449" s="9">
        <v>109.16665999999999</v>
      </c>
    </row>
    <row r="450" spans="1:28" x14ac:dyDescent="0.25">
      <c r="A450" s="8" t="s">
        <v>972</v>
      </c>
      <c r="B450" s="8" t="s">
        <v>973</v>
      </c>
      <c r="C450" s="8" t="s">
        <v>38</v>
      </c>
      <c r="D450" s="10">
        <v>2.2000000000000002</v>
      </c>
      <c r="E450" s="10">
        <v>1</v>
      </c>
      <c r="F450" s="10">
        <v>1.2</v>
      </c>
      <c r="G450" s="10">
        <v>1</v>
      </c>
      <c r="H450" s="10">
        <v>1.2</v>
      </c>
      <c r="I450" s="10">
        <v>0</v>
      </c>
      <c r="J450" s="10">
        <v>0</v>
      </c>
      <c r="K450" s="10">
        <v>0</v>
      </c>
      <c r="L450" s="10">
        <v>0.2</v>
      </c>
      <c r="M450" s="10">
        <v>0</v>
      </c>
      <c r="N450" s="10">
        <v>0.2</v>
      </c>
      <c r="O450" s="8" t="s">
        <v>57</v>
      </c>
      <c r="P450" s="8" t="s">
        <v>31</v>
      </c>
      <c r="Q450" s="8" t="s">
        <v>31</v>
      </c>
      <c r="R450" s="8" t="s">
        <v>31</v>
      </c>
      <c r="S450" s="8" t="s">
        <v>31</v>
      </c>
      <c r="T450" s="8" t="s">
        <v>31</v>
      </c>
      <c r="U450" s="8" t="s">
        <v>31</v>
      </c>
      <c r="V450" s="8" t="s">
        <v>31</v>
      </c>
      <c r="W450" s="8" t="str">
        <f>_xlfn.IFNA(VLOOKUP(A450,[1]Sheet1!$A$1:$B$101,1,FALSE),"na")</f>
        <v>na</v>
      </c>
      <c r="X450" s="8" t="s">
        <v>35</v>
      </c>
      <c r="Y450" s="9">
        <v>317</v>
      </c>
      <c r="Z450" s="9">
        <v>144.09091000000001</v>
      </c>
      <c r="AA450" s="9">
        <v>317</v>
      </c>
      <c r="AB450" s="9">
        <v>264.16665999999998</v>
      </c>
    </row>
    <row r="451" spans="1:28" x14ac:dyDescent="0.25">
      <c r="A451" s="8" t="s">
        <v>974</v>
      </c>
      <c r="B451" s="8" t="s">
        <v>975</v>
      </c>
      <c r="C451" s="8" t="s">
        <v>30</v>
      </c>
      <c r="D451" s="10">
        <v>1.4</v>
      </c>
      <c r="E451" s="10">
        <v>1</v>
      </c>
      <c r="F451" s="10">
        <v>0.40000001000000002</v>
      </c>
      <c r="G451" s="10">
        <v>1</v>
      </c>
      <c r="H451" s="10">
        <v>0.40000001000000002</v>
      </c>
      <c r="I451" s="10">
        <v>0</v>
      </c>
      <c r="J451" s="10">
        <v>0</v>
      </c>
      <c r="K451" s="10">
        <v>0</v>
      </c>
      <c r="L451" s="10">
        <v>0.40000001000000002</v>
      </c>
      <c r="M451" s="10">
        <v>0</v>
      </c>
      <c r="N451" s="10">
        <v>0.40000001000000002</v>
      </c>
      <c r="O451" s="8" t="s">
        <v>31</v>
      </c>
      <c r="P451" s="8" t="s">
        <v>31</v>
      </c>
      <c r="Q451" s="8" t="s">
        <v>31</v>
      </c>
      <c r="R451" s="8" t="s">
        <v>31</v>
      </c>
      <c r="S451" s="8" t="s">
        <v>31</v>
      </c>
      <c r="T451" s="8" t="s">
        <v>31</v>
      </c>
      <c r="U451" s="8" t="s">
        <v>31</v>
      </c>
      <c r="V451" s="8" t="s">
        <v>31</v>
      </c>
      <c r="W451" s="8" t="str">
        <f>_xlfn.IFNA(VLOOKUP(A451,[1]Sheet1!$A$1:$B$101,1,FALSE),"na")</f>
        <v>na</v>
      </c>
      <c r="X451" s="8" t="s">
        <v>35</v>
      </c>
      <c r="Y451" s="9">
        <v>362</v>
      </c>
      <c r="Z451" s="9">
        <v>258.57144</v>
      </c>
      <c r="AA451" s="9">
        <v>362</v>
      </c>
      <c r="AB451" s="9">
        <v>362</v>
      </c>
    </row>
    <row r="452" spans="1:28" x14ac:dyDescent="0.25">
      <c r="A452" s="8" t="s">
        <v>976</v>
      </c>
      <c r="B452" s="8" t="s">
        <v>977</v>
      </c>
      <c r="C452" s="8" t="s">
        <v>30</v>
      </c>
      <c r="D452" s="10">
        <v>5</v>
      </c>
      <c r="E452" s="10">
        <v>3</v>
      </c>
      <c r="F452" s="10">
        <v>2</v>
      </c>
      <c r="G452" s="10">
        <v>3</v>
      </c>
      <c r="H452" s="10">
        <v>2</v>
      </c>
      <c r="I452" s="10">
        <v>0</v>
      </c>
      <c r="J452" s="10">
        <v>0</v>
      </c>
      <c r="K452" s="10">
        <v>1</v>
      </c>
      <c r="L452" s="10">
        <v>1</v>
      </c>
      <c r="M452" s="10">
        <v>0</v>
      </c>
      <c r="N452" s="10">
        <v>1</v>
      </c>
      <c r="O452" s="8" t="s">
        <v>31</v>
      </c>
      <c r="P452" s="8" t="s">
        <v>31</v>
      </c>
      <c r="Q452" s="8" t="s">
        <v>57</v>
      </c>
      <c r="R452" s="8" t="s">
        <v>31</v>
      </c>
      <c r="S452" s="8" t="s">
        <v>31</v>
      </c>
      <c r="T452" s="8" t="s">
        <v>31</v>
      </c>
      <c r="U452" s="8" t="s">
        <v>31</v>
      </c>
      <c r="V452" s="8" t="s">
        <v>31</v>
      </c>
      <c r="W452" s="8" t="str">
        <f>_xlfn.IFNA(VLOOKUP(A452,[1]Sheet1!$A$1:$B$101,1,FALSE),"na")</f>
        <v>na</v>
      </c>
      <c r="X452" s="8" t="s">
        <v>35</v>
      </c>
      <c r="Y452" s="9">
        <v>611</v>
      </c>
      <c r="Z452" s="9">
        <v>122.2</v>
      </c>
      <c r="AA452" s="9">
        <v>203.66667000000001</v>
      </c>
      <c r="AB452" s="9">
        <v>305.5</v>
      </c>
    </row>
    <row r="453" spans="1:28" x14ac:dyDescent="0.25">
      <c r="A453" s="8" t="s">
        <v>978</v>
      </c>
      <c r="B453" s="8" t="s">
        <v>979</v>
      </c>
      <c r="C453" s="8" t="s">
        <v>30</v>
      </c>
      <c r="D453" s="10">
        <v>3.8</v>
      </c>
      <c r="E453" s="10">
        <v>1</v>
      </c>
      <c r="F453" s="10">
        <v>2.8</v>
      </c>
      <c r="G453" s="10">
        <v>1</v>
      </c>
      <c r="H453" s="10">
        <v>2.8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0.80000000999999998</v>
      </c>
      <c r="O453" s="8" t="s">
        <v>31</v>
      </c>
      <c r="P453" s="8" t="s">
        <v>31</v>
      </c>
      <c r="Q453" s="8" t="s">
        <v>31</v>
      </c>
      <c r="R453" s="8" t="s">
        <v>31</v>
      </c>
      <c r="S453" s="8" t="s">
        <v>31</v>
      </c>
      <c r="T453" s="8" t="s">
        <v>31</v>
      </c>
      <c r="U453" s="8" t="s">
        <v>31</v>
      </c>
      <c r="V453" s="8" t="s">
        <v>31</v>
      </c>
      <c r="W453" s="8" t="str">
        <f>_xlfn.IFNA(VLOOKUP(A453,[1]Sheet1!$A$1:$B$101,1,FALSE),"na")</f>
        <v>na</v>
      </c>
      <c r="X453" s="8" t="s">
        <v>35</v>
      </c>
      <c r="Y453" s="9">
        <v>477</v>
      </c>
      <c r="Z453" s="9">
        <v>125.52631</v>
      </c>
      <c r="AA453" s="9">
        <v>477</v>
      </c>
      <c r="AB453" s="9">
        <v>170.35714999999999</v>
      </c>
    </row>
    <row r="454" spans="1:28" x14ac:dyDescent="0.25">
      <c r="A454" s="8" t="s">
        <v>980</v>
      </c>
      <c r="B454" s="8" t="s">
        <v>981</v>
      </c>
      <c r="C454" s="8" t="s">
        <v>38</v>
      </c>
      <c r="D454" s="10">
        <v>1.26667</v>
      </c>
      <c r="E454" s="10">
        <v>1</v>
      </c>
      <c r="F454" s="10">
        <v>0.26666999000000002</v>
      </c>
      <c r="G454" s="10">
        <v>1</v>
      </c>
      <c r="H454" s="10">
        <v>0.26666999000000002</v>
      </c>
      <c r="I454" s="10">
        <v>0</v>
      </c>
      <c r="J454" s="10">
        <v>0</v>
      </c>
      <c r="K454" s="10">
        <v>0</v>
      </c>
      <c r="L454" s="10">
        <v>0.26666999000000002</v>
      </c>
      <c r="M454" s="10">
        <v>0</v>
      </c>
      <c r="N454" s="10">
        <v>0.26666999000000002</v>
      </c>
      <c r="O454" s="8" t="s">
        <v>31</v>
      </c>
      <c r="P454" s="8" t="s">
        <v>31</v>
      </c>
      <c r="Q454" s="8" t="s">
        <v>31</v>
      </c>
      <c r="R454" s="8" t="s">
        <v>31</v>
      </c>
      <c r="S454" s="8" t="s">
        <v>31</v>
      </c>
      <c r="T454" s="8" t="s">
        <v>31</v>
      </c>
      <c r="U454" s="8" t="s">
        <v>31</v>
      </c>
      <c r="V454" s="8" t="s">
        <v>31</v>
      </c>
      <c r="W454" s="8" t="str">
        <f>_xlfn.IFNA(VLOOKUP(A454,[1]Sheet1!$A$1:$B$101,1,FALSE),"na")</f>
        <v>na</v>
      </c>
      <c r="X454" s="8" t="s">
        <v>35</v>
      </c>
      <c r="Y454" s="9">
        <v>377</v>
      </c>
      <c r="Z454" s="9">
        <v>297.63080000000002</v>
      </c>
      <c r="AA454" s="9">
        <v>377</v>
      </c>
      <c r="AB454" s="9">
        <v>377</v>
      </c>
    </row>
    <row r="455" spans="1:28" x14ac:dyDescent="0.25">
      <c r="A455" s="8" t="s">
        <v>982</v>
      </c>
      <c r="B455" s="8" t="s">
        <v>983</v>
      </c>
      <c r="C455" s="8" t="s">
        <v>38</v>
      </c>
      <c r="D455" s="10">
        <v>4.9000000999999997</v>
      </c>
      <c r="E455" s="10">
        <v>1</v>
      </c>
      <c r="F455" s="10">
        <v>3.9000001000000002</v>
      </c>
      <c r="G455" s="10">
        <v>1</v>
      </c>
      <c r="H455" s="10">
        <v>3.9000001000000002</v>
      </c>
      <c r="I455" s="10">
        <v>0</v>
      </c>
      <c r="J455" s="10">
        <v>0</v>
      </c>
      <c r="K455" s="10">
        <v>0</v>
      </c>
      <c r="L455" s="10">
        <v>0.69999999000000002</v>
      </c>
      <c r="M455" s="10">
        <v>0</v>
      </c>
      <c r="N455" s="10">
        <v>0.89999998000000003</v>
      </c>
      <c r="O455" s="8" t="s">
        <v>31</v>
      </c>
      <c r="P455" s="8" t="s">
        <v>31</v>
      </c>
      <c r="Q455" s="8" t="s">
        <v>31</v>
      </c>
      <c r="R455" s="8" t="s">
        <v>31</v>
      </c>
      <c r="S455" s="8" t="s">
        <v>31</v>
      </c>
      <c r="T455" s="8" t="s">
        <v>31</v>
      </c>
      <c r="U455" s="8" t="s">
        <v>31</v>
      </c>
      <c r="V455" s="8" t="s">
        <v>31</v>
      </c>
      <c r="W455" s="8" t="str">
        <f>_xlfn.IFNA(VLOOKUP(A455,[1]Sheet1!$A$1:$B$101,1,FALSE),"na")</f>
        <v>na</v>
      </c>
      <c r="X455" s="8" t="s">
        <v>35</v>
      </c>
      <c r="Y455" s="9">
        <v>801</v>
      </c>
      <c r="Z455" s="9">
        <v>163.46939</v>
      </c>
      <c r="AA455" s="9">
        <v>801</v>
      </c>
      <c r="AB455" s="9">
        <v>205.38461000000001</v>
      </c>
    </row>
    <row r="456" spans="1:28" x14ac:dyDescent="0.25">
      <c r="A456" s="8" t="s">
        <v>984</v>
      </c>
      <c r="B456" s="8" t="s">
        <v>985</v>
      </c>
      <c r="C456" s="8" t="s">
        <v>30</v>
      </c>
      <c r="D456" s="10">
        <v>2.5999998999999998</v>
      </c>
      <c r="E456" s="10">
        <v>2</v>
      </c>
      <c r="F456" s="10">
        <v>0.60000001999999997</v>
      </c>
      <c r="G456" s="10">
        <v>2</v>
      </c>
      <c r="H456" s="10">
        <v>0.60000001999999997</v>
      </c>
      <c r="I456" s="10">
        <v>0</v>
      </c>
      <c r="J456" s="10">
        <v>0</v>
      </c>
      <c r="K456" s="10">
        <v>0</v>
      </c>
      <c r="L456" s="10">
        <v>0.60000001999999997</v>
      </c>
      <c r="M456" s="10">
        <v>0</v>
      </c>
      <c r="N456" s="10">
        <v>0.60000001999999997</v>
      </c>
      <c r="O456" s="8" t="s">
        <v>31</v>
      </c>
      <c r="P456" s="8" t="s">
        <v>31</v>
      </c>
      <c r="Q456" s="8" t="s">
        <v>31</v>
      </c>
      <c r="R456" s="8" t="s">
        <v>31</v>
      </c>
      <c r="S456" s="8" t="s">
        <v>31</v>
      </c>
      <c r="T456" s="8" t="s">
        <v>31</v>
      </c>
      <c r="U456" s="8" t="s">
        <v>31</v>
      </c>
      <c r="V456" s="8" t="s">
        <v>31</v>
      </c>
      <c r="W456" s="8" t="str">
        <f>_xlfn.IFNA(VLOOKUP(A456,[1]Sheet1!$A$1:$B$101,1,FALSE),"na")</f>
        <v>na</v>
      </c>
      <c r="X456" s="8" t="s">
        <v>512</v>
      </c>
      <c r="Y456" s="9">
        <v>335</v>
      </c>
      <c r="Z456" s="9">
        <v>128.84616</v>
      </c>
      <c r="AA456" s="9">
        <v>167.5</v>
      </c>
      <c r="AB456" s="9">
        <v>335</v>
      </c>
    </row>
    <row r="457" spans="1:28" x14ac:dyDescent="0.25">
      <c r="A457" s="8" t="s">
        <v>986</v>
      </c>
      <c r="B457" s="8" t="s">
        <v>987</v>
      </c>
      <c r="C457" s="8" t="s">
        <v>30</v>
      </c>
      <c r="D457" s="10">
        <v>2.8</v>
      </c>
      <c r="E457" s="10">
        <v>1</v>
      </c>
      <c r="F457" s="10">
        <v>1.8</v>
      </c>
      <c r="G457" s="10">
        <v>1</v>
      </c>
      <c r="H457" s="10">
        <v>1.8</v>
      </c>
      <c r="I457" s="10">
        <v>0</v>
      </c>
      <c r="J457" s="10">
        <v>0</v>
      </c>
      <c r="K457" s="10">
        <v>0</v>
      </c>
      <c r="L457" s="10">
        <v>0.80000000999999998</v>
      </c>
      <c r="M457" s="10">
        <v>0</v>
      </c>
      <c r="N457" s="10">
        <v>1.8</v>
      </c>
      <c r="O457" s="8" t="s">
        <v>31</v>
      </c>
      <c r="P457" s="8" t="s">
        <v>31</v>
      </c>
      <c r="Q457" s="8" t="s">
        <v>31</v>
      </c>
      <c r="R457" s="8" t="s">
        <v>31</v>
      </c>
      <c r="S457" s="8" t="s">
        <v>31</v>
      </c>
      <c r="T457" s="8" t="s">
        <v>31</v>
      </c>
      <c r="U457" s="8" t="s">
        <v>31</v>
      </c>
      <c r="V457" s="8" t="s">
        <v>31</v>
      </c>
      <c r="W457" s="8" t="str">
        <f>_xlfn.IFNA(VLOOKUP(A457,[1]Sheet1!$A$1:$B$101,1,FALSE),"na")</f>
        <v>na</v>
      </c>
      <c r="X457" s="8" t="s">
        <v>35</v>
      </c>
      <c r="Y457" s="9">
        <v>742</v>
      </c>
      <c r="Z457" s="9">
        <v>265</v>
      </c>
      <c r="AA457" s="9">
        <v>742</v>
      </c>
      <c r="AB457" s="9">
        <v>412.22223000000002</v>
      </c>
    </row>
    <row r="458" spans="1:28" x14ac:dyDescent="0.25">
      <c r="A458" s="8" t="s">
        <v>988</v>
      </c>
      <c r="B458" s="8" t="s">
        <v>989</v>
      </c>
      <c r="C458" s="8" t="s">
        <v>30</v>
      </c>
      <c r="D458" s="10">
        <v>3.8</v>
      </c>
      <c r="E458" s="10">
        <v>1</v>
      </c>
      <c r="F458" s="10">
        <v>2.8</v>
      </c>
      <c r="G458" s="10">
        <v>1</v>
      </c>
      <c r="H458" s="10">
        <v>2.8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0.80000000999999998</v>
      </c>
      <c r="O458" s="8" t="s">
        <v>31</v>
      </c>
      <c r="P458" s="8" t="s">
        <v>31</v>
      </c>
      <c r="Q458" s="8" t="s">
        <v>31</v>
      </c>
      <c r="R458" s="8" t="s">
        <v>31</v>
      </c>
      <c r="S458" s="8" t="s">
        <v>31</v>
      </c>
      <c r="T458" s="8" t="s">
        <v>31</v>
      </c>
      <c r="U458" s="8" t="s">
        <v>31</v>
      </c>
      <c r="V458" s="8" t="s">
        <v>31</v>
      </c>
      <c r="W458" s="8" t="str">
        <f>_xlfn.IFNA(VLOOKUP(A458,[1]Sheet1!$A$1:$B$101,1,FALSE),"na")</f>
        <v>na</v>
      </c>
      <c r="X458" s="8" t="s">
        <v>35</v>
      </c>
      <c r="Y458" s="9">
        <v>531</v>
      </c>
      <c r="Z458" s="9">
        <v>139.73685</v>
      </c>
      <c r="AA458" s="9">
        <v>531</v>
      </c>
      <c r="AB458" s="9">
        <v>189.64285000000001</v>
      </c>
    </row>
    <row r="459" spans="1:28" x14ac:dyDescent="0.25">
      <c r="A459" s="8" t="s">
        <v>990</v>
      </c>
      <c r="B459" s="8" t="s">
        <v>991</v>
      </c>
      <c r="C459" s="8" t="s">
        <v>30</v>
      </c>
      <c r="D459" s="10">
        <v>4.1999997999999996</v>
      </c>
      <c r="E459" s="10">
        <v>1</v>
      </c>
      <c r="F459" s="10">
        <v>3.2</v>
      </c>
      <c r="G459" s="10">
        <v>1</v>
      </c>
      <c r="H459" s="10">
        <v>3.2</v>
      </c>
      <c r="I459" s="10">
        <v>0</v>
      </c>
      <c r="J459" s="10">
        <v>0</v>
      </c>
      <c r="K459" s="10">
        <v>0</v>
      </c>
      <c r="L459" s="10">
        <v>1.2</v>
      </c>
      <c r="M459" s="10">
        <v>0</v>
      </c>
      <c r="N459" s="10">
        <v>0.2</v>
      </c>
      <c r="O459" s="8" t="s">
        <v>31</v>
      </c>
      <c r="P459" s="8" t="s">
        <v>31</v>
      </c>
      <c r="Q459" s="8" t="s">
        <v>31</v>
      </c>
      <c r="R459" s="8" t="s">
        <v>31</v>
      </c>
      <c r="S459" s="8" t="s">
        <v>31</v>
      </c>
      <c r="T459" s="8" t="s">
        <v>31</v>
      </c>
      <c r="U459" s="8" t="s">
        <v>31</v>
      </c>
      <c r="V459" s="8" t="s">
        <v>31</v>
      </c>
      <c r="W459" s="8" t="str">
        <f>_xlfn.IFNA(VLOOKUP(A459,[1]Sheet1!$A$1:$B$101,1,FALSE),"na")</f>
        <v>na</v>
      </c>
      <c r="X459" s="8" t="s">
        <v>35</v>
      </c>
      <c r="Y459" s="9">
        <v>801</v>
      </c>
      <c r="Z459" s="9">
        <v>190.71429000000001</v>
      </c>
      <c r="AA459" s="9">
        <v>801</v>
      </c>
      <c r="AB459" s="9">
        <v>250.3125</v>
      </c>
    </row>
    <row r="460" spans="1:28" x14ac:dyDescent="0.25">
      <c r="A460" s="8" t="s">
        <v>992</v>
      </c>
      <c r="B460" s="8" t="s">
        <v>993</v>
      </c>
      <c r="C460" s="8" t="s">
        <v>38</v>
      </c>
      <c r="D460" s="10">
        <v>2.5999998999999998</v>
      </c>
      <c r="E460" s="10">
        <v>2</v>
      </c>
      <c r="F460" s="10">
        <v>0.60000001999999997</v>
      </c>
      <c r="G460" s="10">
        <v>2</v>
      </c>
      <c r="H460" s="10">
        <v>0.60000001999999997</v>
      </c>
      <c r="I460" s="10">
        <v>0</v>
      </c>
      <c r="J460" s="10">
        <v>0</v>
      </c>
      <c r="K460" s="10">
        <v>0</v>
      </c>
      <c r="L460" s="10">
        <v>0.60000001999999997</v>
      </c>
      <c r="M460" s="10">
        <v>0</v>
      </c>
      <c r="N460" s="10">
        <v>0.60000001999999997</v>
      </c>
      <c r="O460" s="8" t="s">
        <v>31</v>
      </c>
      <c r="P460" s="8" t="s">
        <v>31</v>
      </c>
      <c r="Q460" s="8" t="s">
        <v>31</v>
      </c>
      <c r="R460" s="8" t="s">
        <v>31</v>
      </c>
      <c r="S460" s="8" t="s">
        <v>31</v>
      </c>
      <c r="T460" s="8" t="s">
        <v>31</v>
      </c>
      <c r="U460" s="8" t="s">
        <v>31</v>
      </c>
      <c r="V460" s="8" t="s">
        <v>31</v>
      </c>
      <c r="W460" s="8" t="str">
        <f>_xlfn.IFNA(VLOOKUP(A460,[1]Sheet1!$A$1:$B$101,1,FALSE),"na")</f>
        <v>na</v>
      </c>
      <c r="X460" s="8" t="s">
        <v>35</v>
      </c>
      <c r="Y460" s="9">
        <v>446</v>
      </c>
      <c r="Z460" s="9">
        <v>171.53846999999999</v>
      </c>
      <c r="AA460" s="9">
        <v>223</v>
      </c>
      <c r="AB460" s="9">
        <v>446</v>
      </c>
    </row>
    <row r="461" spans="1:28" x14ac:dyDescent="0.25">
      <c r="A461" s="8" t="s">
        <v>994</v>
      </c>
      <c r="B461" s="8" t="s">
        <v>995</v>
      </c>
      <c r="C461" s="8" t="s">
        <v>67</v>
      </c>
      <c r="D461" s="10">
        <v>3.2</v>
      </c>
      <c r="E461" s="10">
        <v>2</v>
      </c>
      <c r="F461" s="10">
        <v>1.2</v>
      </c>
      <c r="G461" s="10">
        <v>2</v>
      </c>
      <c r="H461" s="10">
        <v>1.2</v>
      </c>
      <c r="I461" s="10">
        <v>0</v>
      </c>
      <c r="J461" s="10">
        <v>0</v>
      </c>
      <c r="K461" s="10">
        <v>1</v>
      </c>
      <c r="L461" s="10">
        <v>0.2</v>
      </c>
      <c r="M461" s="10">
        <v>0</v>
      </c>
      <c r="N461" s="10">
        <v>0.2</v>
      </c>
      <c r="O461" s="8" t="s">
        <v>31</v>
      </c>
      <c r="P461" s="8" t="s">
        <v>31</v>
      </c>
      <c r="Q461" s="8" t="s">
        <v>31</v>
      </c>
      <c r="R461" s="8" t="s">
        <v>31</v>
      </c>
      <c r="S461" s="8" t="s">
        <v>31</v>
      </c>
      <c r="T461" s="8" t="s">
        <v>31</v>
      </c>
      <c r="U461" s="8" t="s">
        <v>31</v>
      </c>
      <c r="V461" s="8" t="s">
        <v>31</v>
      </c>
      <c r="W461" s="8" t="str">
        <f>_xlfn.IFNA(VLOOKUP(A461,[1]Sheet1!$A$1:$B$101,1,FALSE),"na")</f>
        <v>na</v>
      </c>
      <c r="X461" s="8" t="s">
        <v>35</v>
      </c>
      <c r="Y461" s="9">
        <v>447</v>
      </c>
      <c r="Z461" s="9">
        <v>139.6875</v>
      </c>
      <c r="AA461" s="9">
        <v>223.5</v>
      </c>
      <c r="AB461" s="9">
        <v>372.5</v>
      </c>
    </row>
    <row r="462" spans="1:28" x14ac:dyDescent="0.25">
      <c r="A462" s="8" t="s">
        <v>996</v>
      </c>
      <c r="B462" s="8" t="s">
        <v>997</v>
      </c>
      <c r="C462" s="8" t="s">
        <v>30</v>
      </c>
      <c r="D462" s="10">
        <v>3.5</v>
      </c>
      <c r="E462" s="10">
        <v>3</v>
      </c>
      <c r="F462" s="10">
        <v>0.5</v>
      </c>
      <c r="G462" s="10">
        <v>3</v>
      </c>
      <c r="H462" s="10">
        <v>0.5</v>
      </c>
      <c r="I462" s="10">
        <v>0</v>
      </c>
      <c r="J462" s="10">
        <v>0</v>
      </c>
      <c r="K462" s="10">
        <v>0</v>
      </c>
      <c r="L462" s="10">
        <v>0.5</v>
      </c>
      <c r="M462" s="10">
        <v>0</v>
      </c>
      <c r="N462" s="10">
        <v>0.5</v>
      </c>
      <c r="O462" s="8" t="s">
        <v>31</v>
      </c>
      <c r="P462" s="8" t="s">
        <v>31</v>
      </c>
      <c r="Q462" s="8" t="s">
        <v>31</v>
      </c>
      <c r="R462" s="8" t="s">
        <v>31</v>
      </c>
      <c r="S462" s="8" t="s">
        <v>31</v>
      </c>
      <c r="T462" s="8" t="s">
        <v>31</v>
      </c>
      <c r="U462" s="8" t="s">
        <v>31</v>
      </c>
      <c r="V462" s="8" t="s">
        <v>31</v>
      </c>
      <c r="W462" s="8" t="str">
        <f>_xlfn.IFNA(VLOOKUP(A462,[1]Sheet1!$A$1:$B$101,1,FALSE),"na")</f>
        <v>na</v>
      </c>
      <c r="X462" s="8" t="s">
        <v>35</v>
      </c>
      <c r="Y462" s="9">
        <v>624</v>
      </c>
      <c r="Z462" s="9">
        <v>178.28572</v>
      </c>
      <c r="AA462" s="9">
        <v>208</v>
      </c>
      <c r="AB462" s="9">
        <v>624</v>
      </c>
    </row>
    <row r="463" spans="1:28" x14ac:dyDescent="0.25">
      <c r="A463" s="8" t="s">
        <v>998</v>
      </c>
      <c r="B463" s="8" t="s">
        <v>999</v>
      </c>
      <c r="C463" s="8" t="s">
        <v>30</v>
      </c>
      <c r="D463" s="10">
        <v>2.2000000000000002</v>
      </c>
      <c r="E463" s="10">
        <v>1</v>
      </c>
      <c r="F463" s="10">
        <v>1.2</v>
      </c>
      <c r="G463" s="10">
        <v>1</v>
      </c>
      <c r="H463" s="10">
        <v>1.2</v>
      </c>
      <c r="I463" s="10">
        <v>0</v>
      </c>
      <c r="J463" s="10">
        <v>0</v>
      </c>
      <c r="K463" s="10">
        <v>0</v>
      </c>
      <c r="L463" s="10">
        <v>0.2</v>
      </c>
      <c r="M463" s="10">
        <v>0</v>
      </c>
      <c r="N463" s="10">
        <v>0.2</v>
      </c>
      <c r="O463" s="8" t="s">
        <v>57</v>
      </c>
      <c r="P463" s="8" t="s">
        <v>31</v>
      </c>
      <c r="Q463" s="8" t="s">
        <v>31</v>
      </c>
      <c r="R463" s="8" t="s">
        <v>31</v>
      </c>
      <c r="S463" s="8" t="s">
        <v>31</v>
      </c>
      <c r="T463" s="8" t="s">
        <v>31</v>
      </c>
      <c r="U463" s="8" t="s">
        <v>31</v>
      </c>
      <c r="V463" s="8" t="s">
        <v>31</v>
      </c>
      <c r="W463" s="8" t="str">
        <f>_xlfn.IFNA(VLOOKUP(A463,[1]Sheet1!$A$1:$B$101,1,FALSE),"na")</f>
        <v>na</v>
      </c>
      <c r="X463" s="8" t="s">
        <v>1000</v>
      </c>
      <c r="Y463" s="9">
        <v>146</v>
      </c>
      <c r="Z463" s="9">
        <v>66.363631999999996</v>
      </c>
      <c r="AA463" s="9">
        <v>146</v>
      </c>
      <c r="AB463" s="9">
        <v>121.66665999999999</v>
      </c>
    </row>
    <row r="464" spans="1:28" x14ac:dyDescent="0.25">
      <c r="A464" s="8" t="s">
        <v>1001</v>
      </c>
      <c r="B464" s="8" t="s">
        <v>1002</v>
      </c>
      <c r="C464" s="8" t="s">
        <v>30</v>
      </c>
      <c r="D464" s="10">
        <v>2.5999998999999998</v>
      </c>
      <c r="E464" s="10">
        <v>1</v>
      </c>
      <c r="F464" s="10">
        <v>1.6</v>
      </c>
      <c r="G464" s="10">
        <v>1</v>
      </c>
      <c r="H464" s="10">
        <v>1.6</v>
      </c>
      <c r="I464" s="10">
        <v>0</v>
      </c>
      <c r="J464" s="10">
        <v>0</v>
      </c>
      <c r="K464" s="10">
        <v>0</v>
      </c>
      <c r="L464" s="10">
        <v>0.60000001999999997</v>
      </c>
      <c r="M464" s="10">
        <v>0</v>
      </c>
      <c r="N464" s="10">
        <v>0.60000001999999997</v>
      </c>
      <c r="O464" s="8" t="s">
        <v>31</v>
      </c>
      <c r="P464" s="8" t="s">
        <v>31</v>
      </c>
      <c r="Q464" s="8" t="s">
        <v>31</v>
      </c>
      <c r="R464" s="8" t="s">
        <v>31</v>
      </c>
      <c r="S464" s="8" t="s">
        <v>31</v>
      </c>
      <c r="T464" s="8" t="s">
        <v>31</v>
      </c>
      <c r="U464" s="8" t="s">
        <v>31</v>
      </c>
      <c r="V464" s="8" t="s">
        <v>31</v>
      </c>
      <c r="W464" s="8" t="str">
        <f>_xlfn.IFNA(VLOOKUP(A464,[1]Sheet1!$A$1:$B$101,1,FALSE),"na")</f>
        <v>na</v>
      </c>
      <c r="X464" s="8" t="s">
        <v>35</v>
      </c>
      <c r="Y464" s="9">
        <v>336</v>
      </c>
      <c r="Z464" s="9">
        <v>129.23077000000001</v>
      </c>
      <c r="AA464" s="9">
        <v>336</v>
      </c>
      <c r="AB464" s="9">
        <v>210</v>
      </c>
    </row>
    <row r="465" spans="1:28" x14ac:dyDescent="0.25">
      <c r="A465" s="8" t="s">
        <v>1003</v>
      </c>
      <c r="B465" s="8" t="s">
        <v>1004</v>
      </c>
      <c r="C465" s="8" t="s">
        <v>30</v>
      </c>
      <c r="D465" s="10">
        <v>3</v>
      </c>
      <c r="E465" s="10">
        <v>1</v>
      </c>
      <c r="F465" s="10">
        <v>2</v>
      </c>
      <c r="G465" s="10">
        <v>1</v>
      </c>
      <c r="H465" s="10">
        <v>2</v>
      </c>
      <c r="I465" s="10">
        <v>0</v>
      </c>
      <c r="J465" s="10">
        <v>0</v>
      </c>
      <c r="K465" s="10">
        <v>0</v>
      </c>
      <c r="L465" s="10">
        <v>0.60000001999999997</v>
      </c>
      <c r="M465" s="10">
        <v>0</v>
      </c>
      <c r="N465" s="10">
        <v>1</v>
      </c>
      <c r="O465" s="8" t="s">
        <v>31</v>
      </c>
      <c r="P465" s="8" t="s">
        <v>31</v>
      </c>
      <c r="Q465" s="8" t="s">
        <v>57</v>
      </c>
      <c r="R465" s="8" t="s">
        <v>31</v>
      </c>
      <c r="S465" s="8" t="s">
        <v>31</v>
      </c>
      <c r="T465" s="8" t="s">
        <v>31</v>
      </c>
      <c r="U465" s="8" t="s">
        <v>31</v>
      </c>
      <c r="V465" s="8" t="s">
        <v>31</v>
      </c>
      <c r="W465" s="8" t="str">
        <f>_xlfn.IFNA(VLOOKUP(A465,[1]Sheet1!$A$1:$B$101,1,FALSE),"na")</f>
        <v>na</v>
      </c>
      <c r="X465" s="8" t="s">
        <v>35</v>
      </c>
      <c r="Y465" s="9">
        <v>614</v>
      </c>
      <c r="Z465" s="9">
        <v>204.66667000000001</v>
      </c>
      <c r="AA465" s="9">
        <v>614</v>
      </c>
      <c r="AB465" s="9">
        <v>307</v>
      </c>
    </row>
    <row r="466" spans="1:28" x14ac:dyDescent="0.25">
      <c r="A466" s="8" t="s">
        <v>1005</v>
      </c>
      <c r="B466" s="8" t="s">
        <v>1006</v>
      </c>
      <c r="C466" s="8" t="s">
        <v>30</v>
      </c>
      <c r="D466" s="10">
        <v>2.8</v>
      </c>
      <c r="E466" s="10">
        <v>1</v>
      </c>
      <c r="F466" s="10">
        <v>1.8</v>
      </c>
      <c r="G466" s="10">
        <v>1</v>
      </c>
      <c r="H466" s="10">
        <v>1.8</v>
      </c>
      <c r="I466" s="10">
        <v>0</v>
      </c>
      <c r="J466" s="10">
        <v>0</v>
      </c>
      <c r="K466" s="10">
        <v>0</v>
      </c>
      <c r="L466" s="10">
        <v>0.80000000999999998</v>
      </c>
      <c r="M466" s="10">
        <v>0</v>
      </c>
      <c r="N466" s="10">
        <v>0.80000000999999998</v>
      </c>
      <c r="O466" s="8" t="s">
        <v>31</v>
      </c>
      <c r="P466" s="8" t="s">
        <v>31</v>
      </c>
      <c r="Q466" s="8" t="s">
        <v>57</v>
      </c>
      <c r="R466" s="8" t="s">
        <v>31</v>
      </c>
      <c r="S466" s="8" t="s">
        <v>31</v>
      </c>
      <c r="T466" s="8" t="s">
        <v>31</v>
      </c>
      <c r="U466" s="8" t="s">
        <v>31</v>
      </c>
      <c r="V466" s="8" t="s">
        <v>31</v>
      </c>
      <c r="W466" s="8" t="str">
        <f>_xlfn.IFNA(VLOOKUP(A466,[1]Sheet1!$A$1:$B$101,1,FALSE),"na")</f>
        <v>na</v>
      </c>
      <c r="X466" s="8" t="s">
        <v>35</v>
      </c>
      <c r="Y466" s="9">
        <v>360</v>
      </c>
      <c r="Z466" s="9">
        <v>128.57142999999999</v>
      </c>
      <c r="AA466" s="9">
        <v>360</v>
      </c>
      <c r="AB466" s="9">
        <v>200</v>
      </c>
    </row>
    <row r="467" spans="1:28" x14ac:dyDescent="0.25">
      <c r="A467" s="8" t="s">
        <v>1007</v>
      </c>
      <c r="B467" s="8" t="s">
        <v>1008</v>
      </c>
      <c r="C467" s="8" t="s">
        <v>30</v>
      </c>
      <c r="D467" s="10">
        <v>2</v>
      </c>
      <c r="E467" s="10">
        <v>1</v>
      </c>
      <c r="F467" s="10">
        <v>1</v>
      </c>
      <c r="G467" s="10">
        <v>1</v>
      </c>
      <c r="H467" s="10">
        <v>1</v>
      </c>
      <c r="I467" s="10">
        <v>0</v>
      </c>
      <c r="J467" s="10">
        <v>0</v>
      </c>
      <c r="K467" s="10">
        <v>1</v>
      </c>
      <c r="L467" s="10">
        <v>0</v>
      </c>
      <c r="M467" s="10">
        <v>0</v>
      </c>
      <c r="N467" s="10">
        <v>0</v>
      </c>
      <c r="O467" s="8" t="s">
        <v>57</v>
      </c>
      <c r="P467" s="8" t="s">
        <v>31</v>
      </c>
      <c r="Q467" s="8" t="s">
        <v>31</v>
      </c>
      <c r="R467" s="8" t="s">
        <v>31</v>
      </c>
      <c r="S467" s="8" t="s">
        <v>31</v>
      </c>
      <c r="T467" s="8" t="s">
        <v>31</v>
      </c>
      <c r="U467" s="8" t="s">
        <v>31</v>
      </c>
      <c r="V467" s="8" t="s">
        <v>31</v>
      </c>
      <c r="W467" s="8" t="str">
        <f>_xlfn.IFNA(VLOOKUP(A467,[1]Sheet1!$A$1:$B$101,1,FALSE),"na")</f>
        <v>na</v>
      </c>
      <c r="X467" s="8" t="s">
        <v>35</v>
      </c>
      <c r="Y467" s="9">
        <v>437</v>
      </c>
      <c r="Z467" s="9">
        <v>218.5</v>
      </c>
      <c r="AA467" s="9">
        <v>437</v>
      </c>
      <c r="AB467" s="9">
        <v>437</v>
      </c>
    </row>
    <row r="468" spans="1:28" x14ac:dyDescent="0.25">
      <c r="A468" s="8" t="s">
        <v>1009</v>
      </c>
      <c r="B468" s="8" t="s">
        <v>1010</v>
      </c>
      <c r="C468" s="8" t="s">
        <v>67</v>
      </c>
      <c r="D468" s="10">
        <v>2.2000000000000002</v>
      </c>
      <c r="E468" s="10">
        <v>2</v>
      </c>
      <c r="F468" s="10">
        <v>0.2</v>
      </c>
      <c r="G468" s="10">
        <v>2</v>
      </c>
      <c r="H468" s="10">
        <v>0.2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0.2</v>
      </c>
      <c r="O468" s="8" t="s">
        <v>31</v>
      </c>
      <c r="P468" s="8" t="s">
        <v>31</v>
      </c>
      <c r="Q468" s="8" t="s">
        <v>31</v>
      </c>
      <c r="R468" s="8" t="s">
        <v>31</v>
      </c>
      <c r="S468" s="8" t="s">
        <v>31</v>
      </c>
      <c r="T468" s="8" t="s">
        <v>31</v>
      </c>
      <c r="U468" s="8" t="s">
        <v>31</v>
      </c>
      <c r="V468" s="8" t="s">
        <v>31</v>
      </c>
      <c r="W468" s="8" t="str">
        <f>_xlfn.IFNA(VLOOKUP(A468,[1]Sheet1!$A$1:$B$101,1,FALSE),"na")</f>
        <v>na</v>
      </c>
      <c r="X468" s="8" t="s">
        <v>51</v>
      </c>
      <c r="Y468" s="9">
        <v>570</v>
      </c>
      <c r="Z468" s="9">
        <v>259.09091000000001</v>
      </c>
      <c r="AA468" s="9">
        <v>285</v>
      </c>
      <c r="AB468" s="9">
        <v>570</v>
      </c>
    </row>
    <row r="469" spans="1:28" x14ac:dyDescent="0.25">
      <c r="A469" s="8" t="s">
        <v>1011</v>
      </c>
      <c r="B469" s="8" t="s">
        <v>1012</v>
      </c>
      <c r="C469" s="8" t="s">
        <v>30</v>
      </c>
      <c r="D469" s="10">
        <v>3</v>
      </c>
      <c r="E469" s="10">
        <v>1</v>
      </c>
      <c r="F469" s="10">
        <v>2</v>
      </c>
      <c r="G469" s="10">
        <v>1</v>
      </c>
      <c r="H469" s="10">
        <v>2</v>
      </c>
      <c r="I469" s="10">
        <v>0</v>
      </c>
      <c r="J469" s="10">
        <v>0</v>
      </c>
      <c r="K469" s="10">
        <v>0</v>
      </c>
      <c r="L469" s="10">
        <v>2</v>
      </c>
      <c r="M469" s="10">
        <v>0</v>
      </c>
      <c r="N469" s="10">
        <v>1</v>
      </c>
      <c r="O469" s="8" t="s">
        <v>57</v>
      </c>
      <c r="P469" s="8" t="s">
        <v>31</v>
      </c>
      <c r="Q469" s="8" t="s">
        <v>31</v>
      </c>
      <c r="R469" s="8" t="s">
        <v>31</v>
      </c>
      <c r="S469" s="8" t="s">
        <v>31</v>
      </c>
      <c r="T469" s="8" t="s">
        <v>31</v>
      </c>
      <c r="U469" s="8" t="s">
        <v>31</v>
      </c>
      <c r="V469" s="8" t="s">
        <v>31</v>
      </c>
      <c r="W469" s="8" t="str">
        <f>_xlfn.IFNA(VLOOKUP(A469,[1]Sheet1!$A$1:$B$101,1,FALSE),"na")</f>
        <v>na</v>
      </c>
      <c r="X469" s="8" t="s">
        <v>35</v>
      </c>
      <c r="Y469" s="9">
        <v>716</v>
      </c>
      <c r="Z469" s="9">
        <v>238.66667000000001</v>
      </c>
      <c r="AA469" s="9">
        <v>716</v>
      </c>
      <c r="AB469" s="9">
        <v>358</v>
      </c>
    </row>
    <row r="470" spans="1:28" x14ac:dyDescent="0.25">
      <c r="A470" s="8" t="s">
        <v>1013</v>
      </c>
      <c r="B470" s="8" t="s">
        <v>1014</v>
      </c>
      <c r="C470" s="8" t="s">
        <v>30</v>
      </c>
      <c r="D470" s="10">
        <v>5.1999997999999996</v>
      </c>
      <c r="E470" s="10">
        <v>2</v>
      </c>
      <c r="F470" s="10">
        <v>3.2</v>
      </c>
      <c r="G470" s="10">
        <v>2</v>
      </c>
      <c r="H470" s="10">
        <v>3.2</v>
      </c>
      <c r="I470" s="10">
        <v>0</v>
      </c>
      <c r="J470" s="10">
        <v>0</v>
      </c>
      <c r="K470" s="10">
        <v>0</v>
      </c>
      <c r="L470" s="10">
        <v>1.2</v>
      </c>
      <c r="M470" s="10">
        <v>0</v>
      </c>
      <c r="N470" s="10">
        <v>1.2</v>
      </c>
      <c r="O470" s="8" t="s">
        <v>31</v>
      </c>
      <c r="P470" s="8" t="s">
        <v>31</v>
      </c>
      <c r="Q470" s="8" t="s">
        <v>57</v>
      </c>
      <c r="R470" s="8" t="s">
        <v>31</v>
      </c>
      <c r="S470" s="8" t="s">
        <v>31</v>
      </c>
      <c r="T470" s="8" t="s">
        <v>31</v>
      </c>
      <c r="U470" s="8" t="s">
        <v>31</v>
      </c>
      <c r="V470" s="8" t="s">
        <v>31</v>
      </c>
      <c r="W470" s="8" t="str">
        <f>_xlfn.IFNA(VLOOKUP(A470,[1]Sheet1!$A$1:$B$101,1,FALSE),"na")</f>
        <v>na</v>
      </c>
      <c r="X470" s="8" t="s">
        <v>375</v>
      </c>
      <c r="Y470" s="9">
        <v>688</v>
      </c>
      <c r="Z470" s="9">
        <v>132.30769000000001</v>
      </c>
      <c r="AA470" s="9">
        <v>344</v>
      </c>
      <c r="AB470" s="9">
        <v>215</v>
      </c>
    </row>
    <row r="471" spans="1:28" x14ac:dyDescent="0.25">
      <c r="A471" s="8" t="s">
        <v>1015</v>
      </c>
      <c r="B471" s="8" t="s">
        <v>1016</v>
      </c>
      <c r="C471" s="8" t="s">
        <v>30</v>
      </c>
      <c r="D471" s="10">
        <v>6.8000002000000004</v>
      </c>
      <c r="E471" s="10">
        <v>5</v>
      </c>
      <c r="F471" s="10">
        <v>1.8</v>
      </c>
      <c r="G471" s="10">
        <v>5</v>
      </c>
      <c r="H471" s="10">
        <v>1.8</v>
      </c>
      <c r="I471" s="10">
        <v>0</v>
      </c>
      <c r="J471" s="10">
        <v>0</v>
      </c>
      <c r="K471" s="10">
        <v>2</v>
      </c>
      <c r="L471" s="10">
        <v>1.2</v>
      </c>
      <c r="M471" s="10">
        <v>0</v>
      </c>
      <c r="N471" s="10">
        <v>1.8</v>
      </c>
      <c r="O471" s="8" t="s">
        <v>31</v>
      </c>
      <c r="P471" s="8" t="s">
        <v>31</v>
      </c>
      <c r="Q471" s="8" t="s">
        <v>31</v>
      </c>
      <c r="R471" s="8" t="s">
        <v>31</v>
      </c>
      <c r="S471" s="8" t="s">
        <v>31</v>
      </c>
      <c r="T471" s="8" t="s">
        <v>31</v>
      </c>
      <c r="U471" s="8" t="s">
        <v>31</v>
      </c>
      <c r="V471" s="8" t="s">
        <v>31</v>
      </c>
      <c r="W471" s="8" t="str">
        <f>_xlfn.IFNA(VLOOKUP(A471,[1]Sheet1!$A$1:$B$101,1,FALSE),"na")</f>
        <v>na</v>
      </c>
      <c r="X471" s="8" t="s">
        <v>619</v>
      </c>
      <c r="Y471" s="9">
        <v>1107</v>
      </c>
      <c r="Z471" s="9">
        <v>162.79410999999999</v>
      </c>
      <c r="AA471" s="9">
        <v>221.39999</v>
      </c>
      <c r="AB471" s="9">
        <v>615</v>
      </c>
    </row>
    <row r="472" spans="1:28" x14ac:dyDescent="0.25">
      <c r="A472" s="8" t="s">
        <v>1017</v>
      </c>
      <c r="B472" s="8" t="s">
        <v>1018</v>
      </c>
      <c r="C472" s="8" t="s">
        <v>30</v>
      </c>
      <c r="D472" s="10">
        <v>2</v>
      </c>
      <c r="E472" s="10">
        <v>1</v>
      </c>
      <c r="F472" s="10">
        <v>1</v>
      </c>
      <c r="G472" s="10">
        <v>1</v>
      </c>
      <c r="H472" s="10">
        <v>1</v>
      </c>
      <c r="I472" s="10">
        <v>0</v>
      </c>
      <c r="J472" s="10">
        <v>0</v>
      </c>
      <c r="K472" s="10">
        <v>0</v>
      </c>
      <c r="L472" s="10">
        <v>1</v>
      </c>
      <c r="M472" s="10">
        <v>0</v>
      </c>
      <c r="N472" s="10">
        <v>0</v>
      </c>
      <c r="O472" s="8" t="s">
        <v>31</v>
      </c>
      <c r="P472" s="8" t="s">
        <v>31</v>
      </c>
      <c r="Q472" s="8" t="s">
        <v>31</v>
      </c>
      <c r="R472" s="8" t="s">
        <v>31</v>
      </c>
      <c r="S472" s="8" t="s">
        <v>31</v>
      </c>
      <c r="T472" s="8" t="s">
        <v>31</v>
      </c>
      <c r="U472" s="8" t="s">
        <v>31</v>
      </c>
      <c r="V472" s="8" t="s">
        <v>31</v>
      </c>
      <c r="W472" s="8" t="str">
        <f>_xlfn.IFNA(VLOOKUP(A472,[1]Sheet1!$A$1:$B$101,1,FALSE),"na")</f>
        <v>na</v>
      </c>
      <c r="X472" s="8" t="s">
        <v>35</v>
      </c>
      <c r="Y472" s="9">
        <v>354</v>
      </c>
      <c r="Z472" s="9">
        <v>177</v>
      </c>
      <c r="AA472" s="9">
        <v>354</v>
      </c>
      <c r="AB472" s="9">
        <v>354</v>
      </c>
    </row>
    <row r="473" spans="1:28" x14ac:dyDescent="0.25">
      <c r="A473" s="8" t="s">
        <v>1019</v>
      </c>
      <c r="B473" s="8" t="s">
        <v>1020</v>
      </c>
      <c r="C473" s="8" t="s">
        <v>30</v>
      </c>
      <c r="D473" s="10">
        <v>6.1999997999999996</v>
      </c>
      <c r="E473" s="10">
        <v>4</v>
      </c>
      <c r="F473" s="10">
        <v>2.2000000000000002</v>
      </c>
      <c r="G473" s="10">
        <v>4</v>
      </c>
      <c r="H473" s="10">
        <v>2.2000000000000002</v>
      </c>
      <c r="I473" s="10">
        <v>0</v>
      </c>
      <c r="J473" s="10">
        <v>0</v>
      </c>
      <c r="K473" s="10">
        <v>2</v>
      </c>
      <c r="L473" s="10">
        <v>1</v>
      </c>
      <c r="M473" s="10">
        <v>0</v>
      </c>
      <c r="N473" s="10">
        <v>1.2</v>
      </c>
      <c r="O473" s="8" t="s">
        <v>31</v>
      </c>
      <c r="P473" s="8" t="s">
        <v>31</v>
      </c>
      <c r="Q473" s="8" t="s">
        <v>31</v>
      </c>
      <c r="R473" s="8" t="s">
        <v>31</v>
      </c>
      <c r="S473" s="8" t="s">
        <v>31</v>
      </c>
      <c r="T473" s="8" t="s">
        <v>31</v>
      </c>
      <c r="U473" s="8" t="s">
        <v>31</v>
      </c>
      <c r="V473" s="8" t="s">
        <v>31</v>
      </c>
      <c r="W473" s="8" t="str">
        <f>_xlfn.IFNA(VLOOKUP(A473,[1]Sheet1!$A$1:$B$101,1,FALSE),"na")</f>
        <v>na</v>
      </c>
      <c r="X473" s="8" t="s">
        <v>35</v>
      </c>
      <c r="Y473" s="9">
        <v>753</v>
      </c>
      <c r="Z473" s="9">
        <v>121.45161</v>
      </c>
      <c r="AA473" s="9">
        <v>188.25</v>
      </c>
      <c r="AB473" s="9">
        <v>342.27271000000002</v>
      </c>
    </row>
    <row r="474" spans="1:28" x14ac:dyDescent="0.25">
      <c r="A474" s="8" t="s">
        <v>1021</v>
      </c>
      <c r="B474" s="8" t="s">
        <v>1022</v>
      </c>
      <c r="C474" s="8" t="s">
        <v>38</v>
      </c>
      <c r="D474" s="10">
        <v>3</v>
      </c>
      <c r="E474" s="10">
        <v>2</v>
      </c>
      <c r="F474" s="10">
        <v>1</v>
      </c>
      <c r="G474" s="10">
        <v>2</v>
      </c>
      <c r="H474" s="10">
        <v>1</v>
      </c>
      <c r="I474" s="10">
        <v>0</v>
      </c>
      <c r="J474" s="10">
        <v>0</v>
      </c>
      <c r="K474" s="10">
        <v>0</v>
      </c>
      <c r="L474" s="10">
        <v>1</v>
      </c>
      <c r="M474" s="10">
        <v>0</v>
      </c>
      <c r="N474" s="10">
        <v>1</v>
      </c>
      <c r="O474" s="8" t="s">
        <v>31</v>
      </c>
      <c r="P474" s="8" t="s">
        <v>31</v>
      </c>
      <c r="Q474" s="8" t="s">
        <v>31</v>
      </c>
      <c r="R474" s="8" t="s">
        <v>31</v>
      </c>
      <c r="S474" s="8" t="s">
        <v>31</v>
      </c>
      <c r="T474" s="8" t="s">
        <v>31</v>
      </c>
      <c r="U474" s="8" t="s">
        <v>31</v>
      </c>
      <c r="V474" s="8" t="s">
        <v>31</v>
      </c>
      <c r="W474" s="8" t="str">
        <f>_xlfn.IFNA(VLOOKUP(A474,[1]Sheet1!$A$1:$B$101,1,FALSE),"na")</f>
        <v>na</v>
      </c>
      <c r="X474" s="8" t="s">
        <v>35</v>
      </c>
      <c r="Y474" s="9">
        <v>856</v>
      </c>
      <c r="Z474" s="9">
        <v>285.33334000000002</v>
      </c>
      <c r="AA474" s="9">
        <v>428</v>
      </c>
      <c r="AB474" s="9">
        <v>856</v>
      </c>
    </row>
    <row r="475" spans="1:28" x14ac:dyDescent="0.25">
      <c r="A475" s="8" t="s">
        <v>1023</v>
      </c>
      <c r="B475" s="8" t="s">
        <v>1024</v>
      </c>
      <c r="C475" s="8" t="s">
        <v>67</v>
      </c>
      <c r="D475" s="10">
        <v>5.1999997999999996</v>
      </c>
      <c r="E475" s="10">
        <v>3</v>
      </c>
      <c r="F475" s="10">
        <v>2.2000000000000002</v>
      </c>
      <c r="G475" s="10">
        <v>3</v>
      </c>
      <c r="H475" s="10">
        <v>2.2000000000000002</v>
      </c>
      <c r="I475" s="10">
        <v>0</v>
      </c>
      <c r="J475" s="10">
        <v>0</v>
      </c>
      <c r="K475" s="10">
        <v>0</v>
      </c>
      <c r="L475" s="10">
        <v>1.2</v>
      </c>
      <c r="M475" s="10">
        <v>0</v>
      </c>
      <c r="N475" s="10">
        <v>0.2</v>
      </c>
      <c r="O475" s="8" t="s">
        <v>31</v>
      </c>
      <c r="P475" s="8" t="s">
        <v>31</v>
      </c>
      <c r="Q475" s="8" t="s">
        <v>57</v>
      </c>
      <c r="R475" s="8" t="s">
        <v>31</v>
      </c>
      <c r="S475" s="8" t="s">
        <v>31</v>
      </c>
      <c r="T475" s="8" t="s">
        <v>31</v>
      </c>
      <c r="U475" s="8" t="s">
        <v>31</v>
      </c>
      <c r="V475" s="8" t="s">
        <v>31</v>
      </c>
      <c r="W475" s="8" t="str">
        <f>_xlfn.IFNA(VLOOKUP(A475,[1]Sheet1!$A$1:$B$101,1,FALSE),"na")</f>
        <v>na</v>
      </c>
      <c r="X475" s="8" t="s">
        <v>35</v>
      </c>
      <c r="Y475" s="9">
        <v>470</v>
      </c>
      <c r="Z475" s="9">
        <v>90.384620999999996</v>
      </c>
      <c r="AA475" s="9">
        <v>156.66667000000001</v>
      </c>
      <c r="AB475" s="9">
        <v>213.63634999999999</v>
      </c>
    </row>
    <row r="476" spans="1:28" x14ac:dyDescent="0.25">
      <c r="A476" s="8" t="s">
        <v>1025</v>
      </c>
      <c r="B476" s="8" t="s">
        <v>1026</v>
      </c>
      <c r="C476" s="8" t="s">
        <v>80</v>
      </c>
      <c r="D476" s="10">
        <v>7.4000000999999997</v>
      </c>
      <c r="E476" s="10">
        <v>6</v>
      </c>
      <c r="F476" s="10">
        <v>1.4</v>
      </c>
      <c r="G476" s="10">
        <v>6</v>
      </c>
      <c r="H476" s="10">
        <v>1.4</v>
      </c>
      <c r="I476" s="10">
        <v>0</v>
      </c>
      <c r="J476" s="10">
        <v>0</v>
      </c>
      <c r="K476" s="10">
        <v>3</v>
      </c>
      <c r="L476" s="10">
        <v>0</v>
      </c>
      <c r="M476" s="10">
        <v>0</v>
      </c>
      <c r="N476" s="10">
        <v>0.40000001000000002</v>
      </c>
      <c r="O476" s="8" t="s">
        <v>31</v>
      </c>
      <c r="P476" s="8" t="s">
        <v>31</v>
      </c>
      <c r="Q476" s="8" t="s">
        <v>31</v>
      </c>
      <c r="R476" s="8" t="s">
        <v>31</v>
      </c>
      <c r="S476" s="8" t="s">
        <v>31</v>
      </c>
      <c r="T476" s="8" t="s">
        <v>31</v>
      </c>
      <c r="U476" s="8" t="s">
        <v>31</v>
      </c>
      <c r="V476" s="8" t="s">
        <v>31</v>
      </c>
      <c r="W476" s="8" t="str">
        <f>_xlfn.IFNA(VLOOKUP(A476,[1]Sheet1!$A$1:$B$101,1,FALSE),"na")</f>
        <v>na</v>
      </c>
      <c r="X476" s="8" t="s">
        <v>35</v>
      </c>
      <c r="Y476" s="9">
        <v>1377</v>
      </c>
      <c r="Z476" s="9">
        <v>186.08108999999999</v>
      </c>
      <c r="AA476" s="9">
        <v>229.5</v>
      </c>
      <c r="AB476" s="9">
        <v>983.57146999999998</v>
      </c>
    </row>
    <row r="477" spans="1:28" x14ac:dyDescent="0.25">
      <c r="A477" s="8" t="s">
        <v>1027</v>
      </c>
      <c r="B477" s="8" t="s">
        <v>1028</v>
      </c>
      <c r="C477" s="8" t="s">
        <v>30</v>
      </c>
      <c r="D477" s="10">
        <v>2.4000001000000002</v>
      </c>
      <c r="E477" s="10">
        <v>1</v>
      </c>
      <c r="F477" s="10">
        <v>1.4</v>
      </c>
      <c r="G477" s="10">
        <v>1</v>
      </c>
      <c r="H477" s="10">
        <v>1.4</v>
      </c>
      <c r="I477" s="10">
        <v>0</v>
      </c>
      <c r="J477" s="10">
        <v>0</v>
      </c>
      <c r="K477" s="10">
        <v>0</v>
      </c>
      <c r="L477" s="10">
        <v>0.40000001000000002</v>
      </c>
      <c r="M477" s="10">
        <v>0</v>
      </c>
      <c r="N477" s="10">
        <v>0.40000001000000002</v>
      </c>
      <c r="O477" s="8" t="s">
        <v>57</v>
      </c>
      <c r="P477" s="8" t="s">
        <v>57</v>
      </c>
      <c r="Q477" s="8" t="s">
        <v>31</v>
      </c>
      <c r="R477" s="8" t="s">
        <v>31</v>
      </c>
      <c r="S477" s="8" t="s">
        <v>31</v>
      </c>
      <c r="T477" s="8" t="s">
        <v>31</v>
      </c>
      <c r="U477" s="8" t="s">
        <v>31</v>
      </c>
      <c r="V477" s="8" t="s">
        <v>31</v>
      </c>
      <c r="W477" s="8" t="str">
        <f>_xlfn.IFNA(VLOOKUP(A477,[1]Sheet1!$A$1:$B$101,1,FALSE),"na")</f>
        <v>na</v>
      </c>
      <c r="X477" s="8" t="s">
        <v>35</v>
      </c>
      <c r="Y477" s="9">
        <v>138</v>
      </c>
      <c r="Z477" s="9">
        <v>57.499996000000003</v>
      </c>
      <c r="AA477" s="9">
        <v>138</v>
      </c>
      <c r="AB477" s="9">
        <v>98.571433999999996</v>
      </c>
    </row>
    <row r="478" spans="1:28" x14ac:dyDescent="0.25">
      <c r="A478" s="8" t="s">
        <v>1029</v>
      </c>
      <c r="B478" s="8" t="s">
        <v>1030</v>
      </c>
      <c r="C478" s="8" t="s">
        <v>30</v>
      </c>
      <c r="D478" s="10">
        <v>4.4000000999999997</v>
      </c>
      <c r="E478" s="10">
        <v>1</v>
      </c>
      <c r="F478" s="10">
        <v>3.4000001000000002</v>
      </c>
      <c r="G478" s="10">
        <v>1</v>
      </c>
      <c r="H478" s="10">
        <v>3.4000001000000002</v>
      </c>
      <c r="I478" s="10">
        <v>0</v>
      </c>
      <c r="J478" s="10">
        <v>0</v>
      </c>
      <c r="K478" s="10">
        <v>0</v>
      </c>
      <c r="L478" s="10">
        <v>1.4</v>
      </c>
      <c r="M478" s="10">
        <v>0</v>
      </c>
      <c r="N478" s="10">
        <v>1.4</v>
      </c>
      <c r="O478" s="8" t="s">
        <v>31</v>
      </c>
      <c r="P478" s="8" t="s">
        <v>31</v>
      </c>
      <c r="Q478" s="8" t="s">
        <v>57</v>
      </c>
      <c r="R478" s="8" t="s">
        <v>31</v>
      </c>
      <c r="S478" s="8" t="s">
        <v>31</v>
      </c>
      <c r="T478" s="8" t="s">
        <v>31</v>
      </c>
      <c r="U478" s="8" t="s">
        <v>31</v>
      </c>
      <c r="V478" s="8" t="s">
        <v>31</v>
      </c>
      <c r="W478" s="8" t="str">
        <f>_xlfn.IFNA(VLOOKUP(A478,[1]Sheet1!$A$1:$B$101,1,FALSE),"na")</f>
        <v>na</v>
      </c>
      <c r="X478" s="8" t="s">
        <v>350</v>
      </c>
      <c r="Y478" s="9">
        <v>508</v>
      </c>
      <c r="Z478" s="9">
        <v>115.45453999999999</v>
      </c>
      <c r="AA478" s="9">
        <v>508</v>
      </c>
      <c r="AB478" s="9">
        <v>149.41175999999999</v>
      </c>
    </row>
    <row r="479" spans="1:28" x14ac:dyDescent="0.25">
      <c r="A479" s="8" t="s">
        <v>1031</v>
      </c>
      <c r="B479" s="8" t="s">
        <v>1032</v>
      </c>
      <c r="C479" s="8" t="s">
        <v>67</v>
      </c>
      <c r="D479" s="10">
        <v>2</v>
      </c>
      <c r="E479" s="10">
        <v>1</v>
      </c>
      <c r="F479" s="10">
        <v>1</v>
      </c>
      <c r="G479" s="10">
        <v>1</v>
      </c>
      <c r="H479" s="10">
        <v>1</v>
      </c>
      <c r="I479" s="10">
        <v>0</v>
      </c>
      <c r="J479" s="10">
        <v>0</v>
      </c>
      <c r="K479" s="10">
        <v>1</v>
      </c>
      <c r="L479" s="10">
        <v>0</v>
      </c>
      <c r="M479" s="10">
        <v>0</v>
      </c>
      <c r="N479" s="10">
        <v>0</v>
      </c>
      <c r="O479" s="8" t="s">
        <v>31</v>
      </c>
      <c r="P479" s="8" t="s">
        <v>31</v>
      </c>
      <c r="Q479" s="8" t="s">
        <v>31</v>
      </c>
      <c r="R479" s="8" t="s">
        <v>57</v>
      </c>
      <c r="S479" s="8" t="s">
        <v>31</v>
      </c>
      <c r="T479" s="8" t="s">
        <v>31</v>
      </c>
      <c r="U479" s="8" t="s">
        <v>31</v>
      </c>
      <c r="V479" s="8" t="s">
        <v>31</v>
      </c>
      <c r="W479" s="8" t="str">
        <f>_xlfn.IFNA(VLOOKUP(A479,[1]Sheet1!$A$1:$B$101,1,FALSE),"na")</f>
        <v>na</v>
      </c>
      <c r="X479" s="8" t="s">
        <v>35</v>
      </c>
      <c r="Y479" s="9">
        <v>235</v>
      </c>
      <c r="Z479" s="9">
        <v>117.5</v>
      </c>
      <c r="AA479" s="9">
        <v>235</v>
      </c>
      <c r="AB479" s="9">
        <v>235</v>
      </c>
    </row>
    <row r="480" spans="1:28" x14ac:dyDescent="0.25">
      <c r="A480" s="8" t="s">
        <v>1033</v>
      </c>
      <c r="B480" s="8" t="s">
        <v>1034</v>
      </c>
      <c r="C480" s="8" t="s">
        <v>30</v>
      </c>
      <c r="D480" s="10">
        <v>3</v>
      </c>
      <c r="E480" s="10">
        <v>1</v>
      </c>
      <c r="F480" s="10">
        <v>2</v>
      </c>
      <c r="G480" s="10">
        <v>1</v>
      </c>
      <c r="H480" s="10">
        <v>2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8" t="s">
        <v>31</v>
      </c>
      <c r="P480" s="8" t="s">
        <v>31</v>
      </c>
      <c r="Q480" s="8" t="s">
        <v>31</v>
      </c>
      <c r="R480" s="8" t="s">
        <v>31</v>
      </c>
      <c r="S480" s="8" t="s">
        <v>31</v>
      </c>
      <c r="T480" s="8" t="s">
        <v>31</v>
      </c>
      <c r="U480" s="8" t="s">
        <v>31</v>
      </c>
      <c r="V480" s="8" t="s">
        <v>31</v>
      </c>
      <c r="W480" s="8" t="str">
        <f>_xlfn.IFNA(VLOOKUP(A480,[1]Sheet1!$A$1:$B$101,1,FALSE),"na")</f>
        <v>na</v>
      </c>
      <c r="X480" s="8" t="s">
        <v>35</v>
      </c>
      <c r="Y480" s="9">
        <v>378</v>
      </c>
      <c r="Z480" s="9">
        <v>126</v>
      </c>
      <c r="AA480" s="9">
        <v>378</v>
      </c>
      <c r="AB480" s="9">
        <v>189</v>
      </c>
    </row>
    <row r="481" spans="1:28" x14ac:dyDescent="0.25">
      <c r="A481" s="8" t="s">
        <v>1035</v>
      </c>
      <c r="B481" s="8" t="s">
        <v>1036</v>
      </c>
      <c r="C481" s="8" t="s">
        <v>444</v>
      </c>
      <c r="D481" s="10">
        <v>1.2</v>
      </c>
      <c r="E481" s="10">
        <v>0</v>
      </c>
      <c r="F481" s="10">
        <v>1.2</v>
      </c>
      <c r="G481" s="10">
        <v>0</v>
      </c>
      <c r="H481" s="10">
        <v>1.2</v>
      </c>
      <c r="I481" s="10">
        <v>0</v>
      </c>
      <c r="J481" s="10">
        <v>0</v>
      </c>
      <c r="K481" s="10">
        <v>0</v>
      </c>
      <c r="L481" s="10">
        <v>0.2</v>
      </c>
      <c r="M481" s="10">
        <v>0</v>
      </c>
      <c r="N481" s="10">
        <v>0.2</v>
      </c>
      <c r="O481" s="8" t="s">
        <v>57</v>
      </c>
      <c r="P481" s="8" t="s">
        <v>31</v>
      </c>
      <c r="Q481" s="8" t="s">
        <v>31</v>
      </c>
      <c r="R481" s="8" t="s">
        <v>31</v>
      </c>
      <c r="S481" s="8" t="s">
        <v>31</v>
      </c>
      <c r="T481" s="8" t="s">
        <v>31</v>
      </c>
      <c r="U481" s="8" t="s">
        <v>31</v>
      </c>
      <c r="V481" s="8" t="s">
        <v>31</v>
      </c>
      <c r="W481" s="8" t="str">
        <f>_xlfn.IFNA(VLOOKUP(A481,[1]Sheet1!$A$1:$B$101,1,FALSE),"na")</f>
        <v>na</v>
      </c>
      <c r="X481" s="8" t="s">
        <v>51</v>
      </c>
      <c r="Y481" s="9">
        <v>166</v>
      </c>
      <c r="Z481" s="9">
        <v>138.33332999999999</v>
      </c>
      <c r="AA481" s="9">
        <v>166</v>
      </c>
      <c r="AB481" s="9">
        <v>138.33332999999999</v>
      </c>
    </row>
    <row r="482" spans="1:28" x14ac:dyDescent="0.25">
      <c r="A482" s="8" t="s">
        <v>1037</v>
      </c>
      <c r="B482" s="8" t="s">
        <v>1038</v>
      </c>
      <c r="C482" s="8" t="s">
        <v>62</v>
      </c>
      <c r="D482" s="10">
        <v>5.1599997999999996</v>
      </c>
      <c r="E482" s="10">
        <v>4</v>
      </c>
      <c r="F482" s="10">
        <v>1.1599999999999999</v>
      </c>
      <c r="G482" s="10">
        <v>4</v>
      </c>
      <c r="H482" s="10">
        <v>1.1599999999999999</v>
      </c>
      <c r="I482" s="10">
        <v>0</v>
      </c>
      <c r="J482" s="10">
        <v>0</v>
      </c>
      <c r="K482" s="10">
        <v>0</v>
      </c>
      <c r="L482" s="10">
        <v>0.16</v>
      </c>
      <c r="M482" s="10">
        <v>0</v>
      </c>
      <c r="N482" s="10">
        <v>0.16</v>
      </c>
      <c r="O482" s="8" t="s">
        <v>57</v>
      </c>
      <c r="P482" s="8" t="s">
        <v>31</v>
      </c>
      <c r="Q482" s="8" t="s">
        <v>31</v>
      </c>
      <c r="R482" s="8" t="s">
        <v>31</v>
      </c>
      <c r="S482" s="8" t="s">
        <v>31</v>
      </c>
      <c r="T482" s="8" t="s">
        <v>31</v>
      </c>
      <c r="U482" s="8" t="s">
        <v>31</v>
      </c>
      <c r="V482" s="8" t="s">
        <v>31</v>
      </c>
      <c r="W482" s="8" t="str">
        <f>_xlfn.IFNA(VLOOKUP(A482,[1]Sheet1!$A$1:$B$101,1,FALSE),"na")</f>
        <v>na</v>
      </c>
      <c r="X482" s="8" t="s">
        <v>35</v>
      </c>
      <c r="Y482" s="9">
        <v>341</v>
      </c>
      <c r="Z482" s="9">
        <v>66.085273999999998</v>
      </c>
      <c r="AA482" s="9">
        <v>85.25</v>
      </c>
      <c r="AB482" s="9">
        <v>293.96552000000003</v>
      </c>
    </row>
    <row r="483" spans="1:28" x14ac:dyDescent="0.25">
      <c r="A483" s="8" t="s">
        <v>1039</v>
      </c>
      <c r="B483" s="8" t="s">
        <v>1040</v>
      </c>
      <c r="C483" s="8" t="s">
        <v>80</v>
      </c>
      <c r="D483" s="10">
        <v>3.0999998999999998</v>
      </c>
      <c r="E483" s="10">
        <v>3</v>
      </c>
      <c r="F483" s="10">
        <v>0.1</v>
      </c>
      <c r="G483" s="10">
        <v>3</v>
      </c>
      <c r="H483" s="10">
        <v>0.1</v>
      </c>
      <c r="I483" s="10">
        <v>0</v>
      </c>
      <c r="J483" s="10">
        <v>0</v>
      </c>
      <c r="K483" s="10">
        <v>0</v>
      </c>
      <c r="L483" s="10">
        <v>0.1</v>
      </c>
      <c r="M483" s="10">
        <v>0</v>
      </c>
      <c r="N483" s="10">
        <v>0.1</v>
      </c>
      <c r="O483" s="8" t="s">
        <v>31</v>
      </c>
      <c r="P483" s="8" t="s">
        <v>31</v>
      </c>
      <c r="Q483" s="8" t="s">
        <v>31</v>
      </c>
      <c r="R483" s="8" t="s">
        <v>31</v>
      </c>
      <c r="S483" s="8" t="s">
        <v>31</v>
      </c>
      <c r="T483" s="8" t="s">
        <v>31</v>
      </c>
      <c r="U483" s="8" t="s">
        <v>31</v>
      </c>
      <c r="V483" s="8" t="s">
        <v>31</v>
      </c>
      <c r="W483" s="8" t="str">
        <f>_xlfn.IFNA(VLOOKUP(A483,[1]Sheet1!$A$1:$B$101,1,FALSE),"na")</f>
        <v>na</v>
      </c>
      <c r="X483" s="8" t="s">
        <v>449</v>
      </c>
      <c r="Y483" s="9">
        <v>428</v>
      </c>
      <c r="Z483" s="9">
        <v>138.06451000000001</v>
      </c>
      <c r="AA483" s="9">
        <v>142.66667000000001</v>
      </c>
      <c r="AB483" s="9">
        <v>428</v>
      </c>
    </row>
    <row r="484" spans="1:28" x14ac:dyDescent="0.25">
      <c r="A484" s="8" t="s">
        <v>1041</v>
      </c>
      <c r="B484" s="8" t="s">
        <v>1042</v>
      </c>
      <c r="C484" s="8" t="s">
        <v>30</v>
      </c>
      <c r="D484" s="10">
        <v>3.5999998999999998</v>
      </c>
      <c r="E484" s="10">
        <v>2</v>
      </c>
      <c r="F484" s="10">
        <v>1.6</v>
      </c>
      <c r="G484" s="10">
        <v>2</v>
      </c>
      <c r="H484" s="10">
        <v>1.6</v>
      </c>
      <c r="I484" s="10">
        <v>0</v>
      </c>
      <c r="J484" s="10">
        <v>0</v>
      </c>
      <c r="K484" s="10">
        <v>0</v>
      </c>
      <c r="L484" s="10">
        <v>0.60000001999999997</v>
      </c>
      <c r="M484" s="10">
        <v>0</v>
      </c>
      <c r="N484" s="10">
        <v>0.60000001999999997</v>
      </c>
      <c r="O484" s="8" t="s">
        <v>57</v>
      </c>
      <c r="P484" s="8" t="s">
        <v>31</v>
      </c>
      <c r="Q484" s="8" t="s">
        <v>31</v>
      </c>
      <c r="R484" s="8" t="s">
        <v>31</v>
      </c>
      <c r="S484" s="8" t="s">
        <v>31</v>
      </c>
      <c r="T484" s="8" t="s">
        <v>31</v>
      </c>
      <c r="U484" s="8" t="s">
        <v>31</v>
      </c>
      <c r="V484" s="8" t="s">
        <v>31</v>
      </c>
      <c r="W484" s="8" t="str">
        <f>_xlfn.IFNA(VLOOKUP(A484,[1]Sheet1!$A$1:$B$101,1,FALSE),"na")</f>
        <v>na</v>
      </c>
      <c r="X484" s="8" t="s">
        <v>35</v>
      </c>
      <c r="Y484" s="9">
        <v>314</v>
      </c>
      <c r="Z484" s="9">
        <v>87.222221000000005</v>
      </c>
      <c r="AA484" s="9">
        <v>157</v>
      </c>
      <c r="AB484" s="9">
        <v>196.25</v>
      </c>
    </row>
    <row r="485" spans="1:28" x14ac:dyDescent="0.25">
      <c r="A485" s="8" t="s">
        <v>1043</v>
      </c>
      <c r="B485" s="8" t="s">
        <v>1044</v>
      </c>
      <c r="C485" s="8" t="s">
        <v>80</v>
      </c>
      <c r="D485" s="10">
        <v>2</v>
      </c>
      <c r="E485" s="10">
        <v>1</v>
      </c>
      <c r="F485" s="10">
        <v>1</v>
      </c>
      <c r="G485" s="10">
        <v>1</v>
      </c>
      <c r="H485" s="10">
        <v>1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8" t="s">
        <v>31</v>
      </c>
      <c r="P485" s="8" t="s">
        <v>31</v>
      </c>
      <c r="Q485" s="8" t="s">
        <v>31</v>
      </c>
      <c r="R485" s="8" t="s">
        <v>31</v>
      </c>
      <c r="S485" s="8" t="s">
        <v>31</v>
      </c>
      <c r="T485" s="8" t="s">
        <v>31</v>
      </c>
      <c r="U485" s="8" t="s">
        <v>31</v>
      </c>
      <c r="V485" s="8" t="s">
        <v>31</v>
      </c>
      <c r="W485" s="8" t="str">
        <f>_xlfn.IFNA(VLOOKUP(A485,[1]Sheet1!$A$1:$B$101,1,FALSE),"na")</f>
        <v>na</v>
      </c>
      <c r="X485" s="8" t="s">
        <v>35</v>
      </c>
      <c r="Y485" s="9">
        <v>396</v>
      </c>
      <c r="Z485" s="9">
        <v>198</v>
      </c>
      <c r="AA485" s="9">
        <v>396</v>
      </c>
      <c r="AB485" s="9">
        <v>396</v>
      </c>
    </row>
    <row r="486" spans="1:28" x14ac:dyDescent="0.25">
      <c r="A486" s="8" t="s">
        <v>1045</v>
      </c>
      <c r="B486" s="8" t="s">
        <v>1046</v>
      </c>
      <c r="C486" s="8" t="s">
        <v>62</v>
      </c>
      <c r="D486" s="10">
        <v>4</v>
      </c>
      <c r="E486" s="10">
        <v>2</v>
      </c>
      <c r="F486" s="10">
        <v>2</v>
      </c>
      <c r="G486" s="10">
        <v>2</v>
      </c>
      <c r="H486" s="10">
        <v>2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8" t="s">
        <v>31</v>
      </c>
      <c r="P486" s="8" t="s">
        <v>31</v>
      </c>
      <c r="Q486" s="8" t="s">
        <v>31</v>
      </c>
      <c r="R486" s="8" t="s">
        <v>31</v>
      </c>
      <c r="S486" s="8" t="s">
        <v>31</v>
      </c>
      <c r="T486" s="8" t="s">
        <v>57</v>
      </c>
      <c r="U486" s="8" t="s">
        <v>57</v>
      </c>
      <c r="V486" s="8" t="s">
        <v>57</v>
      </c>
      <c r="W486" s="8" t="str">
        <f>_xlfn.IFNA(VLOOKUP(A486,[1]Sheet1!$A$1:$B$101,1,FALSE),"na")</f>
        <v>na</v>
      </c>
      <c r="X486" s="8" t="s">
        <v>35</v>
      </c>
      <c r="Y486" s="9">
        <v>266</v>
      </c>
      <c r="Z486" s="9">
        <v>66.5</v>
      </c>
      <c r="AA486" s="9">
        <v>133</v>
      </c>
      <c r="AB486" s="9">
        <v>133</v>
      </c>
    </row>
    <row r="487" spans="1:28" x14ac:dyDescent="0.25">
      <c r="A487" s="8" t="s">
        <v>1047</v>
      </c>
      <c r="B487" s="8" t="s">
        <v>1048</v>
      </c>
      <c r="C487" s="8" t="s">
        <v>80</v>
      </c>
      <c r="D487" s="10">
        <v>5.1999997999999996</v>
      </c>
      <c r="E487" s="10">
        <v>4</v>
      </c>
      <c r="F487" s="10">
        <v>1.2</v>
      </c>
      <c r="G487" s="10">
        <v>4</v>
      </c>
      <c r="H487" s="10">
        <v>1.2</v>
      </c>
      <c r="I487" s="10">
        <v>0</v>
      </c>
      <c r="J487" s="10">
        <v>0</v>
      </c>
      <c r="K487" s="10">
        <v>0</v>
      </c>
      <c r="L487" s="10">
        <v>0.2</v>
      </c>
      <c r="M487" s="10">
        <v>0</v>
      </c>
      <c r="N487" s="10">
        <v>0.2</v>
      </c>
      <c r="O487" s="8" t="s">
        <v>31</v>
      </c>
      <c r="P487" s="8" t="s">
        <v>31</v>
      </c>
      <c r="Q487" s="8" t="s">
        <v>31</v>
      </c>
      <c r="R487" s="8" t="s">
        <v>57</v>
      </c>
      <c r="S487" s="8" t="s">
        <v>31</v>
      </c>
      <c r="T487" s="8" t="s">
        <v>31</v>
      </c>
      <c r="U487" s="8" t="s">
        <v>31</v>
      </c>
      <c r="V487" s="8" t="s">
        <v>31</v>
      </c>
      <c r="W487" s="8" t="str">
        <f>_xlfn.IFNA(VLOOKUP(A487,[1]Sheet1!$A$1:$B$101,1,FALSE),"na")</f>
        <v>na</v>
      </c>
      <c r="X487" s="8" t="s">
        <v>35</v>
      </c>
      <c r="Y487" s="9">
        <v>573</v>
      </c>
      <c r="Z487" s="9">
        <v>110.19231000000001</v>
      </c>
      <c r="AA487" s="9">
        <v>143.25</v>
      </c>
      <c r="AB487" s="9">
        <v>477.49997000000002</v>
      </c>
    </row>
    <row r="488" spans="1:28" x14ac:dyDescent="0.25">
      <c r="A488" s="8" t="s">
        <v>1049</v>
      </c>
      <c r="B488" s="8" t="s">
        <v>1050</v>
      </c>
      <c r="C488" s="8" t="s">
        <v>67</v>
      </c>
      <c r="D488" s="10">
        <v>4.1999997999999996</v>
      </c>
      <c r="E488" s="10">
        <v>3</v>
      </c>
      <c r="F488" s="10">
        <v>1.2</v>
      </c>
      <c r="G488" s="10">
        <v>3</v>
      </c>
      <c r="H488" s="10">
        <v>1.2</v>
      </c>
      <c r="I488" s="10">
        <v>0</v>
      </c>
      <c r="J488" s="10">
        <v>0</v>
      </c>
      <c r="K488" s="10">
        <v>1</v>
      </c>
      <c r="L488" s="10">
        <v>1.2</v>
      </c>
      <c r="M488" s="10">
        <v>0</v>
      </c>
      <c r="N488" s="10">
        <v>0.2</v>
      </c>
      <c r="O488" s="8" t="s">
        <v>31</v>
      </c>
      <c r="P488" s="8" t="s">
        <v>31</v>
      </c>
      <c r="Q488" s="8" t="s">
        <v>31</v>
      </c>
      <c r="R488" s="8" t="s">
        <v>57</v>
      </c>
      <c r="S488" s="8" t="s">
        <v>31</v>
      </c>
      <c r="T488" s="8" t="s">
        <v>31</v>
      </c>
      <c r="U488" s="8" t="s">
        <v>31</v>
      </c>
      <c r="V488" s="8" t="s">
        <v>31</v>
      </c>
      <c r="W488" s="8" t="str">
        <f>_xlfn.IFNA(VLOOKUP(A488,[1]Sheet1!$A$1:$B$101,1,FALSE),"na")</f>
        <v>na</v>
      </c>
      <c r="X488" s="8" t="s">
        <v>35</v>
      </c>
      <c r="Y488" s="9">
        <v>563</v>
      </c>
      <c r="Z488" s="9">
        <v>134.04761999999999</v>
      </c>
      <c r="AA488" s="9">
        <v>187.66667000000001</v>
      </c>
      <c r="AB488" s="9">
        <v>469.16665999999998</v>
      </c>
    </row>
    <row r="489" spans="1:28" x14ac:dyDescent="0.25">
      <c r="A489" s="8" t="s">
        <v>1051</v>
      </c>
      <c r="B489" s="8" t="s">
        <v>1052</v>
      </c>
      <c r="C489" s="8" t="s">
        <v>30</v>
      </c>
      <c r="D489" s="10">
        <v>2.8</v>
      </c>
      <c r="E489" s="10">
        <v>2</v>
      </c>
      <c r="F489" s="10">
        <v>0.80000000999999998</v>
      </c>
      <c r="G489" s="10">
        <v>2</v>
      </c>
      <c r="H489" s="10">
        <v>0.80000000999999998</v>
      </c>
      <c r="I489" s="10">
        <v>0</v>
      </c>
      <c r="J489" s="10">
        <v>0</v>
      </c>
      <c r="K489" s="10">
        <v>0</v>
      </c>
      <c r="L489" s="10">
        <v>0.60000001999999997</v>
      </c>
      <c r="M489" s="10">
        <v>0</v>
      </c>
      <c r="N489" s="10">
        <v>0.80000000999999998</v>
      </c>
      <c r="O489" s="8" t="s">
        <v>31</v>
      </c>
      <c r="P489" s="8" t="s">
        <v>31</v>
      </c>
      <c r="Q489" s="8" t="s">
        <v>31</v>
      </c>
      <c r="R489" s="8" t="s">
        <v>31</v>
      </c>
      <c r="S489" s="8" t="s">
        <v>31</v>
      </c>
      <c r="T489" s="8" t="s">
        <v>31</v>
      </c>
      <c r="U489" s="8" t="s">
        <v>31</v>
      </c>
      <c r="V489" s="8" t="s">
        <v>31</v>
      </c>
      <c r="W489" s="8" t="str">
        <f>_xlfn.IFNA(VLOOKUP(A489,[1]Sheet1!$A$1:$B$101,1,FALSE),"na")</f>
        <v>na</v>
      </c>
      <c r="X489" s="8" t="s">
        <v>35</v>
      </c>
      <c r="Y489" s="9">
        <v>468</v>
      </c>
      <c r="Z489" s="9">
        <v>167.14285000000001</v>
      </c>
      <c r="AA489" s="9">
        <v>234</v>
      </c>
      <c r="AB489" s="9">
        <v>468</v>
      </c>
    </row>
    <row r="490" spans="1:28" x14ac:dyDescent="0.25">
      <c r="A490" s="8" t="s">
        <v>1053</v>
      </c>
      <c r="B490" s="8" t="s">
        <v>1054</v>
      </c>
      <c r="C490" s="8" t="s">
        <v>67</v>
      </c>
      <c r="D490" s="10">
        <v>4.1999997999999996</v>
      </c>
      <c r="E490" s="10">
        <v>3</v>
      </c>
      <c r="F490" s="10">
        <v>1.2</v>
      </c>
      <c r="G490" s="10">
        <v>3</v>
      </c>
      <c r="H490" s="10">
        <v>1.2</v>
      </c>
      <c r="I490" s="10">
        <v>0</v>
      </c>
      <c r="J490" s="10">
        <v>0</v>
      </c>
      <c r="K490" s="10">
        <v>0</v>
      </c>
      <c r="L490" s="10">
        <v>0.2</v>
      </c>
      <c r="M490" s="10">
        <v>0</v>
      </c>
      <c r="N490" s="10">
        <v>0.2</v>
      </c>
      <c r="O490" s="8" t="s">
        <v>31</v>
      </c>
      <c r="P490" s="8" t="s">
        <v>31</v>
      </c>
      <c r="Q490" s="8" t="s">
        <v>31</v>
      </c>
      <c r="R490" s="8" t="s">
        <v>57</v>
      </c>
      <c r="S490" s="8" t="s">
        <v>31</v>
      </c>
      <c r="T490" s="8" t="s">
        <v>31</v>
      </c>
      <c r="U490" s="8" t="s">
        <v>31</v>
      </c>
      <c r="V490" s="8" t="s">
        <v>31</v>
      </c>
      <c r="W490" s="8" t="str">
        <f>_xlfn.IFNA(VLOOKUP(A490,[1]Sheet1!$A$1:$B$101,1,FALSE),"na")</f>
        <v>na</v>
      </c>
      <c r="X490" s="8" t="s">
        <v>35</v>
      </c>
      <c r="Y490" s="9">
        <v>414</v>
      </c>
      <c r="Z490" s="9">
        <v>98.571433999999996</v>
      </c>
      <c r="AA490" s="9">
        <v>138</v>
      </c>
      <c r="AB490" s="9">
        <v>345</v>
      </c>
    </row>
    <row r="491" spans="1:28" x14ac:dyDescent="0.25">
      <c r="A491" s="8" t="s">
        <v>1055</v>
      </c>
      <c r="B491" s="8" t="s">
        <v>1056</v>
      </c>
      <c r="C491" s="8" t="s">
        <v>62</v>
      </c>
      <c r="D491" s="10">
        <v>3.1333300999999998</v>
      </c>
      <c r="E491" s="10">
        <v>2</v>
      </c>
      <c r="F491" s="10">
        <v>1.1333299999999999</v>
      </c>
      <c r="G491" s="10">
        <v>2</v>
      </c>
      <c r="H491" s="10">
        <v>1.1333299999999999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0.13333</v>
      </c>
      <c r="O491" s="8" t="s">
        <v>31</v>
      </c>
      <c r="P491" s="8" t="s">
        <v>31</v>
      </c>
      <c r="Q491" s="8" t="s">
        <v>31</v>
      </c>
      <c r="R491" s="8" t="s">
        <v>31</v>
      </c>
      <c r="S491" s="8" t="s">
        <v>31</v>
      </c>
      <c r="T491" s="8" t="s">
        <v>31</v>
      </c>
      <c r="U491" s="8" t="s">
        <v>31</v>
      </c>
      <c r="V491" s="8" t="s">
        <v>31</v>
      </c>
      <c r="W491" s="8" t="str">
        <f>_xlfn.IFNA(VLOOKUP(A491,[1]Sheet1!$A$1:$B$101,1,FALSE),"na")</f>
        <v>na</v>
      </c>
      <c r="X491" s="8" t="s">
        <v>35</v>
      </c>
      <c r="Y491" s="9">
        <v>371</v>
      </c>
      <c r="Z491" s="9">
        <v>118.40438</v>
      </c>
      <c r="AA491" s="9">
        <v>185.5</v>
      </c>
      <c r="AB491" s="9">
        <v>327.35390999999998</v>
      </c>
    </row>
    <row r="492" spans="1:28" x14ac:dyDescent="0.25">
      <c r="A492" s="8" t="s">
        <v>1057</v>
      </c>
      <c r="B492" s="8" t="s">
        <v>1058</v>
      </c>
      <c r="C492" s="8" t="s">
        <v>62</v>
      </c>
      <c r="D492" s="10">
        <v>2.0499999999999998</v>
      </c>
      <c r="E492" s="10">
        <v>2</v>
      </c>
      <c r="F492" s="10">
        <v>5.0000001000000002E-2</v>
      </c>
      <c r="G492" s="10">
        <v>2</v>
      </c>
      <c r="H492" s="10">
        <v>5.0000001000000002E-2</v>
      </c>
      <c r="I492" s="10">
        <v>0</v>
      </c>
      <c r="J492" s="10">
        <v>0</v>
      </c>
      <c r="K492" s="10">
        <v>2</v>
      </c>
      <c r="L492" s="10">
        <v>5.0000001000000002E-2</v>
      </c>
      <c r="M492" s="10">
        <v>0</v>
      </c>
      <c r="N492" s="10">
        <v>5.0000001000000002E-2</v>
      </c>
      <c r="O492" s="8" t="s">
        <v>31</v>
      </c>
      <c r="P492" s="8" t="s">
        <v>31</v>
      </c>
      <c r="Q492" s="8" t="s">
        <v>31</v>
      </c>
      <c r="R492" s="8" t="s">
        <v>31</v>
      </c>
      <c r="S492" s="8" t="s">
        <v>31</v>
      </c>
      <c r="T492" s="8" t="s">
        <v>31</v>
      </c>
      <c r="U492" s="8" t="s">
        <v>31</v>
      </c>
      <c r="V492" s="8" t="s">
        <v>31</v>
      </c>
      <c r="W492" s="8" t="str">
        <f>_xlfn.IFNA(VLOOKUP(A492,[1]Sheet1!$A$1:$B$101,1,FALSE),"na")</f>
        <v>na</v>
      </c>
      <c r="X492" s="8" t="s">
        <v>35</v>
      </c>
      <c r="Y492" s="9">
        <v>206</v>
      </c>
      <c r="Z492" s="9">
        <v>100.48781</v>
      </c>
      <c r="AA492" s="9">
        <v>103</v>
      </c>
      <c r="AB492" s="9">
        <v>206</v>
      </c>
    </row>
    <row r="493" spans="1:28" x14ac:dyDescent="0.25">
      <c r="A493" s="8" t="s">
        <v>1059</v>
      </c>
      <c r="B493" s="8" t="s">
        <v>1060</v>
      </c>
      <c r="C493" s="8" t="s">
        <v>38</v>
      </c>
      <c r="D493" s="10">
        <v>5.5999999000000003</v>
      </c>
      <c r="E493" s="10">
        <v>4</v>
      </c>
      <c r="F493" s="10">
        <v>1.6</v>
      </c>
      <c r="G493" s="10">
        <v>4</v>
      </c>
      <c r="H493" s="10">
        <v>1.6</v>
      </c>
      <c r="I493" s="10">
        <v>0</v>
      </c>
      <c r="J493" s="10">
        <v>0</v>
      </c>
      <c r="K493" s="10">
        <v>0</v>
      </c>
      <c r="L493" s="10">
        <v>0.60000001999999997</v>
      </c>
      <c r="M493" s="10">
        <v>0</v>
      </c>
      <c r="N493" s="10">
        <v>0.60000001999999997</v>
      </c>
      <c r="O493" s="8" t="s">
        <v>31</v>
      </c>
      <c r="P493" s="8" t="s">
        <v>31</v>
      </c>
      <c r="Q493" s="8" t="s">
        <v>57</v>
      </c>
      <c r="R493" s="8" t="s">
        <v>31</v>
      </c>
      <c r="S493" s="8" t="s">
        <v>31</v>
      </c>
      <c r="T493" s="8" t="s">
        <v>31</v>
      </c>
      <c r="U493" s="8" t="s">
        <v>31</v>
      </c>
      <c r="V493" s="8" t="s">
        <v>31</v>
      </c>
      <c r="W493" s="8" t="str">
        <f>_xlfn.IFNA(VLOOKUP(A493,[1]Sheet1!$A$1:$B$101,1,FALSE),"na")</f>
        <v>na</v>
      </c>
      <c r="X493" s="8" t="s">
        <v>35</v>
      </c>
      <c r="Y493" s="9">
        <v>650</v>
      </c>
      <c r="Z493" s="9">
        <v>116.07143000000001</v>
      </c>
      <c r="AA493" s="9">
        <v>162.5</v>
      </c>
      <c r="AB493" s="9">
        <v>406.25</v>
      </c>
    </row>
    <row r="494" spans="1:28" x14ac:dyDescent="0.25">
      <c r="A494" s="8" t="s">
        <v>1061</v>
      </c>
      <c r="B494" s="8" t="s">
        <v>1062</v>
      </c>
      <c r="C494" s="8" t="s">
        <v>38</v>
      </c>
      <c r="D494" s="10">
        <v>2.8</v>
      </c>
      <c r="E494" s="10">
        <v>1</v>
      </c>
      <c r="F494" s="10">
        <v>1.8</v>
      </c>
      <c r="G494" s="10">
        <v>1</v>
      </c>
      <c r="H494" s="10">
        <v>1.8</v>
      </c>
      <c r="I494" s="10">
        <v>0</v>
      </c>
      <c r="J494" s="10">
        <v>0</v>
      </c>
      <c r="K494" s="10">
        <v>0</v>
      </c>
      <c r="L494" s="10">
        <v>0.40000001000000002</v>
      </c>
      <c r="M494" s="10">
        <v>0</v>
      </c>
      <c r="N494" s="10">
        <v>0.80000000999999998</v>
      </c>
      <c r="O494" s="8" t="s">
        <v>31</v>
      </c>
      <c r="P494" s="8" t="s">
        <v>31</v>
      </c>
      <c r="Q494" s="8" t="s">
        <v>31</v>
      </c>
      <c r="R494" s="8" t="s">
        <v>31</v>
      </c>
      <c r="S494" s="8" t="s">
        <v>31</v>
      </c>
      <c r="T494" s="8" t="s">
        <v>31</v>
      </c>
      <c r="U494" s="8" t="s">
        <v>31</v>
      </c>
      <c r="V494" s="8" t="s">
        <v>31</v>
      </c>
      <c r="W494" s="8" t="str">
        <f>_xlfn.IFNA(VLOOKUP(A494,[1]Sheet1!$A$1:$B$101,1,FALSE),"na")</f>
        <v>na</v>
      </c>
      <c r="X494" s="8" t="s">
        <v>35</v>
      </c>
      <c r="Y494" s="9">
        <v>674</v>
      </c>
      <c r="Z494" s="9">
        <v>240.71429000000001</v>
      </c>
      <c r="AA494" s="9">
        <v>674</v>
      </c>
      <c r="AB494" s="9">
        <v>374.44445999999999</v>
      </c>
    </row>
    <row r="495" spans="1:28" x14ac:dyDescent="0.25">
      <c r="A495" s="8" t="s">
        <v>1063</v>
      </c>
      <c r="B495" s="8" t="s">
        <v>1064</v>
      </c>
      <c r="C495" s="8" t="s">
        <v>62</v>
      </c>
      <c r="D495" s="10">
        <v>3.1600001</v>
      </c>
      <c r="E495" s="10">
        <v>3</v>
      </c>
      <c r="F495" s="10">
        <v>0.16</v>
      </c>
      <c r="G495" s="10">
        <v>3</v>
      </c>
      <c r="H495" s="10">
        <v>0.16</v>
      </c>
      <c r="I495" s="10">
        <v>0</v>
      </c>
      <c r="J495" s="10">
        <v>0</v>
      </c>
      <c r="K495" s="10">
        <v>0</v>
      </c>
      <c r="L495" s="10">
        <v>0.16</v>
      </c>
      <c r="M495" s="10">
        <v>0</v>
      </c>
      <c r="N495" s="10">
        <v>0.16</v>
      </c>
      <c r="O495" s="8" t="s">
        <v>31</v>
      </c>
      <c r="P495" s="8" t="s">
        <v>31</v>
      </c>
      <c r="Q495" s="8" t="s">
        <v>31</v>
      </c>
      <c r="R495" s="8" t="s">
        <v>31</v>
      </c>
      <c r="S495" s="8" t="s">
        <v>31</v>
      </c>
      <c r="T495" s="8" t="s">
        <v>57</v>
      </c>
      <c r="U495" s="8" t="s">
        <v>31</v>
      </c>
      <c r="V495" s="8" t="s">
        <v>31</v>
      </c>
      <c r="W495" s="8" t="str">
        <f>_xlfn.IFNA(VLOOKUP(A495,[1]Sheet1!$A$1:$B$101,1,FALSE),"na")</f>
        <v>na</v>
      </c>
      <c r="X495" s="8" t="s">
        <v>35</v>
      </c>
      <c r="Y495" s="9">
        <v>332</v>
      </c>
      <c r="Z495" s="9">
        <v>105.06328999999999</v>
      </c>
      <c r="AA495" s="9">
        <v>110.66665999999999</v>
      </c>
      <c r="AB495" s="9">
        <v>332</v>
      </c>
    </row>
    <row r="496" spans="1:28" x14ac:dyDescent="0.25">
      <c r="A496" s="8" t="s">
        <v>1065</v>
      </c>
      <c r="B496" s="8" t="s">
        <v>1066</v>
      </c>
      <c r="C496" s="8" t="s">
        <v>30</v>
      </c>
      <c r="D496" s="10">
        <v>1.26667</v>
      </c>
      <c r="E496" s="10">
        <v>1</v>
      </c>
      <c r="F496" s="10">
        <v>0.26666999000000002</v>
      </c>
      <c r="G496" s="10">
        <v>1</v>
      </c>
      <c r="H496" s="10">
        <v>0.26666999000000002</v>
      </c>
      <c r="I496" s="10">
        <v>0</v>
      </c>
      <c r="J496" s="10">
        <v>0</v>
      </c>
      <c r="K496" s="10">
        <v>0</v>
      </c>
      <c r="L496" s="10">
        <v>0.26666999000000002</v>
      </c>
      <c r="M496" s="10">
        <v>0</v>
      </c>
      <c r="N496" s="10">
        <v>0.26666999000000002</v>
      </c>
      <c r="O496" s="8" t="s">
        <v>31</v>
      </c>
      <c r="P496" s="8" t="s">
        <v>31</v>
      </c>
      <c r="Q496" s="8" t="s">
        <v>57</v>
      </c>
      <c r="R496" s="8" t="s">
        <v>31</v>
      </c>
      <c r="S496" s="8" t="s">
        <v>31</v>
      </c>
      <c r="T496" s="8" t="s">
        <v>31</v>
      </c>
      <c r="U496" s="8" t="s">
        <v>31</v>
      </c>
      <c r="V496" s="8" t="s">
        <v>31</v>
      </c>
      <c r="W496" s="8" t="str">
        <f>_xlfn.IFNA(VLOOKUP(A496,[1]Sheet1!$A$1:$B$101,1,FALSE),"na")</f>
        <v>na</v>
      </c>
      <c r="X496" s="8" t="s">
        <v>35</v>
      </c>
      <c r="Y496" s="9">
        <v>313</v>
      </c>
      <c r="Z496" s="9">
        <v>247.10461000000001</v>
      </c>
      <c r="AA496" s="9">
        <v>313</v>
      </c>
      <c r="AB496" s="9">
        <v>313</v>
      </c>
    </row>
    <row r="497" spans="1:28" x14ac:dyDescent="0.25">
      <c r="A497" s="8" t="s">
        <v>1067</v>
      </c>
      <c r="B497" s="8" t="s">
        <v>1068</v>
      </c>
      <c r="C497" s="8" t="s">
        <v>30</v>
      </c>
      <c r="D497" s="10">
        <v>1.26667</v>
      </c>
      <c r="E497" s="10">
        <v>1</v>
      </c>
      <c r="F497" s="10">
        <v>0.26666999000000002</v>
      </c>
      <c r="G497" s="10">
        <v>1</v>
      </c>
      <c r="H497" s="10">
        <v>0.26666999000000002</v>
      </c>
      <c r="I497" s="10">
        <v>0</v>
      </c>
      <c r="J497" s="10">
        <v>0</v>
      </c>
      <c r="K497" s="10">
        <v>1</v>
      </c>
      <c r="L497" s="10">
        <v>0.26666999000000002</v>
      </c>
      <c r="M497" s="10">
        <v>0</v>
      </c>
      <c r="N497" s="10">
        <v>0.26666999000000002</v>
      </c>
      <c r="O497" s="8" t="s">
        <v>31</v>
      </c>
      <c r="P497" s="8" t="s">
        <v>31</v>
      </c>
      <c r="Q497" s="8" t="s">
        <v>31</v>
      </c>
      <c r="R497" s="8" t="s">
        <v>31</v>
      </c>
      <c r="S497" s="8" t="s">
        <v>31</v>
      </c>
      <c r="T497" s="8" t="s">
        <v>31</v>
      </c>
      <c r="U497" s="8" t="s">
        <v>31</v>
      </c>
      <c r="V497" s="8" t="s">
        <v>31</v>
      </c>
      <c r="W497" s="8" t="str">
        <f>_xlfn.IFNA(VLOOKUP(A497,[1]Sheet1!$A$1:$B$101,1,FALSE),"na")</f>
        <v>na</v>
      </c>
      <c r="X497" s="8" t="s">
        <v>35</v>
      </c>
      <c r="Y497" s="9">
        <v>382</v>
      </c>
      <c r="Z497" s="9">
        <v>301.57816000000003</v>
      </c>
      <c r="AA497" s="9">
        <v>382</v>
      </c>
      <c r="AB497" s="9">
        <v>382</v>
      </c>
    </row>
    <row r="498" spans="1:28" x14ac:dyDescent="0.25">
      <c r="A498" s="8" t="s">
        <v>1069</v>
      </c>
      <c r="B498" s="8" t="s">
        <v>1070</v>
      </c>
      <c r="C498" s="8" t="s">
        <v>67</v>
      </c>
      <c r="D498" s="10">
        <v>1.6</v>
      </c>
      <c r="E498" s="10">
        <v>0.60000001999999997</v>
      </c>
      <c r="F498" s="10">
        <v>1</v>
      </c>
      <c r="G498" s="10">
        <v>0</v>
      </c>
      <c r="H498" s="10">
        <v>1</v>
      </c>
      <c r="I498" s="10">
        <v>0.60000001999999997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8" t="s">
        <v>57</v>
      </c>
      <c r="P498" s="8" t="s">
        <v>31</v>
      </c>
      <c r="Q498" s="8" t="s">
        <v>31</v>
      </c>
      <c r="R498" s="8" t="s">
        <v>31</v>
      </c>
      <c r="S498" s="8" t="s">
        <v>31</v>
      </c>
      <c r="T498" s="8" t="s">
        <v>31</v>
      </c>
      <c r="U498" s="8" t="s">
        <v>31</v>
      </c>
      <c r="V498" s="8" t="s">
        <v>31</v>
      </c>
      <c r="W498" s="8" t="str">
        <f>_xlfn.IFNA(VLOOKUP(A498,[1]Sheet1!$A$1:$B$101,1,FALSE),"na")</f>
        <v>na</v>
      </c>
      <c r="X498" s="8" t="s">
        <v>35</v>
      </c>
      <c r="Y498" s="9">
        <v>270</v>
      </c>
      <c r="Z498" s="9">
        <v>168.75</v>
      </c>
      <c r="AA498" s="9">
        <v>270</v>
      </c>
      <c r="AB498" s="9">
        <v>270</v>
      </c>
    </row>
    <row r="499" spans="1:28" x14ac:dyDescent="0.25">
      <c r="A499" s="8" t="s">
        <v>1071</v>
      </c>
      <c r="B499" s="8" t="s">
        <v>1072</v>
      </c>
      <c r="C499" s="8" t="s">
        <v>30</v>
      </c>
      <c r="D499" s="10">
        <v>2</v>
      </c>
      <c r="E499" s="10">
        <v>1</v>
      </c>
      <c r="F499" s="10">
        <v>1</v>
      </c>
      <c r="G499" s="10">
        <v>1</v>
      </c>
      <c r="H499" s="10">
        <v>1</v>
      </c>
      <c r="I499" s="10">
        <v>0</v>
      </c>
      <c r="J499" s="10">
        <v>0</v>
      </c>
      <c r="K499" s="10">
        <v>0</v>
      </c>
      <c r="L499" s="10">
        <v>0.40000001000000002</v>
      </c>
      <c r="M499" s="10">
        <v>0</v>
      </c>
      <c r="N499" s="10">
        <v>1</v>
      </c>
      <c r="O499" s="8" t="s">
        <v>31</v>
      </c>
      <c r="P499" s="8" t="s">
        <v>31</v>
      </c>
      <c r="Q499" s="8" t="s">
        <v>31</v>
      </c>
      <c r="R499" s="8" t="s">
        <v>31</v>
      </c>
      <c r="S499" s="8" t="s">
        <v>31</v>
      </c>
      <c r="T499" s="8" t="s">
        <v>31</v>
      </c>
      <c r="U499" s="8" t="s">
        <v>31</v>
      </c>
      <c r="V499" s="8" t="s">
        <v>31</v>
      </c>
      <c r="W499" s="8" t="str">
        <f>_xlfn.IFNA(VLOOKUP(A499,[1]Sheet1!$A$1:$B$101,1,FALSE),"na")</f>
        <v>na</v>
      </c>
      <c r="X499" s="8" t="s">
        <v>35</v>
      </c>
      <c r="Y499" s="9">
        <v>414</v>
      </c>
      <c r="Z499" s="9">
        <v>207</v>
      </c>
      <c r="AA499" s="9">
        <v>414</v>
      </c>
      <c r="AB499" s="9">
        <v>414</v>
      </c>
    </row>
    <row r="500" spans="1:28" x14ac:dyDescent="0.25">
      <c r="A500" s="8" t="s">
        <v>1073</v>
      </c>
      <c r="B500" s="8" t="s">
        <v>1074</v>
      </c>
      <c r="C500" s="8" t="s">
        <v>38</v>
      </c>
      <c r="D500" s="10">
        <v>3.2</v>
      </c>
      <c r="E500" s="10">
        <v>2</v>
      </c>
      <c r="F500" s="10">
        <v>1.2</v>
      </c>
      <c r="G500" s="10">
        <v>2</v>
      </c>
      <c r="H500" s="10">
        <v>1.2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0.2</v>
      </c>
      <c r="O500" s="8" t="s">
        <v>57</v>
      </c>
      <c r="P500" s="8" t="s">
        <v>57</v>
      </c>
      <c r="Q500" s="8" t="s">
        <v>31</v>
      </c>
      <c r="R500" s="8" t="s">
        <v>31</v>
      </c>
      <c r="S500" s="8" t="s">
        <v>31</v>
      </c>
      <c r="T500" s="8" t="s">
        <v>31</v>
      </c>
      <c r="U500" s="8" t="s">
        <v>31</v>
      </c>
      <c r="V500" s="8" t="s">
        <v>31</v>
      </c>
      <c r="W500" s="8" t="str">
        <f>_xlfn.IFNA(VLOOKUP(A500,[1]Sheet1!$A$1:$B$101,1,FALSE),"na")</f>
        <v>na</v>
      </c>
      <c r="X500" s="8" t="s">
        <v>35</v>
      </c>
      <c r="Y500" s="9">
        <v>207</v>
      </c>
      <c r="Z500" s="9">
        <v>64.6875</v>
      </c>
      <c r="AA500" s="9">
        <v>103.5</v>
      </c>
      <c r="AB500" s="9">
        <v>172.5</v>
      </c>
    </row>
    <row r="501" spans="1:28" x14ac:dyDescent="0.25">
      <c r="A501" s="8" t="s">
        <v>1075</v>
      </c>
      <c r="B501" s="8" t="s">
        <v>1076</v>
      </c>
      <c r="C501" s="8" t="s">
        <v>62</v>
      </c>
      <c r="D501" s="10">
        <v>3</v>
      </c>
      <c r="E501" s="10">
        <v>2</v>
      </c>
      <c r="F501" s="10">
        <v>1</v>
      </c>
      <c r="G501" s="10">
        <v>2</v>
      </c>
      <c r="H501" s="10">
        <v>1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8" t="s">
        <v>57</v>
      </c>
      <c r="P501" s="8" t="s">
        <v>31</v>
      </c>
      <c r="Q501" s="8" t="s">
        <v>31</v>
      </c>
      <c r="R501" s="8" t="s">
        <v>31</v>
      </c>
      <c r="S501" s="8" t="s">
        <v>31</v>
      </c>
      <c r="T501" s="8" t="s">
        <v>31</v>
      </c>
      <c r="U501" s="8" t="s">
        <v>31</v>
      </c>
      <c r="V501" s="8" t="s">
        <v>31</v>
      </c>
      <c r="W501" s="8" t="str">
        <f>_xlfn.IFNA(VLOOKUP(A501,[1]Sheet1!$A$1:$B$101,1,FALSE),"na")</f>
        <v>na</v>
      </c>
      <c r="X501" s="8" t="s">
        <v>35</v>
      </c>
      <c r="Y501" s="9">
        <v>191</v>
      </c>
      <c r="Z501" s="9">
        <v>63.666668000000001</v>
      </c>
      <c r="AA501" s="9">
        <v>95.5</v>
      </c>
      <c r="AB501" s="9">
        <v>191</v>
      </c>
    </row>
    <row r="502" spans="1:28" x14ac:dyDescent="0.25">
      <c r="A502" s="8" t="s">
        <v>1077</v>
      </c>
      <c r="B502" s="8" t="s">
        <v>1078</v>
      </c>
      <c r="C502" s="8" t="s">
        <v>67</v>
      </c>
      <c r="D502" s="10">
        <v>4.2666702000000001</v>
      </c>
      <c r="E502" s="10">
        <v>3</v>
      </c>
      <c r="F502" s="10">
        <v>1.26667</v>
      </c>
      <c r="G502" s="10">
        <v>3</v>
      </c>
      <c r="H502" s="10">
        <v>1.26667</v>
      </c>
      <c r="I502" s="10">
        <v>0</v>
      </c>
      <c r="J502" s="10">
        <v>0</v>
      </c>
      <c r="K502" s="10">
        <v>1</v>
      </c>
      <c r="L502" s="10">
        <v>0.26666999000000002</v>
      </c>
      <c r="M502" s="10">
        <v>0</v>
      </c>
      <c r="N502" s="10">
        <v>0.26666999000000002</v>
      </c>
      <c r="O502" s="8" t="s">
        <v>31</v>
      </c>
      <c r="P502" s="8" t="s">
        <v>31</v>
      </c>
      <c r="Q502" s="8" t="s">
        <v>31</v>
      </c>
      <c r="R502" s="8" t="s">
        <v>57</v>
      </c>
      <c r="S502" s="8" t="s">
        <v>31</v>
      </c>
      <c r="T502" s="8" t="s">
        <v>31</v>
      </c>
      <c r="U502" s="8" t="s">
        <v>31</v>
      </c>
      <c r="V502" s="8" t="s">
        <v>31</v>
      </c>
      <c r="W502" s="8" t="str">
        <f>_xlfn.IFNA(VLOOKUP(A502,[1]Sheet1!$A$1:$B$101,1,FALSE),"na")</f>
        <v>na</v>
      </c>
      <c r="X502" s="8" t="s">
        <v>1079</v>
      </c>
      <c r="Y502" s="9">
        <v>349</v>
      </c>
      <c r="Z502" s="9">
        <v>81.796806000000004</v>
      </c>
      <c r="AA502" s="9">
        <v>116.33334000000001</v>
      </c>
      <c r="AB502" s="9">
        <v>275.5256</v>
      </c>
    </row>
    <row r="503" spans="1:28" x14ac:dyDescent="0.25">
      <c r="A503" s="8" t="s">
        <v>1080</v>
      </c>
      <c r="B503" s="8" t="s">
        <v>1081</v>
      </c>
      <c r="C503" s="8" t="s">
        <v>30</v>
      </c>
      <c r="D503" s="10">
        <v>3</v>
      </c>
      <c r="E503" s="10">
        <v>1</v>
      </c>
      <c r="F503" s="10">
        <v>2</v>
      </c>
      <c r="G503" s="10">
        <v>1</v>
      </c>
      <c r="H503" s="10">
        <v>2</v>
      </c>
      <c r="I503" s="10">
        <v>0</v>
      </c>
      <c r="J503" s="10">
        <v>0</v>
      </c>
      <c r="K503" s="10">
        <v>1</v>
      </c>
      <c r="L503" s="10">
        <v>0.80000000999999998</v>
      </c>
      <c r="M503" s="10">
        <v>0</v>
      </c>
      <c r="N503" s="10">
        <v>1</v>
      </c>
      <c r="O503" s="8" t="s">
        <v>31</v>
      </c>
      <c r="P503" s="8" t="s">
        <v>31</v>
      </c>
      <c r="Q503" s="8" t="s">
        <v>57</v>
      </c>
      <c r="R503" s="8" t="s">
        <v>31</v>
      </c>
      <c r="S503" s="8" t="s">
        <v>31</v>
      </c>
      <c r="T503" s="8" t="s">
        <v>31</v>
      </c>
      <c r="U503" s="8" t="s">
        <v>31</v>
      </c>
      <c r="V503" s="8" t="s">
        <v>31</v>
      </c>
      <c r="W503" s="8" t="str">
        <f>_xlfn.IFNA(VLOOKUP(A503,[1]Sheet1!$A$1:$B$101,1,FALSE),"na")</f>
        <v>na</v>
      </c>
      <c r="X503" s="8" t="s">
        <v>35</v>
      </c>
      <c r="Y503" s="9">
        <v>560</v>
      </c>
      <c r="Z503" s="9">
        <v>186.66667000000001</v>
      </c>
      <c r="AA503" s="9">
        <v>560</v>
      </c>
      <c r="AB503" s="9">
        <v>280</v>
      </c>
    </row>
    <row r="504" spans="1:28" x14ac:dyDescent="0.25">
      <c r="A504" s="8" t="s">
        <v>1082</v>
      </c>
      <c r="B504" s="8" t="s">
        <v>1083</v>
      </c>
      <c r="C504" s="8" t="s">
        <v>80</v>
      </c>
      <c r="D504" s="10">
        <v>5.1999997999999996</v>
      </c>
      <c r="E504" s="10">
        <v>4</v>
      </c>
      <c r="F504" s="10">
        <v>1.2</v>
      </c>
      <c r="G504" s="10">
        <v>4</v>
      </c>
      <c r="H504" s="10">
        <v>1.2</v>
      </c>
      <c r="I504" s="10">
        <v>0</v>
      </c>
      <c r="J504" s="10">
        <v>0</v>
      </c>
      <c r="K504" s="10">
        <v>1</v>
      </c>
      <c r="L504" s="10">
        <v>0.2</v>
      </c>
      <c r="M504" s="10">
        <v>0</v>
      </c>
      <c r="N504" s="10">
        <v>0.2</v>
      </c>
      <c r="O504" s="8" t="s">
        <v>57</v>
      </c>
      <c r="P504" s="8" t="s">
        <v>31</v>
      </c>
      <c r="Q504" s="8" t="s">
        <v>31</v>
      </c>
      <c r="R504" s="8" t="s">
        <v>31</v>
      </c>
      <c r="S504" s="8" t="s">
        <v>31</v>
      </c>
      <c r="T504" s="8" t="s">
        <v>31</v>
      </c>
      <c r="U504" s="8" t="s">
        <v>31</v>
      </c>
      <c r="V504" s="8" t="s">
        <v>31</v>
      </c>
      <c r="W504" s="8" t="str">
        <f>_xlfn.IFNA(VLOOKUP(A504,[1]Sheet1!$A$1:$B$101,1,FALSE),"na")</f>
        <v>na</v>
      </c>
      <c r="X504" s="8" t="s">
        <v>35</v>
      </c>
      <c r="Y504" s="9">
        <v>493</v>
      </c>
      <c r="Z504" s="9">
        <v>94.807693</v>
      </c>
      <c r="AA504" s="9">
        <v>123.25</v>
      </c>
      <c r="AB504" s="9">
        <v>410.83330999999998</v>
      </c>
    </row>
    <row r="505" spans="1:28" x14ac:dyDescent="0.25">
      <c r="A505" s="8" t="s">
        <v>1084</v>
      </c>
      <c r="B505" s="8" t="s">
        <v>1085</v>
      </c>
      <c r="C505" s="8" t="s">
        <v>30</v>
      </c>
      <c r="D505" s="10">
        <v>3.4000001000000002</v>
      </c>
      <c r="E505" s="10">
        <v>2</v>
      </c>
      <c r="F505" s="10">
        <v>1.4</v>
      </c>
      <c r="G505" s="10">
        <v>2</v>
      </c>
      <c r="H505" s="10">
        <v>1.4</v>
      </c>
      <c r="I505" s="10">
        <v>0</v>
      </c>
      <c r="J505" s="10">
        <v>0</v>
      </c>
      <c r="K505" s="10">
        <v>0</v>
      </c>
      <c r="L505" s="10">
        <v>0.2</v>
      </c>
      <c r="M505" s="10">
        <v>0</v>
      </c>
      <c r="N505" s="10">
        <v>0.40000001000000002</v>
      </c>
      <c r="O505" s="8" t="s">
        <v>57</v>
      </c>
      <c r="P505" s="8" t="s">
        <v>57</v>
      </c>
      <c r="Q505" s="8" t="s">
        <v>31</v>
      </c>
      <c r="R505" s="8" t="s">
        <v>31</v>
      </c>
      <c r="S505" s="8" t="s">
        <v>31</v>
      </c>
      <c r="T505" s="8" t="s">
        <v>31</v>
      </c>
      <c r="U505" s="8" t="s">
        <v>31</v>
      </c>
      <c r="V505" s="8" t="s">
        <v>31</v>
      </c>
      <c r="W505" s="8" t="str">
        <f>_xlfn.IFNA(VLOOKUP(A505,[1]Sheet1!$A$1:$B$101,1,FALSE),"na")</f>
        <v>na</v>
      </c>
      <c r="X505" s="8" t="s">
        <v>35</v>
      </c>
      <c r="Y505" s="9">
        <v>305</v>
      </c>
      <c r="Z505" s="9">
        <v>89.705878999999996</v>
      </c>
      <c r="AA505" s="9">
        <v>152.5</v>
      </c>
      <c r="AB505" s="9">
        <v>217.85714999999999</v>
      </c>
    </row>
    <row r="506" spans="1:28" x14ac:dyDescent="0.25">
      <c r="A506" s="8" t="s">
        <v>1086</v>
      </c>
      <c r="B506" s="8" t="s">
        <v>1087</v>
      </c>
      <c r="C506" s="8" t="s">
        <v>62</v>
      </c>
      <c r="D506" s="10">
        <v>6.1199998999999998</v>
      </c>
      <c r="E506" s="10">
        <v>2</v>
      </c>
      <c r="F506" s="10">
        <v>4.1199998999999998</v>
      </c>
      <c r="G506" s="10">
        <v>2</v>
      </c>
      <c r="H506" s="10">
        <v>4.1199998999999998</v>
      </c>
      <c r="I506" s="10">
        <v>0</v>
      </c>
      <c r="J506" s="10">
        <v>0</v>
      </c>
      <c r="K506" s="10">
        <v>0</v>
      </c>
      <c r="L506" s="10">
        <v>0.12</v>
      </c>
      <c r="M506" s="10">
        <v>0</v>
      </c>
      <c r="N506" s="10">
        <v>0.12</v>
      </c>
      <c r="O506" s="8" t="s">
        <v>31</v>
      </c>
      <c r="P506" s="8" t="s">
        <v>31</v>
      </c>
      <c r="Q506" s="8" t="s">
        <v>31</v>
      </c>
      <c r="R506" s="8" t="s">
        <v>31</v>
      </c>
      <c r="S506" s="8" t="s">
        <v>31</v>
      </c>
      <c r="T506" s="8" t="s">
        <v>57</v>
      </c>
      <c r="U506" s="8" t="s">
        <v>31</v>
      </c>
      <c r="V506" s="8" t="s">
        <v>31</v>
      </c>
      <c r="W506" s="8" t="str">
        <f>_xlfn.IFNA(VLOOKUP(A506,[1]Sheet1!$A$1:$B$101,1,FALSE),"na")</f>
        <v>na</v>
      </c>
      <c r="X506" s="8" t="s">
        <v>35</v>
      </c>
      <c r="Y506" s="9">
        <v>435</v>
      </c>
      <c r="Z506" s="9">
        <v>71.078429999999997</v>
      </c>
      <c r="AA506" s="9">
        <v>217.5</v>
      </c>
      <c r="AB506" s="9">
        <v>105.58253000000001</v>
      </c>
    </row>
    <row r="507" spans="1:28" x14ac:dyDescent="0.25">
      <c r="A507" s="8" t="s">
        <v>1088</v>
      </c>
      <c r="B507" s="8" t="s">
        <v>1089</v>
      </c>
      <c r="C507" s="8" t="s">
        <v>62</v>
      </c>
      <c r="D507" s="10">
        <v>5.1199998999999998</v>
      </c>
      <c r="E507" s="10">
        <v>4</v>
      </c>
      <c r="F507" s="10">
        <v>1.1200000000000001</v>
      </c>
      <c r="G507" s="10">
        <v>4</v>
      </c>
      <c r="H507" s="10">
        <v>1.1200000000000001</v>
      </c>
      <c r="I507" s="10">
        <v>0</v>
      </c>
      <c r="J507" s="10">
        <v>0</v>
      </c>
      <c r="K507" s="10">
        <v>1</v>
      </c>
      <c r="L507" s="10">
        <v>0.12</v>
      </c>
      <c r="M507" s="10">
        <v>0</v>
      </c>
      <c r="N507" s="10">
        <v>0.12</v>
      </c>
      <c r="O507" s="8" t="s">
        <v>31</v>
      </c>
      <c r="P507" s="8" t="s">
        <v>57</v>
      </c>
      <c r="Q507" s="8" t="s">
        <v>31</v>
      </c>
      <c r="R507" s="8" t="s">
        <v>31</v>
      </c>
      <c r="S507" s="8" t="s">
        <v>31</v>
      </c>
      <c r="T507" s="8" t="s">
        <v>31</v>
      </c>
      <c r="U507" s="8" t="s">
        <v>31</v>
      </c>
      <c r="V507" s="8" t="s">
        <v>31</v>
      </c>
      <c r="W507" s="8" t="str">
        <f>_xlfn.IFNA(VLOOKUP(A507,[1]Sheet1!$A$1:$B$101,1,FALSE),"na")</f>
        <v>na</v>
      </c>
      <c r="X507" s="8" t="s">
        <v>35</v>
      </c>
      <c r="Y507" s="9">
        <v>627</v>
      </c>
      <c r="Z507" s="9">
        <v>122.46093999999999</v>
      </c>
      <c r="AA507" s="9">
        <v>156.75</v>
      </c>
      <c r="AB507" s="9">
        <v>559.82141000000001</v>
      </c>
    </row>
    <row r="508" spans="1:28" x14ac:dyDescent="0.25">
      <c r="A508" s="8" t="s">
        <v>1090</v>
      </c>
      <c r="B508" s="8" t="s">
        <v>1091</v>
      </c>
      <c r="C508" s="8" t="s">
        <v>30</v>
      </c>
      <c r="D508" s="10">
        <v>2.5999998999999998</v>
      </c>
      <c r="E508" s="10">
        <v>1</v>
      </c>
      <c r="F508" s="10">
        <v>1.6</v>
      </c>
      <c r="G508" s="10">
        <v>1</v>
      </c>
      <c r="H508" s="10">
        <v>1.6</v>
      </c>
      <c r="I508" s="10">
        <v>0</v>
      </c>
      <c r="J508" s="10">
        <v>0</v>
      </c>
      <c r="K508" s="10">
        <v>0</v>
      </c>
      <c r="L508" s="10">
        <v>0.60000001999999997</v>
      </c>
      <c r="M508" s="10">
        <v>0</v>
      </c>
      <c r="N508" s="10">
        <v>0.60000001999999997</v>
      </c>
      <c r="O508" s="8" t="s">
        <v>57</v>
      </c>
      <c r="P508" s="8" t="s">
        <v>57</v>
      </c>
      <c r="Q508" s="8" t="s">
        <v>31</v>
      </c>
      <c r="R508" s="8" t="s">
        <v>31</v>
      </c>
      <c r="S508" s="8" t="s">
        <v>31</v>
      </c>
      <c r="T508" s="8" t="s">
        <v>31</v>
      </c>
      <c r="U508" s="8" t="s">
        <v>31</v>
      </c>
      <c r="V508" s="8" t="s">
        <v>31</v>
      </c>
      <c r="W508" s="8" t="str">
        <f>_xlfn.IFNA(VLOOKUP(A508,[1]Sheet1!$A$1:$B$101,1,FALSE),"na")</f>
        <v>na</v>
      </c>
      <c r="X508" s="8" t="s">
        <v>35</v>
      </c>
      <c r="Y508" s="9">
        <v>282</v>
      </c>
      <c r="Z508" s="9">
        <v>108.46154</v>
      </c>
      <c r="AA508" s="9">
        <v>282</v>
      </c>
      <c r="AB508" s="9">
        <v>176.25</v>
      </c>
    </row>
    <row r="509" spans="1:28" x14ac:dyDescent="0.25">
      <c r="A509" s="8" t="s">
        <v>1092</v>
      </c>
      <c r="B509" s="8" t="s">
        <v>1093</v>
      </c>
      <c r="C509" s="8" t="s">
        <v>38</v>
      </c>
      <c r="D509" s="10">
        <v>6.4000000999999997</v>
      </c>
      <c r="E509" s="10">
        <v>3</v>
      </c>
      <c r="F509" s="10">
        <v>3.4000001000000002</v>
      </c>
      <c r="G509" s="10">
        <v>3</v>
      </c>
      <c r="H509" s="10">
        <v>3.4000001000000002</v>
      </c>
      <c r="I509" s="10">
        <v>0</v>
      </c>
      <c r="J509" s="10">
        <v>0</v>
      </c>
      <c r="K509" s="10">
        <v>0</v>
      </c>
      <c r="L509" s="10">
        <v>0.40000001000000002</v>
      </c>
      <c r="M509" s="10">
        <v>0</v>
      </c>
      <c r="N509" s="10">
        <v>0.40000001000000002</v>
      </c>
      <c r="O509" s="8" t="s">
        <v>31</v>
      </c>
      <c r="P509" s="8" t="s">
        <v>57</v>
      </c>
      <c r="Q509" s="8" t="s">
        <v>31</v>
      </c>
      <c r="R509" s="8" t="s">
        <v>31</v>
      </c>
      <c r="S509" s="8" t="s">
        <v>31</v>
      </c>
      <c r="T509" s="8" t="s">
        <v>31</v>
      </c>
      <c r="U509" s="8" t="s">
        <v>31</v>
      </c>
      <c r="V509" s="8" t="s">
        <v>31</v>
      </c>
      <c r="W509" s="8" t="str">
        <f>_xlfn.IFNA(VLOOKUP(A509,[1]Sheet1!$A$1:$B$101,1,FALSE),"na")</f>
        <v>na</v>
      </c>
      <c r="X509" s="8" t="s">
        <v>449</v>
      </c>
      <c r="Y509" s="9">
        <v>801</v>
      </c>
      <c r="Z509" s="9">
        <v>125.15625</v>
      </c>
      <c r="AA509" s="9">
        <v>267</v>
      </c>
      <c r="AB509" s="9">
        <v>235.58823000000001</v>
      </c>
    </row>
    <row r="510" spans="1:28" x14ac:dyDescent="0.25">
      <c r="A510" s="8" t="s">
        <v>1094</v>
      </c>
      <c r="B510" s="8" t="s">
        <v>1095</v>
      </c>
      <c r="C510" s="8" t="s">
        <v>80</v>
      </c>
      <c r="D510" s="10">
        <v>6.4000000999999997</v>
      </c>
      <c r="E510" s="10">
        <v>6</v>
      </c>
      <c r="F510" s="10">
        <v>0.40000001000000002</v>
      </c>
      <c r="G510" s="10">
        <v>6</v>
      </c>
      <c r="H510" s="10">
        <v>0.40000001000000002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0.40000001000000002</v>
      </c>
      <c r="O510" s="8" t="s">
        <v>31</v>
      </c>
      <c r="P510" s="8" t="s">
        <v>31</v>
      </c>
      <c r="Q510" s="8" t="s">
        <v>31</v>
      </c>
      <c r="R510" s="8" t="s">
        <v>31</v>
      </c>
      <c r="S510" s="8" t="s">
        <v>31</v>
      </c>
      <c r="T510" s="8" t="s">
        <v>57</v>
      </c>
      <c r="U510" s="8" t="s">
        <v>31</v>
      </c>
      <c r="V510" s="8" t="s">
        <v>31</v>
      </c>
      <c r="W510" s="8" t="str">
        <f>_xlfn.IFNA(VLOOKUP(A510,[1]Sheet1!$A$1:$B$101,1,FALSE),"na")</f>
        <v>na</v>
      </c>
      <c r="X510" s="8" t="s">
        <v>35</v>
      </c>
      <c r="Y510" s="9">
        <v>958</v>
      </c>
      <c r="Z510" s="9">
        <v>149.6875</v>
      </c>
      <c r="AA510" s="9">
        <v>159.66667000000001</v>
      </c>
      <c r="AB510" s="9">
        <v>958</v>
      </c>
    </row>
    <row r="511" spans="1:28" x14ac:dyDescent="0.25">
      <c r="A511" s="8" t="s">
        <v>1096</v>
      </c>
      <c r="B511" s="8" t="s">
        <v>1097</v>
      </c>
      <c r="C511" s="8" t="s">
        <v>62</v>
      </c>
      <c r="D511" s="10">
        <v>4.1199998999999998</v>
      </c>
      <c r="E511" s="10">
        <v>3</v>
      </c>
      <c r="F511" s="10">
        <v>1.1200000000000001</v>
      </c>
      <c r="G511" s="10">
        <v>3</v>
      </c>
      <c r="H511" s="10">
        <v>1.1200000000000001</v>
      </c>
      <c r="I511" s="10">
        <v>0</v>
      </c>
      <c r="J511" s="10">
        <v>0</v>
      </c>
      <c r="K511" s="10">
        <v>0</v>
      </c>
      <c r="L511" s="10">
        <v>0.12</v>
      </c>
      <c r="M511" s="10">
        <v>0</v>
      </c>
      <c r="N511" s="10">
        <v>0.12</v>
      </c>
      <c r="O511" s="8" t="s">
        <v>31</v>
      </c>
      <c r="P511" s="8" t="s">
        <v>31</v>
      </c>
      <c r="Q511" s="8" t="s">
        <v>31</v>
      </c>
      <c r="R511" s="8" t="s">
        <v>57</v>
      </c>
      <c r="S511" s="8" t="s">
        <v>31</v>
      </c>
      <c r="T511" s="8" t="s">
        <v>31</v>
      </c>
      <c r="U511" s="8" t="s">
        <v>31</v>
      </c>
      <c r="V511" s="8" t="s">
        <v>31</v>
      </c>
      <c r="W511" s="8" t="str">
        <f>_xlfn.IFNA(VLOOKUP(A511,[1]Sheet1!$A$1:$B$101,1,FALSE),"na")</f>
        <v>na</v>
      </c>
      <c r="X511" s="8" t="s">
        <v>35</v>
      </c>
      <c r="Y511" s="9">
        <v>458</v>
      </c>
      <c r="Z511" s="9">
        <v>111.16504999999999</v>
      </c>
      <c r="AA511" s="9">
        <v>152.66667000000001</v>
      </c>
      <c r="AB511" s="9">
        <v>408.92856</v>
      </c>
    </row>
    <row r="512" spans="1:28" x14ac:dyDescent="0.25">
      <c r="A512" s="8" t="s">
        <v>1098</v>
      </c>
      <c r="B512" s="8" t="s">
        <v>1099</v>
      </c>
      <c r="C512" s="8" t="s">
        <v>30</v>
      </c>
      <c r="D512" s="10">
        <v>3.4000001000000002</v>
      </c>
      <c r="E512" s="10">
        <v>1</v>
      </c>
      <c r="F512" s="10">
        <v>2.4000001000000002</v>
      </c>
      <c r="G512" s="10">
        <v>1</v>
      </c>
      <c r="H512" s="10">
        <v>2.4000001000000002</v>
      </c>
      <c r="I512" s="10">
        <v>0</v>
      </c>
      <c r="J512" s="10">
        <v>0</v>
      </c>
      <c r="K512" s="10">
        <v>0</v>
      </c>
      <c r="L512" s="10">
        <v>0.2</v>
      </c>
      <c r="M512" s="10">
        <v>0</v>
      </c>
      <c r="N512" s="10">
        <v>0.40000001000000002</v>
      </c>
      <c r="O512" s="8" t="s">
        <v>57</v>
      </c>
      <c r="P512" s="8" t="s">
        <v>31</v>
      </c>
      <c r="Q512" s="8" t="s">
        <v>31</v>
      </c>
      <c r="R512" s="8" t="s">
        <v>31</v>
      </c>
      <c r="S512" s="8" t="s">
        <v>31</v>
      </c>
      <c r="T512" s="8" t="s">
        <v>31</v>
      </c>
      <c r="U512" s="8" t="s">
        <v>31</v>
      </c>
      <c r="V512" s="8" t="s">
        <v>31</v>
      </c>
      <c r="W512" s="8" t="str">
        <f>_xlfn.IFNA(VLOOKUP(A512,[1]Sheet1!$A$1:$B$101,1,FALSE),"na")</f>
        <v>na</v>
      </c>
      <c r="X512" s="8" t="s">
        <v>35</v>
      </c>
      <c r="Y512" s="9">
        <v>567</v>
      </c>
      <c r="Z512" s="9">
        <v>166.76469</v>
      </c>
      <c r="AA512" s="9">
        <v>567</v>
      </c>
      <c r="AB512" s="9">
        <v>236.24997999999999</v>
      </c>
    </row>
    <row r="513" spans="1:28" x14ac:dyDescent="0.25">
      <c r="A513" s="8" t="s">
        <v>1100</v>
      </c>
      <c r="B513" s="8" t="s">
        <v>1101</v>
      </c>
      <c r="C513" s="8" t="s">
        <v>67</v>
      </c>
      <c r="D513" s="10">
        <v>3.4000001000000002</v>
      </c>
      <c r="E513" s="10">
        <v>1</v>
      </c>
      <c r="F513" s="10">
        <v>2.4000001000000002</v>
      </c>
      <c r="G513" s="10">
        <v>1</v>
      </c>
      <c r="H513" s="10">
        <v>2.4000001000000002</v>
      </c>
      <c r="I513" s="10">
        <v>0</v>
      </c>
      <c r="J513" s="10">
        <v>0</v>
      </c>
      <c r="K513" s="10">
        <v>1</v>
      </c>
      <c r="L513" s="10">
        <v>0.1</v>
      </c>
      <c r="M513" s="10">
        <v>0</v>
      </c>
      <c r="N513" s="10">
        <v>0.40000001000000002</v>
      </c>
      <c r="O513" s="8" t="s">
        <v>31</v>
      </c>
      <c r="P513" s="8" t="s">
        <v>31</v>
      </c>
      <c r="Q513" s="8" t="s">
        <v>31</v>
      </c>
      <c r="R513" s="8" t="s">
        <v>31</v>
      </c>
      <c r="S513" s="8" t="s">
        <v>31</v>
      </c>
      <c r="T513" s="8" t="s">
        <v>31</v>
      </c>
      <c r="U513" s="8" t="s">
        <v>31</v>
      </c>
      <c r="V513" s="8" t="s">
        <v>31</v>
      </c>
      <c r="W513" s="8" t="str">
        <f>_xlfn.IFNA(VLOOKUP(A513,[1]Sheet1!$A$1:$B$101,1,FALSE),"na")</f>
        <v>na</v>
      </c>
      <c r="X513" s="8" t="s">
        <v>35</v>
      </c>
      <c r="Y513" s="9">
        <v>320</v>
      </c>
      <c r="Z513" s="9">
        <v>94.117644999999996</v>
      </c>
      <c r="AA513" s="9">
        <v>320</v>
      </c>
      <c r="AB513" s="9">
        <v>133.33332999999999</v>
      </c>
    </row>
    <row r="514" spans="1:28" x14ac:dyDescent="0.25">
      <c r="A514" s="8" t="s">
        <v>1102</v>
      </c>
      <c r="B514" s="8" t="s">
        <v>1103</v>
      </c>
      <c r="C514" s="8" t="s">
        <v>67</v>
      </c>
      <c r="D514" s="10">
        <v>3.0999998999999998</v>
      </c>
      <c r="E514" s="10">
        <v>2</v>
      </c>
      <c r="F514" s="10">
        <v>1.1000000000000001</v>
      </c>
      <c r="G514" s="10">
        <v>2</v>
      </c>
      <c r="H514" s="10">
        <v>1.1000000000000001</v>
      </c>
      <c r="I514" s="10">
        <v>0</v>
      </c>
      <c r="J514" s="10">
        <v>0</v>
      </c>
      <c r="K514" s="10">
        <v>0</v>
      </c>
      <c r="L514" s="10">
        <v>0.1</v>
      </c>
      <c r="M514" s="10">
        <v>0</v>
      </c>
      <c r="N514" s="10">
        <v>0.1</v>
      </c>
      <c r="O514" s="8" t="s">
        <v>31</v>
      </c>
      <c r="P514" s="8" t="s">
        <v>31</v>
      </c>
      <c r="Q514" s="8" t="s">
        <v>31</v>
      </c>
      <c r="R514" s="8" t="s">
        <v>31</v>
      </c>
      <c r="S514" s="8" t="s">
        <v>31</v>
      </c>
      <c r="T514" s="8" t="s">
        <v>31</v>
      </c>
      <c r="U514" s="8" t="s">
        <v>31</v>
      </c>
      <c r="V514" s="8" t="s">
        <v>31</v>
      </c>
      <c r="W514" s="8" t="str">
        <f>_xlfn.IFNA(VLOOKUP(A514,[1]Sheet1!$A$1:$B$101,1,FALSE),"na")</f>
        <v>na</v>
      </c>
      <c r="X514" s="8" t="s">
        <v>375</v>
      </c>
      <c r="Y514" s="9">
        <v>340</v>
      </c>
      <c r="Z514" s="9">
        <v>109.67742</v>
      </c>
      <c r="AA514" s="9">
        <v>170</v>
      </c>
      <c r="AB514" s="9">
        <v>309.09091000000001</v>
      </c>
    </row>
    <row r="515" spans="1:28" x14ac:dyDescent="0.25">
      <c r="A515" s="8" t="s">
        <v>1104</v>
      </c>
      <c r="B515" s="8" t="s">
        <v>1105</v>
      </c>
      <c r="C515" s="8" t="s">
        <v>30</v>
      </c>
      <c r="D515" s="10">
        <v>3.4000001000000002</v>
      </c>
      <c r="E515" s="10">
        <v>3</v>
      </c>
      <c r="F515" s="10">
        <v>0.40000001000000002</v>
      </c>
      <c r="G515" s="10">
        <v>3</v>
      </c>
      <c r="H515" s="10">
        <v>0.40000001000000002</v>
      </c>
      <c r="I515" s="10">
        <v>0</v>
      </c>
      <c r="J515" s="10">
        <v>0</v>
      </c>
      <c r="K515" s="10">
        <v>1</v>
      </c>
      <c r="L515" s="10">
        <v>0.1</v>
      </c>
      <c r="M515" s="10">
        <v>0</v>
      </c>
      <c r="N515" s="10">
        <v>0.40000001000000002</v>
      </c>
      <c r="O515" s="8" t="s">
        <v>31</v>
      </c>
      <c r="P515" s="8" t="s">
        <v>31</v>
      </c>
      <c r="Q515" s="8" t="s">
        <v>31</v>
      </c>
      <c r="R515" s="8" t="s">
        <v>31</v>
      </c>
      <c r="S515" s="8" t="s">
        <v>31</v>
      </c>
      <c r="T515" s="8" t="s">
        <v>31</v>
      </c>
      <c r="U515" s="8" t="s">
        <v>31</v>
      </c>
      <c r="V515" s="8" t="s">
        <v>31</v>
      </c>
      <c r="W515" s="8" t="str">
        <f>_xlfn.IFNA(VLOOKUP(A515,[1]Sheet1!$A$1:$B$101,1,FALSE),"na")</f>
        <v>na</v>
      </c>
      <c r="X515" s="8" t="s">
        <v>35</v>
      </c>
      <c r="Y515" s="9">
        <v>216</v>
      </c>
      <c r="Z515" s="9">
        <v>63.529411000000003</v>
      </c>
      <c r="AA515" s="9">
        <v>72</v>
      </c>
      <c r="AB515" s="9">
        <v>216</v>
      </c>
    </row>
    <row r="516" spans="1:28" x14ac:dyDescent="0.25">
      <c r="A516" s="8" t="s">
        <v>1106</v>
      </c>
      <c r="B516" s="8" t="s">
        <v>1107</v>
      </c>
      <c r="C516" s="8" t="s">
        <v>62</v>
      </c>
      <c r="D516" s="10">
        <v>5.1599997999999996</v>
      </c>
      <c r="E516" s="10">
        <v>2</v>
      </c>
      <c r="F516" s="10">
        <v>3.1600001</v>
      </c>
      <c r="G516" s="10">
        <v>2</v>
      </c>
      <c r="H516" s="10">
        <v>3.1600001</v>
      </c>
      <c r="I516" s="10">
        <v>0</v>
      </c>
      <c r="J516" s="10">
        <v>0</v>
      </c>
      <c r="K516" s="10">
        <v>0</v>
      </c>
      <c r="L516" s="10">
        <v>1.1599999999999999</v>
      </c>
      <c r="M516" s="10">
        <v>0</v>
      </c>
      <c r="N516" s="10">
        <v>0.16</v>
      </c>
      <c r="O516" s="8" t="s">
        <v>31</v>
      </c>
      <c r="P516" s="8" t="s">
        <v>31</v>
      </c>
      <c r="Q516" s="8" t="s">
        <v>31</v>
      </c>
      <c r="R516" s="8" t="s">
        <v>31</v>
      </c>
      <c r="S516" s="8" t="s">
        <v>31</v>
      </c>
      <c r="T516" s="8" t="s">
        <v>31</v>
      </c>
      <c r="U516" s="8" t="s">
        <v>31</v>
      </c>
      <c r="V516" s="8" t="s">
        <v>31</v>
      </c>
      <c r="W516" s="8" t="str">
        <f>_xlfn.IFNA(VLOOKUP(A516,[1]Sheet1!$A$1:$B$101,1,FALSE),"na")</f>
        <v>na</v>
      </c>
      <c r="X516" s="8" t="s">
        <v>35</v>
      </c>
      <c r="Y516" s="9">
        <v>276</v>
      </c>
      <c r="Z516" s="9">
        <v>53.488373000000003</v>
      </c>
      <c r="AA516" s="9">
        <v>138</v>
      </c>
      <c r="AB516" s="9">
        <v>87.341766000000007</v>
      </c>
    </row>
    <row r="517" spans="1:28" x14ac:dyDescent="0.25">
      <c r="A517" s="8" t="s">
        <v>1108</v>
      </c>
      <c r="B517" s="8" t="s">
        <v>1109</v>
      </c>
      <c r="C517" s="8" t="s">
        <v>62</v>
      </c>
      <c r="D517" s="10">
        <v>4.0500002000000004</v>
      </c>
      <c r="E517" s="10">
        <v>4</v>
      </c>
      <c r="F517" s="10">
        <v>5.0000001000000002E-2</v>
      </c>
      <c r="G517" s="10">
        <v>4</v>
      </c>
      <c r="H517" s="10">
        <v>5.0000001000000002E-2</v>
      </c>
      <c r="I517" s="10">
        <v>0</v>
      </c>
      <c r="J517" s="10">
        <v>0</v>
      </c>
      <c r="K517" s="10">
        <v>1</v>
      </c>
      <c r="L517" s="10">
        <v>5.0000001000000002E-2</v>
      </c>
      <c r="M517" s="10">
        <v>0</v>
      </c>
      <c r="N517" s="10">
        <v>5.0000001000000002E-2</v>
      </c>
      <c r="O517" s="8" t="s">
        <v>31</v>
      </c>
      <c r="P517" s="8" t="s">
        <v>31</v>
      </c>
      <c r="Q517" s="8" t="s">
        <v>31</v>
      </c>
      <c r="R517" s="8" t="s">
        <v>31</v>
      </c>
      <c r="S517" s="8" t="s">
        <v>31</v>
      </c>
      <c r="T517" s="8" t="s">
        <v>57</v>
      </c>
      <c r="U517" s="8" t="s">
        <v>31</v>
      </c>
      <c r="V517" s="8" t="s">
        <v>31</v>
      </c>
      <c r="W517" s="8" t="str">
        <f>_xlfn.IFNA(VLOOKUP(A517,[1]Sheet1!$A$1:$B$101,1,FALSE),"na")</f>
        <v>na</v>
      </c>
      <c r="X517" s="8" t="s">
        <v>35</v>
      </c>
      <c r="Y517" s="9">
        <v>327</v>
      </c>
      <c r="Z517" s="9">
        <v>80.740737999999993</v>
      </c>
      <c r="AA517" s="9">
        <v>81.75</v>
      </c>
      <c r="AB517" s="9">
        <v>327</v>
      </c>
    </row>
    <row r="518" spans="1:28" x14ac:dyDescent="0.25">
      <c r="A518" s="8" t="s">
        <v>1110</v>
      </c>
      <c r="B518" s="8" t="s">
        <v>1111</v>
      </c>
      <c r="C518" s="8" t="s">
        <v>62</v>
      </c>
      <c r="D518" s="10">
        <v>3.1199998999999998</v>
      </c>
      <c r="E518" s="10">
        <v>3</v>
      </c>
      <c r="F518" s="10">
        <v>0.12</v>
      </c>
      <c r="G518" s="10">
        <v>3</v>
      </c>
      <c r="H518" s="10">
        <v>0.12</v>
      </c>
      <c r="I518" s="10">
        <v>0</v>
      </c>
      <c r="J518" s="10">
        <v>0</v>
      </c>
      <c r="K518" s="10">
        <v>0</v>
      </c>
      <c r="L518" s="10">
        <v>0.12</v>
      </c>
      <c r="M518" s="10">
        <v>0</v>
      </c>
      <c r="N518" s="10">
        <v>0.12</v>
      </c>
      <c r="O518" s="8" t="s">
        <v>31</v>
      </c>
      <c r="P518" s="8" t="s">
        <v>31</v>
      </c>
      <c r="Q518" s="8" t="s">
        <v>31</v>
      </c>
      <c r="R518" s="8" t="s">
        <v>31</v>
      </c>
      <c r="S518" s="8" t="s">
        <v>31</v>
      </c>
      <c r="T518" s="8" t="s">
        <v>57</v>
      </c>
      <c r="U518" s="8" t="s">
        <v>57</v>
      </c>
      <c r="V518" s="8" t="s">
        <v>31</v>
      </c>
      <c r="W518" s="8" t="str">
        <f>_xlfn.IFNA(VLOOKUP(A518,[1]Sheet1!$A$1:$B$101,1,FALSE),"na")</f>
        <v>na</v>
      </c>
      <c r="X518" s="8" t="s">
        <v>35</v>
      </c>
      <c r="Y518" s="9">
        <v>329</v>
      </c>
      <c r="Z518" s="9">
        <v>105.44871999999999</v>
      </c>
      <c r="AA518" s="9">
        <v>109.66665999999999</v>
      </c>
      <c r="AB518" s="9">
        <v>329</v>
      </c>
    </row>
    <row r="519" spans="1:28" x14ac:dyDescent="0.25">
      <c r="A519" s="8" t="s">
        <v>1112</v>
      </c>
      <c r="B519" s="8" t="s">
        <v>1113</v>
      </c>
      <c r="C519" s="8" t="s">
        <v>62</v>
      </c>
      <c r="D519" s="10">
        <v>3.1199998999999998</v>
      </c>
      <c r="E519" s="10">
        <v>1</v>
      </c>
      <c r="F519" s="10">
        <v>2.1199998999999998</v>
      </c>
      <c r="G519" s="10">
        <v>1</v>
      </c>
      <c r="H519" s="10">
        <v>2.1199998999999998</v>
      </c>
      <c r="I519" s="10">
        <v>0</v>
      </c>
      <c r="J519" s="10">
        <v>0</v>
      </c>
      <c r="K519" s="10">
        <v>1</v>
      </c>
      <c r="L519" s="10">
        <v>0.12</v>
      </c>
      <c r="M519" s="10">
        <v>0</v>
      </c>
      <c r="N519" s="10">
        <v>0.12</v>
      </c>
      <c r="O519" s="8" t="s">
        <v>31</v>
      </c>
      <c r="P519" s="8" t="s">
        <v>31</v>
      </c>
      <c r="Q519" s="8" t="s">
        <v>31</v>
      </c>
      <c r="R519" s="8" t="s">
        <v>31</v>
      </c>
      <c r="S519" s="8" t="s">
        <v>31</v>
      </c>
      <c r="T519" s="8" t="s">
        <v>57</v>
      </c>
      <c r="U519" s="8" t="s">
        <v>57</v>
      </c>
      <c r="V519" s="8" t="s">
        <v>31</v>
      </c>
      <c r="W519" s="8" t="str">
        <f>_xlfn.IFNA(VLOOKUP(A519,[1]Sheet1!$A$1:$B$101,1,FALSE),"na")</f>
        <v>na</v>
      </c>
      <c r="X519" s="8" t="s">
        <v>35</v>
      </c>
      <c r="Y519" s="9">
        <v>351</v>
      </c>
      <c r="Z519" s="9">
        <v>112.50001</v>
      </c>
      <c r="AA519" s="9">
        <v>351</v>
      </c>
      <c r="AB519" s="9">
        <v>165.56603999999999</v>
      </c>
    </row>
    <row r="520" spans="1:28" x14ac:dyDescent="0.25">
      <c r="A520" s="8" t="s">
        <v>1114</v>
      </c>
      <c r="B520" s="8" t="s">
        <v>1115</v>
      </c>
      <c r="C520" s="8" t="s">
        <v>62</v>
      </c>
      <c r="D520" s="10">
        <v>6.1199998999999998</v>
      </c>
      <c r="E520" s="10">
        <v>4</v>
      </c>
      <c r="F520" s="10">
        <v>2.1199998999999998</v>
      </c>
      <c r="G520" s="10">
        <v>4</v>
      </c>
      <c r="H520" s="10">
        <v>2.1199998999999998</v>
      </c>
      <c r="I520" s="10">
        <v>0</v>
      </c>
      <c r="J520" s="10">
        <v>0</v>
      </c>
      <c r="K520" s="10">
        <v>0</v>
      </c>
      <c r="L520" s="10">
        <v>0.12</v>
      </c>
      <c r="M520" s="10">
        <v>0</v>
      </c>
      <c r="N520" s="10">
        <v>0.12</v>
      </c>
      <c r="O520" s="8" t="s">
        <v>57</v>
      </c>
      <c r="P520" s="8" t="s">
        <v>31</v>
      </c>
      <c r="Q520" s="8" t="s">
        <v>31</v>
      </c>
      <c r="R520" s="8" t="s">
        <v>31</v>
      </c>
      <c r="S520" s="8" t="s">
        <v>31</v>
      </c>
      <c r="T520" s="8" t="s">
        <v>57</v>
      </c>
      <c r="U520" s="8" t="s">
        <v>57</v>
      </c>
      <c r="V520" s="8" t="s">
        <v>31</v>
      </c>
      <c r="W520" s="8" t="str">
        <f>_xlfn.IFNA(VLOOKUP(A520,[1]Sheet1!$A$1:$B$101,1,FALSE),"na")</f>
        <v>na</v>
      </c>
      <c r="X520" s="8" t="s">
        <v>35</v>
      </c>
      <c r="Y520" s="9">
        <v>365</v>
      </c>
      <c r="Z520" s="9">
        <v>59.640526000000001</v>
      </c>
      <c r="AA520" s="9">
        <v>91.25</v>
      </c>
      <c r="AB520" s="9">
        <v>172.16981999999999</v>
      </c>
    </row>
    <row r="521" spans="1:28" x14ac:dyDescent="0.25">
      <c r="A521" s="8" t="s">
        <v>1116</v>
      </c>
      <c r="B521" s="8" t="s">
        <v>1117</v>
      </c>
      <c r="C521" s="8" t="s">
        <v>62</v>
      </c>
      <c r="D521" s="10">
        <v>4.1199998999999998</v>
      </c>
      <c r="E521" s="10">
        <v>3</v>
      </c>
      <c r="F521" s="10">
        <v>1.1200000000000001</v>
      </c>
      <c r="G521" s="10">
        <v>3</v>
      </c>
      <c r="H521" s="10">
        <v>1.1200000000000001</v>
      </c>
      <c r="I521" s="10">
        <v>0</v>
      </c>
      <c r="J521" s="10">
        <v>0</v>
      </c>
      <c r="K521" s="10">
        <v>0</v>
      </c>
      <c r="L521" s="10">
        <v>0.12</v>
      </c>
      <c r="M521" s="10">
        <v>0</v>
      </c>
      <c r="N521" s="10">
        <v>0.12</v>
      </c>
      <c r="O521" s="8" t="s">
        <v>57</v>
      </c>
      <c r="P521" s="8" t="s">
        <v>31</v>
      </c>
      <c r="Q521" s="8" t="s">
        <v>31</v>
      </c>
      <c r="R521" s="8" t="s">
        <v>31</v>
      </c>
      <c r="S521" s="8" t="s">
        <v>31</v>
      </c>
      <c r="T521" s="8" t="s">
        <v>31</v>
      </c>
      <c r="U521" s="8" t="s">
        <v>57</v>
      </c>
      <c r="V521" s="8" t="s">
        <v>31</v>
      </c>
      <c r="W521" s="8" t="str">
        <f>_xlfn.IFNA(VLOOKUP(A521,[1]Sheet1!$A$1:$B$101,1,FALSE),"na")</f>
        <v>na</v>
      </c>
      <c r="X521" s="8" t="s">
        <v>35</v>
      </c>
      <c r="Y521" s="9">
        <v>360</v>
      </c>
      <c r="Z521" s="9">
        <v>87.378647000000001</v>
      </c>
      <c r="AA521" s="9">
        <v>120</v>
      </c>
      <c r="AB521" s="9">
        <v>321.42856</v>
      </c>
    </row>
    <row r="522" spans="1:28" x14ac:dyDescent="0.25">
      <c r="A522" s="8" t="s">
        <v>1118</v>
      </c>
      <c r="B522" s="8" t="s">
        <v>1119</v>
      </c>
      <c r="C522" s="8" t="s">
        <v>62</v>
      </c>
      <c r="D522" s="10">
        <v>7.52</v>
      </c>
      <c r="E522" s="10">
        <v>3.4000001000000002</v>
      </c>
      <c r="F522" s="10">
        <v>4.1199998999999998</v>
      </c>
      <c r="G522" s="10">
        <v>3</v>
      </c>
      <c r="H522" s="10">
        <v>4.1199998999999998</v>
      </c>
      <c r="I522" s="10">
        <v>0.40000001000000002</v>
      </c>
      <c r="J522" s="10">
        <v>0</v>
      </c>
      <c r="K522" s="10">
        <v>0</v>
      </c>
      <c r="L522" s="10">
        <v>0.12</v>
      </c>
      <c r="M522" s="10">
        <v>0</v>
      </c>
      <c r="N522" s="10">
        <v>0.12</v>
      </c>
      <c r="O522" s="8" t="s">
        <v>31</v>
      </c>
      <c r="P522" s="8" t="s">
        <v>31</v>
      </c>
      <c r="Q522" s="8" t="s">
        <v>31</v>
      </c>
      <c r="R522" s="8" t="s">
        <v>31</v>
      </c>
      <c r="S522" s="8" t="s">
        <v>31</v>
      </c>
      <c r="T522" s="8" t="s">
        <v>57</v>
      </c>
      <c r="U522" s="8" t="s">
        <v>57</v>
      </c>
      <c r="V522" s="8" t="s">
        <v>31</v>
      </c>
      <c r="W522" s="8" t="str">
        <f>_xlfn.IFNA(VLOOKUP(A522,[1]Sheet1!$A$1:$B$101,1,FALSE),"na")</f>
        <v>na</v>
      </c>
      <c r="X522" s="8" t="s">
        <v>1120</v>
      </c>
      <c r="Y522" s="9">
        <v>1219</v>
      </c>
      <c r="Z522" s="9">
        <v>162.10105999999999</v>
      </c>
      <c r="AA522" s="9">
        <v>358.52938999999998</v>
      </c>
      <c r="AB522" s="9">
        <v>295.87380999999999</v>
      </c>
    </row>
    <row r="523" spans="1:28" x14ac:dyDescent="0.25">
      <c r="A523" s="8" t="s">
        <v>1121</v>
      </c>
      <c r="B523" s="8" t="s">
        <v>1122</v>
      </c>
      <c r="C523" s="8" t="s">
        <v>62</v>
      </c>
      <c r="D523" s="10">
        <v>3.05</v>
      </c>
      <c r="E523" s="10">
        <v>2</v>
      </c>
      <c r="F523" s="10">
        <v>1.05</v>
      </c>
      <c r="G523" s="10">
        <v>2</v>
      </c>
      <c r="H523" s="10">
        <v>1.05</v>
      </c>
      <c r="I523" s="10">
        <v>0</v>
      </c>
      <c r="J523" s="10">
        <v>0</v>
      </c>
      <c r="K523" s="10">
        <v>0</v>
      </c>
      <c r="L523" s="10">
        <v>5.0000001000000002E-2</v>
      </c>
      <c r="M523" s="10">
        <v>0</v>
      </c>
      <c r="N523" s="10">
        <v>5.0000001000000002E-2</v>
      </c>
      <c r="O523" s="8" t="s">
        <v>57</v>
      </c>
      <c r="P523" s="8" t="s">
        <v>31</v>
      </c>
      <c r="Q523" s="8" t="s">
        <v>31</v>
      </c>
      <c r="R523" s="8" t="s">
        <v>31</v>
      </c>
      <c r="S523" s="8" t="s">
        <v>31</v>
      </c>
      <c r="T523" s="8" t="s">
        <v>57</v>
      </c>
      <c r="U523" s="8" t="s">
        <v>31</v>
      </c>
      <c r="V523" s="8" t="s">
        <v>31</v>
      </c>
      <c r="W523" s="8" t="str">
        <f>_xlfn.IFNA(VLOOKUP(A523,[1]Sheet1!$A$1:$B$101,1,FALSE),"na")</f>
        <v>na</v>
      </c>
      <c r="X523" s="8" t="s">
        <v>35</v>
      </c>
      <c r="Y523" s="9">
        <v>407</v>
      </c>
      <c r="Z523" s="9">
        <v>133.44263000000001</v>
      </c>
      <c r="AA523" s="9">
        <v>203.5</v>
      </c>
      <c r="AB523" s="9">
        <v>387.61908</v>
      </c>
    </row>
    <row r="524" spans="1:28" x14ac:dyDescent="0.25">
      <c r="A524" s="8" t="s">
        <v>1123</v>
      </c>
      <c r="B524" s="8" t="s">
        <v>1124</v>
      </c>
      <c r="C524" s="8" t="s">
        <v>62</v>
      </c>
      <c r="D524" s="10">
        <v>15.2</v>
      </c>
      <c r="E524" s="10">
        <v>13</v>
      </c>
      <c r="F524" s="10">
        <v>2.2000000000000002</v>
      </c>
      <c r="G524" s="10">
        <v>13</v>
      </c>
      <c r="H524" s="10">
        <v>2.2000000000000002</v>
      </c>
      <c r="I524" s="10">
        <v>0</v>
      </c>
      <c r="J524" s="10">
        <v>0</v>
      </c>
      <c r="K524" s="10">
        <v>2</v>
      </c>
      <c r="L524" s="10">
        <v>0</v>
      </c>
      <c r="M524" s="10">
        <v>0</v>
      </c>
      <c r="N524" s="10">
        <v>0.2</v>
      </c>
      <c r="O524" s="8" t="s">
        <v>31</v>
      </c>
      <c r="P524" s="8" t="s">
        <v>31</v>
      </c>
      <c r="Q524" s="8" t="s">
        <v>31</v>
      </c>
      <c r="R524" s="8" t="s">
        <v>31</v>
      </c>
      <c r="S524" s="8" t="s">
        <v>31</v>
      </c>
      <c r="T524" s="8" t="s">
        <v>31</v>
      </c>
      <c r="U524" s="8" t="s">
        <v>31</v>
      </c>
      <c r="V524" s="8" t="s">
        <v>31</v>
      </c>
      <c r="W524" s="8" t="str">
        <f>_xlfn.IFNA(VLOOKUP(A524,[1]Sheet1!$A$1:$B$101,1,FALSE),"na")</f>
        <v>na</v>
      </c>
      <c r="X524" s="8" t="s">
        <v>35</v>
      </c>
      <c r="Y524" s="9">
        <v>2953</v>
      </c>
      <c r="Z524" s="9">
        <v>194.27632</v>
      </c>
      <c r="AA524" s="9">
        <v>227.15384</v>
      </c>
      <c r="AB524" s="9">
        <v>1342.2727</v>
      </c>
    </row>
    <row r="525" spans="1:28" x14ac:dyDescent="0.25">
      <c r="A525" s="8" t="s">
        <v>1125</v>
      </c>
      <c r="B525" s="8" t="s">
        <v>1126</v>
      </c>
      <c r="C525" s="8" t="s">
        <v>67</v>
      </c>
      <c r="D525" s="10">
        <v>3.4000001000000002</v>
      </c>
      <c r="E525" s="10">
        <v>2</v>
      </c>
      <c r="F525" s="10">
        <v>1.4</v>
      </c>
      <c r="G525" s="10">
        <v>2</v>
      </c>
      <c r="H525" s="10">
        <v>1.4</v>
      </c>
      <c r="I525" s="10">
        <v>0</v>
      </c>
      <c r="J525" s="10">
        <v>0</v>
      </c>
      <c r="K525" s="10">
        <v>0</v>
      </c>
      <c r="L525" s="10">
        <v>0.2</v>
      </c>
      <c r="M525" s="10">
        <v>0</v>
      </c>
      <c r="N525" s="10">
        <v>0.40000001000000002</v>
      </c>
      <c r="O525" s="8" t="s">
        <v>57</v>
      </c>
      <c r="P525" s="8" t="s">
        <v>31</v>
      </c>
      <c r="Q525" s="8" t="s">
        <v>31</v>
      </c>
      <c r="R525" s="8" t="s">
        <v>31</v>
      </c>
      <c r="S525" s="8" t="s">
        <v>31</v>
      </c>
      <c r="T525" s="8" t="s">
        <v>31</v>
      </c>
      <c r="U525" s="8" t="s">
        <v>31</v>
      </c>
      <c r="V525" s="8" t="s">
        <v>31</v>
      </c>
      <c r="W525" s="8" t="str">
        <f>_xlfn.IFNA(VLOOKUP(A525,[1]Sheet1!$A$1:$B$101,1,FALSE),"na")</f>
        <v>na</v>
      </c>
      <c r="X525" s="8" t="s">
        <v>35</v>
      </c>
      <c r="Y525" s="9">
        <v>419</v>
      </c>
      <c r="Z525" s="9">
        <v>123.23529000000001</v>
      </c>
      <c r="AA525" s="9">
        <v>209.5</v>
      </c>
      <c r="AB525" s="9">
        <v>299.28570999999999</v>
      </c>
    </row>
    <row r="526" spans="1:28" x14ac:dyDescent="0.25">
      <c r="A526" s="8" t="s">
        <v>1127</v>
      </c>
      <c r="B526" s="8" t="s">
        <v>1128</v>
      </c>
      <c r="C526" s="8" t="s">
        <v>62</v>
      </c>
      <c r="D526" s="10">
        <v>2.1600001</v>
      </c>
      <c r="E526" s="10">
        <v>1</v>
      </c>
      <c r="F526" s="10">
        <v>1.1599999999999999</v>
      </c>
      <c r="G526" s="10">
        <v>1</v>
      </c>
      <c r="H526" s="10">
        <v>1.1599999999999999</v>
      </c>
      <c r="I526" s="10">
        <v>0</v>
      </c>
      <c r="J526" s="10">
        <v>0</v>
      </c>
      <c r="K526" s="10">
        <v>1</v>
      </c>
      <c r="L526" s="10">
        <v>0.16</v>
      </c>
      <c r="M526" s="10">
        <v>0</v>
      </c>
      <c r="N526" s="10">
        <v>0.16</v>
      </c>
      <c r="O526" s="8" t="s">
        <v>57</v>
      </c>
      <c r="P526" s="8" t="s">
        <v>31</v>
      </c>
      <c r="Q526" s="8" t="s">
        <v>31</v>
      </c>
      <c r="R526" s="8" t="s">
        <v>31</v>
      </c>
      <c r="S526" s="8" t="s">
        <v>31</v>
      </c>
      <c r="T526" s="8" t="s">
        <v>31</v>
      </c>
      <c r="U526" s="8" t="s">
        <v>31</v>
      </c>
      <c r="V526" s="8" t="s">
        <v>31</v>
      </c>
      <c r="W526" s="8" t="str">
        <f>_xlfn.IFNA(VLOOKUP(A526,[1]Sheet1!$A$1:$B$101,1,FALSE),"na")</f>
        <v>na</v>
      </c>
      <c r="X526" s="8" t="s">
        <v>35</v>
      </c>
      <c r="Y526" s="9">
        <v>399</v>
      </c>
      <c r="Z526" s="9">
        <v>184.72220999999999</v>
      </c>
      <c r="AA526" s="9">
        <v>399</v>
      </c>
      <c r="AB526" s="9">
        <v>343.96552000000003</v>
      </c>
    </row>
    <row r="527" spans="1:28" x14ac:dyDescent="0.25">
      <c r="A527" s="8" t="s">
        <v>1129</v>
      </c>
      <c r="B527" s="8" t="s">
        <v>1130</v>
      </c>
      <c r="C527" s="8" t="s">
        <v>62</v>
      </c>
      <c r="D527" s="10">
        <v>4.1333298999999997</v>
      </c>
      <c r="E527" s="10">
        <v>3</v>
      </c>
      <c r="F527" s="10">
        <v>1.1333299999999999</v>
      </c>
      <c r="G527" s="10">
        <v>3</v>
      </c>
      <c r="H527" s="10">
        <v>1.1333299999999999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0.13333</v>
      </c>
      <c r="O527" s="8" t="s">
        <v>31</v>
      </c>
      <c r="P527" s="8" t="s">
        <v>31</v>
      </c>
      <c r="Q527" s="8" t="s">
        <v>31</v>
      </c>
      <c r="R527" s="8" t="s">
        <v>31</v>
      </c>
      <c r="S527" s="8" t="s">
        <v>31</v>
      </c>
      <c r="T527" s="8" t="s">
        <v>57</v>
      </c>
      <c r="U527" s="8" t="s">
        <v>31</v>
      </c>
      <c r="V527" s="8" t="s">
        <v>31</v>
      </c>
      <c r="W527" s="8" t="str">
        <f>_xlfn.IFNA(VLOOKUP(A527,[1]Sheet1!$A$1:$B$101,1,FALSE),"na")</f>
        <v>na</v>
      </c>
      <c r="X527" s="8" t="s">
        <v>35</v>
      </c>
      <c r="Y527" s="9">
        <v>357</v>
      </c>
      <c r="Z527" s="9">
        <v>86.371039999999994</v>
      </c>
      <c r="AA527" s="9">
        <v>119</v>
      </c>
      <c r="AB527" s="9">
        <v>315.00092000000001</v>
      </c>
    </row>
    <row r="528" spans="1:28" x14ac:dyDescent="0.25">
      <c r="A528" s="8" t="s">
        <v>1131</v>
      </c>
      <c r="B528" s="8" t="s">
        <v>1132</v>
      </c>
      <c r="C528" s="8" t="s">
        <v>62</v>
      </c>
      <c r="D528" s="10">
        <v>3.1600001</v>
      </c>
      <c r="E528" s="10">
        <v>2</v>
      </c>
      <c r="F528" s="10">
        <v>1.1599999999999999</v>
      </c>
      <c r="G528" s="10">
        <v>2</v>
      </c>
      <c r="H528" s="10">
        <v>1.1599999999999999</v>
      </c>
      <c r="I528" s="10">
        <v>0</v>
      </c>
      <c r="J528" s="10">
        <v>0</v>
      </c>
      <c r="K528" s="10">
        <v>0</v>
      </c>
      <c r="L528" s="10">
        <v>0.16</v>
      </c>
      <c r="M528" s="10">
        <v>0</v>
      </c>
      <c r="N528" s="10">
        <v>0.16</v>
      </c>
      <c r="O528" s="8" t="s">
        <v>57</v>
      </c>
      <c r="P528" s="8" t="s">
        <v>31</v>
      </c>
      <c r="Q528" s="8" t="s">
        <v>31</v>
      </c>
      <c r="R528" s="8" t="s">
        <v>31</v>
      </c>
      <c r="S528" s="8" t="s">
        <v>31</v>
      </c>
      <c r="T528" s="8" t="s">
        <v>31</v>
      </c>
      <c r="U528" s="8" t="s">
        <v>31</v>
      </c>
      <c r="V528" s="8" t="s">
        <v>31</v>
      </c>
      <c r="W528" s="8" t="str">
        <f>_xlfn.IFNA(VLOOKUP(A528,[1]Sheet1!$A$1:$B$101,1,FALSE),"na")</f>
        <v>na</v>
      </c>
      <c r="X528" s="8" t="s">
        <v>35</v>
      </c>
      <c r="Y528" s="9">
        <v>219</v>
      </c>
      <c r="Z528" s="9">
        <v>69.303794999999994</v>
      </c>
      <c r="AA528" s="9">
        <v>109.5</v>
      </c>
      <c r="AB528" s="9">
        <v>188.79311000000001</v>
      </c>
    </row>
    <row r="529" spans="1:28" x14ac:dyDescent="0.25">
      <c r="A529" s="8" t="s">
        <v>1133</v>
      </c>
      <c r="B529" s="8" t="s">
        <v>1134</v>
      </c>
      <c r="C529" s="8" t="s">
        <v>62</v>
      </c>
      <c r="D529" s="10">
        <v>3.05</v>
      </c>
      <c r="E529" s="10">
        <v>2</v>
      </c>
      <c r="F529" s="10">
        <v>1.05</v>
      </c>
      <c r="G529" s="10">
        <v>2</v>
      </c>
      <c r="H529" s="10">
        <v>1.05</v>
      </c>
      <c r="I529" s="10">
        <v>0</v>
      </c>
      <c r="J529" s="10">
        <v>0</v>
      </c>
      <c r="K529" s="10">
        <v>0</v>
      </c>
      <c r="L529" s="10">
        <v>5.0000001000000002E-2</v>
      </c>
      <c r="M529" s="10">
        <v>0</v>
      </c>
      <c r="N529" s="10">
        <v>5.0000001000000002E-2</v>
      </c>
      <c r="O529" s="8" t="s">
        <v>57</v>
      </c>
      <c r="P529" s="8" t="s">
        <v>31</v>
      </c>
      <c r="Q529" s="8" t="s">
        <v>57</v>
      </c>
      <c r="R529" s="8" t="s">
        <v>31</v>
      </c>
      <c r="S529" s="8" t="s">
        <v>31</v>
      </c>
      <c r="T529" s="8" t="s">
        <v>31</v>
      </c>
      <c r="U529" s="8" t="s">
        <v>31</v>
      </c>
      <c r="V529" s="8" t="s">
        <v>31</v>
      </c>
      <c r="W529" s="8" t="str">
        <f>_xlfn.IFNA(VLOOKUP(A529,[1]Sheet1!$A$1:$B$101,1,FALSE),"na")</f>
        <v>na</v>
      </c>
      <c r="X529" s="8" t="s">
        <v>35</v>
      </c>
      <c r="Y529" s="9">
        <v>383</v>
      </c>
      <c r="Z529" s="9">
        <v>125.57378</v>
      </c>
      <c r="AA529" s="9">
        <v>191.5</v>
      </c>
      <c r="AB529" s="9">
        <v>364.76193000000001</v>
      </c>
    </row>
    <row r="530" spans="1:28" x14ac:dyDescent="0.25">
      <c r="A530" s="8" t="s">
        <v>1135</v>
      </c>
      <c r="B530" s="8" t="s">
        <v>1136</v>
      </c>
      <c r="C530" s="8" t="s">
        <v>62</v>
      </c>
      <c r="D530" s="10">
        <v>3.1333300999999998</v>
      </c>
      <c r="E530" s="10">
        <v>2</v>
      </c>
      <c r="F530" s="10">
        <v>1.1333299999999999</v>
      </c>
      <c r="G530" s="10">
        <v>2</v>
      </c>
      <c r="H530" s="10">
        <v>1.1333299999999999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0.13333</v>
      </c>
      <c r="O530" s="8" t="s">
        <v>31</v>
      </c>
      <c r="P530" s="8" t="s">
        <v>31</v>
      </c>
      <c r="Q530" s="8" t="s">
        <v>31</v>
      </c>
      <c r="R530" s="8" t="s">
        <v>31</v>
      </c>
      <c r="S530" s="8" t="s">
        <v>31</v>
      </c>
      <c r="T530" s="8" t="s">
        <v>31</v>
      </c>
      <c r="U530" s="8" t="s">
        <v>57</v>
      </c>
      <c r="V530" s="8" t="s">
        <v>31</v>
      </c>
      <c r="W530" s="8" t="str">
        <f>_xlfn.IFNA(VLOOKUP(A530,[1]Sheet1!$A$1:$B$101,1,FALSE),"na")</f>
        <v>na</v>
      </c>
      <c r="X530" s="8" t="s">
        <v>35</v>
      </c>
      <c r="Y530" s="9">
        <v>325</v>
      </c>
      <c r="Z530" s="9">
        <v>103.72351</v>
      </c>
      <c r="AA530" s="9">
        <v>162.5</v>
      </c>
      <c r="AB530" s="9">
        <v>286.76555999999999</v>
      </c>
    </row>
    <row r="531" spans="1:28" x14ac:dyDescent="0.25">
      <c r="A531" s="8" t="s">
        <v>1137</v>
      </c>
      <c r="B531" s="8" t="s">
        <v>1138</v>
      </c>
      <c r="C531" s="8" t="s">
        <v>62</v>
      </c>
      <c r="D531" s="10">
        <v>2</v>
      </c>
      <c r="E531" s="10">
        <v>2</v>
      </c>
      <c r="F531" s="10">
        <v>0</v>
      </c>
      <c r="G531" s="10">
        <v>2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8" t="s">
        <v>31</v>
      </c>
      <c r="P531" s="8" t="s">
        <v>31</v>
      </c>
      <c r="Q531" s="8" t="s">
        <v>31</v>
      </c>
      <c r="R531" s="8" t="s">
        <v>31</v>
      </c>
      <c r="S531" s="8" t="s">
        <v>31</v>
      </c>
      <c r="T531" s="8" t="s">
        <v>31</v>
      </c>
      <c r="U531" s="8" t="s">
        <v>31</v>
      </c>
      <c r="V531" s="8" t="s">
        <v>31</v>
      </c>
      <c r="W531" s="8" t="str">
        <f>_xlfn.IFNA(VLOOKUP(A531,[1]Sheet1!$A$1:$B$101,1,FALSE),"na")</f>
        <v>na</v>
      </c>
      <c r="X531" s="8" t="s">
        <v>35</v>
      </c>
      <c r="Y531" s="9">
        <v>393</v>
      </c>
      <c r="Z531" s="9">
        <v>196.5</v>
      </c>
      <c r="AA531" s="9">
        <v>196.5</v>
      </c>
      <c r="AB531" s="9">
        <v>393</v>
      </c>
    </row>
    <row r="532" spans="1:28" x14ac:dyDescent="0.25">
      <c r="A532" s="8" t="s">
        <v>1139</v>
      </c>
      <c r="B532" s="8" t="s">
        <v>1140</v>
      </c>
      <c r="C532" s="8" t="s">
        <v>30</v>
      </c>
      <c r="D532" s="10">
        <v>2.4000001000000002</v>
      </c>
      <c r="E532" s="10">
        <v>1</v>
      </c>
      <c r="F532" s="10">
        <v>1.4</v>
      </c>
      <c r="G532" s="10">
        <v>1</v>
      </c>
      <c r="H532" s="10">
        <v>1.4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0.40000001000000002</v>
      </c>
      <c r="O532" s="8" t="s">
        <v>31</v>
      </c>
      <c r="P532" s="8" t="s">
        <v>31</v>
      </c>
      <c r="Q532" s="8" t="s">
        <v>57</v>
      </c>
      <c r="R532" s="8" t="s">
        <v>31</v>
      </c>
      <c r="S532" s="8" t="s">
        <v>31</v>
      </c>
      <c r="T532" s="8" t="s">
        <v>31</v>
      </c>
      <c r="U532" s="8" t="s">
        <v>31</v>
      </c>
      <c r="V532" s="8" t="s">
        <v>31</v>
      </c>
      <c r="W532" s="8" t="str">
        <f>_xlfn.IFNA(VLOOKUP(A532,[1]Sheet1!$A$1:$B$101,1,FALSE),"na")</f>
        <v>na</v>
      </c>
      <c r="X532" s="8" t="s">
        <v>35</v>
      </c>
      <c r="Y532" s="9">
        <v>345</v>
      </c>
      <c r="Z532" s="9">
        <v>143.75</v>
      </c>
      <c r="AA532" s="9">
        <v>345</v>
      </c>
      <c r="AB532" s="9">
        <v>246.42857000000001</v>
      </c>
    </row>
    <row r="533" spans="1:28" x14ac:dyDescent="0.25">
      <c r="A533" s="8" t="s">
        <v>1141</v>
      </c>
      <c r="B533" s="8" t="s">
        <v>1142</v>
      </c>
      <c r="C533" s="8" t="s">
        <v>38</v>
      </c>
      <c r="D533" s="10">
        <v>3.4000001000000002</v>
      </c>
      <c r="E533" s="10">
        <v>2</v>
      </c>
      <c r="F533" s="10">
        <v>1.4</v>
      </c>
      <c r="G533" s="10">
        <v>2</v>
      </c>
      <c r="H533" s="10">
        <v>1.4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0.40000001000000002</v>
      </c>
      <c r="O533" s="8" t="s">
        <v>57</v>
      </c>
      <c r="P533" s="8" t="s">
        <v>31</v>
      </c>
      <c r="Q533" s="8" t="s">
        <v>31</v>
      </c>
      <c r="R533" s="8" t="s">
        <v>31</v>
      </c>
      <c r="S533" s="8" t="s">
        <v>31</v>
      </c>
      <c r="T533" s="8" t="s">
        <v>31</v>
      </c>
      <c r="U533" s="8" t="s">
        <v>31</v>
      </c>
      <c r="V533" s="8" t="s">
        <v>31</v>
      </c>
      <c r="W533" s="8" t="str">
        <f>_xlfn.IFNA(VLOOKUP(A533,[1]Sheet1!$A$1:$B$101,1,FALSE),"na")</f>
        <v>na</v>
      </c>
      <c r="X533" s="8" t="s">
        <v>35</v>
      </c>
      <c r="Y533" s="9">
        <v>677</v>
      </c>
      <c r="Z533" s="9">
        <v>199.11765</v>
      </c>
      <c r="AA533" s="9">
        <v>338.5</v>
      </c>
      <c r="AB533" s="9">
        <v>483.57144</v>
      </c>
    </row>
    <row r="534" spans="1:28" x14ac:dyDescent="0.25">
      <c r="A534" s="8" t="s">
        <v>1143</v>
      </c>
      <c r="B534" s="8" t="s">
        <v>1144</v>
      </c>
      <c r="C534" s="8" t="s">
        <v>30</v>
      </c>
      <c r="D534" s="10">
        <v>3</v>
      </c>
      <c r="E534" s="10">
        <v>1</v>
      </c>
      <c r="F534" s="10">
        <v>2</v>
      </c>
      <c r="G534" s="10">
        <v>1</v>
      </c>
      <c r="H534" s="10">
        <v>2</v>
      </c>
      <c r="I534" s="10">
        <v>0</v>
      </c>
      <c r="J534" s="10">
        <v>0</v>
      </c>
      <c r="K534" s="10">
        <v>0</v>
      </c>
      <c r="L534" s="10">
        <v>0.2</v>
      </c>
      <c r="M534" s="10">
        <v>0</v>
      </c>
      <c r="N534" s="10">
        <v>1</v>
      </c>
      <c r="O534" s="8" t="s">
        <v>31</v>
      </c>
      <c r="P534" s="8" t="s">
        <v>31</v>
      </c>
      <c r="Q534" s="8" t="s">
        <v>57</v>
      </c>
      <c r="R534" s="8" t="s">
        <v>31</v>
      </c>
      <c r="S534" s="8" t="s">
        <v>31</v>
      </c>
      <c r="T534" s="8" t="s">
        <v>31</v>
      </c>
      <c r="U534" s="8" t="s">
        <v>31</v>
      </c>
      <c r="V534" s="8" t="s">
        <v>31</v>
      </c>
      <c r="W534" s="8" t="str">
        <f>_xlfn.IFNA(VLOOKUP(A534,[1]Sheet1!$A$1:$B$101,1,FALSE),"na")</f>
        <v>na</v>
      </c>
      <c r="X534" s="8" t="s">
        <v>35</v>
      </c>
      <c r="Y534" s="9">
        <v>408</v>
      </c>
      <c r="Z534" s="9">
        <v>136</v>
      </c>
      <c r="AA534" s="9">
        <v>408</v>
      </c>
      <c r="AB534" s="9">
        <v>204</v>
      </c>
    </row>
    <row r="535" spans="1:28" x14ac:dyDescent="0.25">
      <c r="A535" s="8" t="s">
        <v>1145</v>
      </c>
      <c r="B535" s="8" t="s">
        <v>1146</v>
      </c>
      <c r="C535" s="8" t="s">
        <v>30</v>
      </c>
      <c r="D535" s="10">
        <v>4.8000002000000004</v>
      </c>
      <c r="E535" s="10">
        <v>2</v>
      </c>
      <c r="F535" s="10">
        <v>2.8</v>
      </c>
      <c r="G535" s="10">
        <v>2</v>
      </c>
      <c r="H535" s="10">
        <v>2.8</v>
      </c>
      <c r="I535" s="10">
        <v>0</v>
      </c>
      <c r="J535" s="10">
        <v>0</v>
      </c>
      <c r="K535" s="10">
        <v>1</v>
      </c>
      <c r="L535" s="10">
        <v>1.2</v>
      </c>
      <c r="M535" s="10">
        <v>0</v>
      </c>
      <c r="N535" s="10">
        <v>0.80000000999999998</v>
      </c>
      <c r="O535" s="8" t="s">
        <v>31</v>
      </c>
      <c r="P535" s="8" t="s">
        <v>31</v>
      </c>
      <c r="Q535" s="8" t="s">
        <v>57</v>
      </c>
      <c r="R535" s="8" t="s">
        <v>31</v>
      </c>
      <c r="S535" s="8" t="s">
        <v>31</v>
      </c>
      <c r="T535" s="8" t="s">
        <v>31</v>
      </c>
      <c r="U535" s="8" t="s">
        <v>31</v>
      </c>
      <c r="V535" s="8" t="s">
        <v>31</v>
      </c>
      <c r="W535" s="8" t="str">
        <f>_xlfn.IFNA(VLOOKUP(A535,[1]Sheet1!$A$1:$B$101,1,FALSE),"na")</f>
        <v>na</v>
      </c>
      <c r="X535" s="8" t="s">
        <v>35</v>
      </c>
      <c r="Y535" s="9">
        <v>611</v>
      </c>
      <c r="Z535" s="9">
        <v>127.29165999999999</v>
      </c>
      <c r="AA535" s="9">
        <v>305.5</v>
      </c>
      <c r="AB535" s="9">
        <v>218.21429000000001</v>
      </c>
    </row>
    <row r="536" spans="1:28" x14ac:dyDescent="0.25">
      <c r="A536" s="8" t="s">
        <v>1147</v>
      </c>
      <c r="B536" s="8" t="s">
        <v>1148</v>
      </c>
      <c r="C536" s="8" t="s">
        <v>30</v>
      </c>
      <c r="D536" s="10">
        <v>4.8000002000000004</v>
      </c>
      <c r="E536" s="10">
        <v>4</v>
      </c>
      <c r="F536" s="10">
        <v>0.80000000999999998</v>
      </c>
      <c r="G536" s="10">
        <v>4</v>
      </c>
      <c r="H536" s="10">
        <v>0.80000000999999998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0.80000000999999998</v>
      </c>
      <c r="O536" s="8" t="s">
        <v>31</v>
      </c>
      <c r="P536" s="8" t="s">
        <v>31</v>
      </c>
      <c r="Q536" s="8" t="s">
        <v>31</v>
      </c>
      <c r="R536" s="8" t="s">
        <v>31</v>
      </c>
      <c r="S536" s="8" t="s">
        <v>31</v>
      </c>
      <c r="T536" s="8" t="s">
        <v>31</v>
      </c>
      <c r="U536" s="8" t="s">
        <v>31</v>
      </c>
      <c r="V536" s="8" t="s">
        <v>31</v>
      </c>
      <c r="W536" s="8" t="str">
        <f>_xlfn.IFNA(VLOOKUP(A536,[1]Sheet1!$A$1:$B$101,1,FALSE),"na")</f>
        <v>na</v>
      </c>
      <c r="X536" s="8" t="s">
        <v>35</v>
      </c>
      <c r="Y536" s="9">
        <v>498</v>
      </c>
      <c r="Z536" s="9">
        <v>103.74999</v>
      </c>
      <c r="AA536" s="9">
        <v>124.5</v>
      </c>
      <c r="AB536" s="9">
        <v>498</v>
      </c>
    </row>
    <row r="537" spans="1:28" x14ac:dyDescent="0.25">
      <c r="A537" s="8" t="s">
        <v>1149</v>
      </c>
      <c r="B537" s="8" t="s">
        <v>1150</v>
      </c>
      <c r="C537" s="8" t="s">
        <v>30</v>
      </c>
      <c r="D537" s="10">
        <v>3</v>
      </c>
      <c r="E537" s="10">
        <v>2</v>
      </c>
      <c r="F537" s="10">
        <v>1</v>
      </c>
      <c r="G537" s="10">
        <v>2</v>
      </c>
      <c r="H537" s="10">
        <v>1</v>
      </c>
      <c r="I537" s="10">
        <v>0</v>
      </c>
      <c r="J537" s="10">
        <v>0</v>
      </c>
      <c r="K537" s="10">
        <v>0</v>
      </c>
      <c r="L537" s="10">
        <v>0.40000001000000002</v>
      </c>
      <c r="M537" s="10">
        <v>0</v>
      </c>
      <c r="N537" s="10">
        <v>1</v>
      </c>
      <c r="O537" s="8" t="s">
        <v>31</v>
      </c>
      <c r="P537" s="8" t="s">
        <v>31</v>
      </c>
      <c r="Q537" s="8" t="s">
        <v>31</v>
      </c>
      <c r="R537" s="8" t="s">
        <v>31</v>
      </c>
      <c r="S537" s="8" t="s">
        <v>31</v>
      </c>
      <c r="T537" s="8" t="s">
        <v>31</v>
      </c>
      <c r="U537" s="8" t="s">
        <v>31</v>
      </c>
      <c r="V537" s="8" t="s">
        <v>31</v>
      </c>
      <c r="W537" s="8" t="str">
        <f>_xlfn.IFNA(VLOOKUP(A537,[1]Sheet1!$A$1:$B$101,1,FALSE),"na")</f>
        <v>na</v>
      </c>
      <c r="X537" s="8" t="s">
        <v>35</v>
      </c>
      <c r="Y537" s="9">
        <v>587</v>
      </c>
      <c r="Z537" s="9">
        <v>195.66667000000001</v>
      </c>
      <c r="AA537" s="9">
        <v>293.5</v>
      </c>
      <c r="AB537" s="9">
        <v>587</v>
      </c>
    </row>
    <row r="538" spans="1:28" x14ac:dyDescent="0.25">
      <c r="A538" s="8" t="s">
        <v>1151</v>
      </c>
      <c r="B538" s="8" t="s">
        <v>1152</v>
      </c>
      <c r="C538" s="8" t="s">
        <v>30</v>
      </c>
      <c r="D538" s="10">
        <v>4.1999997999999996</v>
      </c>
      <c r="E538" s="10">
        <v>2</v>
      </c>
      <c r="F538" s="10">
        <v>2.2000000000000002</v>
      </c>
      <c r="G538" s="10">
        <v>2</v>
      </c>
      <c r="H538" s="10">
        <v>2.2000000000000002</v>
      </c>
      <c r="I538" s="10">
        <v>0</v>
      </c>
      <c r="J538" s="10">
        <v>0</v>
      </c>
      <c r="K538" s="10">
        <v>0</v>
      </c>
      <c r="L538" s="10">
        <v>0.2</v>
      </c>
      <c r="M538" s="10">
        <v>0</v>
      </c>
      <c r="N538" s="10">
        <v>1.2</v>
      </c>
      <c r="O538" s="8" t="s">
        <v>31</v>
      </c>
      <c r="P538" s="8" t="s">
        <v>31</v>
      </c>
      <c r="Q538" s="8" t="s">
        <v>57</v>
      </c>
      <c r="R538" s="8" t="s">
        <v>31</v>
      </c>
      <c r="S538" s="8" t="s">
        <v>31</v>
      </c>
      <c r="T538" s="8" t="s">
        <v>31</v>
      </c>
      <c r="U538" s="8" t="s">
        <v>31</v>
      </c>
      <c r="V538" s="8" t="s">
        <v>31</v>
      </c>
      <c r="W538" s="8" t="str">
        <f>_xlfn.IFNA(VLOOKUP(A538,[1]Sheet1!$A$1:$B$101,1,FALSE),"na")</f>
        <v>na</v>
      </c>
      <c r="X538" s="8" t="s">
        <v>619</v>
      </c>
      <c r="Y538" s="9">
        <v>630</v>
      </c>
      <c r="Z538" s="9">
        <v>150</v>
      </c>
      <c r="AA538" s="9">
        <v>315</v>
      </c>
      <c r="AB538" s="9">
        <v>286.36362000000003</v>
      </c>
    </row>
    <row r="539" spans="1:28" x14ac:dyDescent="0.25">
      <c r="A539" s="8" t="s">
        <v>1153</v>
      </c>
      <c r="B539" s="8" t="s">
        <v>1154</v>
      </c>
      <c r="C539" s="8" t="s">
        <v>38</v>
      </c>
      <c r="D539" s="10">
        <v>6.1999997999999996</v>
      </c>
      <c r="E539" s="10">
        <v>5</v>
      </c>
      <c r="F539" s="10">
        <v>1.2</v>
      </c>
      <c r="G539" s="10">
        <v>5</v>
      </c>
      <c r="H539" s="10">
        <v>1.2</v>
      </c>
      <c r="I539" s="10">
        <v>0</v>
      </c>
      <c r="J539" s="10">
        <v>0</v>
      </c>
      <c r="K539" s="10">
        <v>0</v>
      </c>
      <c r="L539" s="10">
        <v>0.60000001999999997</v>
      </c>
      <c r="M539" s="10">
        <v>0</v>
      </c>
      <c r="N539" s="10">
        <v>1.2</v>
      </c>
      <c r="O539" s="8" t="s">
        <v>31</v>
      </c>
      <c r="P539" s="8" t="s">
        <v>31</v>
      </c>
      <c r="Q539" s="8" t="s">
        <v>31</v>
      </c>
      <c r="R539" s="8" t="s">
        <v>31</v>
      </c>
      <c r="S539" s="8" t="s">
        <v>31</v>
      </c>
      <c r="T539" s="8" t="s">
        <v>31</v>
      </c>
      <c r="U539" s="8" t="s">
        <v>31</v>
      </c>
      <c r="V539" s="8" t="s">
        <v>31</v>
      </c>
      <c r="W539" s="8" t="str">
        <f>_xlfn.IFNA(VLOOKUP(A539,[1]Sheet1!$A$1:$B$101,1,FALSE),"na")</f>
        <v>na</v>
      </c>
      <c r="X539" s="8" t="s">
        <v>512</v>
      </c>
      <c r="Y539" s="9">
        <v>1466</v>
      </c>
      <c r="Z539" s="9">
        <v>236.45160999999999</v>
      </c>
      <c r="AA539" s="9">
        <v>293.20001000000002</v>
      </c>
      <c r="AB539" s="9">
        <v>1221.6666</v>
      </c>
    </row>
    <row r="540" spans="1:28" x14ac:dyDescent="0.25">
      <c r="A540" s="8" t="s">
        <v>1155</v>
      </c>
      <c r="B540" s="8" t="s">
        <v>1156</v>
      </c>
      <c r="C540" s="8" t="s">
        <v>30</v>
      </c>
      <c r="D540" s="10">
        <v>3.4000001000000002</v>
      </c>
      <c r="E540" s="10">
        <v>3</v>
      </c>
      <c r="F540" s="10">
        <v>0.40000001000000002</v>
      </c>
      <c r="G540" s="10">
        <v>3</v>
      </c>
      <c r="H540" s="10">
        <v>0.40000001000000002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0.40000001000000002</v>
      </c>
      <c r="O540" s="8" t="s">
        <v>31</v>
      </c>
      <c r="P540" s="8" t="s">
        <v>57</v>
      </c>
      <c r="Q540" s="8" t="s">
        <v>31</v>
      </c>
      <c r="R540" s="8" t="s">
        <v>31</v>
      </c>
      <c r="S540" s="8" t="s">
        <v>31</v>
      </c>
      <c r="T540" s="8" t="s">
        <v>31</v>
      </c>
      <c r="U540" s="8" t="s">
        <v>31</v>
      </c>
      <c r="V540" s="8" t="s">
        <v>31</v>
      </c>
      <c r="W540" s="8" t="str">
        <f>_xlfn.IFNA(VLOOKUP(A540,[1]Sheet1!$A$1:$B$101,1,FALSE),"na")</f>
        <v>na</v>
      </c>
      <c r="X540" s="8" t="s">
        <v>35</v>
      </c>
      <c r="Y540" s="9">
        <v>317</v>
      </c>
      <c r="Z540" s="9">
        <v>93.235291000000004</v>
      </c>
      <c r="AA540" s="9">
        <v>105.66665999999999</v>
      </c>
      <c r="AB540" s="9">
        <v>317</v>
      </c>
    </row>
    <row r="541" spans="1:28" x14ac:dyDescent="0.25">
      <c r="A541" s="8" t="s">
        <v>1157</v>
      </c>
      <c r="B541" s="8" t="s">
        <v>1158</v>
      </c>
      <c r="C541" s="8" t="s">
        <v>38</v>
      </c>
      <c r="D541" s="10">
        <v>5.4000000999999997</v>
      </c>
      <c r="E541" s="10">
        <v>2</v>
      </c>
      <c r="F541" s="10">
        <v>3.4000001000000002</v>
      </c>
      <c r="G541" s="10">
        <v>2</v>
      </c>
      <c r="H541" s="10">
        <v>3.4000001000000002</v>
      </c>
      <c r="I541" s="10">
        <v>0</v>
      </c>
      <c r="J541" s="10">
        <v>0</v>
      </c>
      <c r="K541" s="10">
        <v>0</v>
      </c>
      <c r="L541" s="10">
        <v>0.40000001000000002</v>
      </c>
      <c r="M541" s="10">
        <v>0</v>
      </c>
      <c r="N541" s="10">
        <v>0.40000001000000002</v>
      </c>
      <c r="O541" s="8" t="s">
        <v>31</v>
      </c>
      <c r="P541" s="8" t="s">
        <v>31</v>
      </c>
      <c r="Q541" s="8" t="s">
        <v>57</v>
      </c>
      <c r="R541" s="8" t="s">
        <v>31</v>
      </c>
      <c r="S541" s="8" t="s">
        <v>31</v>
      </c>
      <c r="T541" s="8" t="s">
        <v>31</v>
      </c>
      <c r="U541" s="8" t="s">
        <v>31</v>
      </c>
      <c r="V541" s="8" t="s">
        <v>31</v>
      </c>
      <c r="W541" s="8" t="str">
        <f>_xlfn.IFNA(VLOOKUP(A541,[1]Sheet1!$A$1:$B$101,1,FALSE),"na")</f>
        <v>na</v>
      </c>
      <c r="X541" s="8" t="s">
        <v>35</v>
      </c>
      <c r="Y541" s="9">
        <v>1182</v>
      </c>
      <c r="Z541" s="9">
        <v>218.88889</v>
      </c>
      <c r="AA541" s="9">
        <v>591</v>
      </c>
      <c r="AB541" s="9">
        <v>347.64706000000001</v>
      </c>
    </row>
    <row r="542" spans="1:28" x14ac:dyDescent="0.25">
      <c r="A542" s="8" t="s">
        <v>1159</v>
      </c>
      <c r="B542" s="8" t="s">
        <v>1160</v>
      </c>
      <c r="C542" s="8" t="s">
        <v>30</v>
      </c>
      <c r="D542" s="10">
        <v>4</v>
      </c>
      <c r="E542" s="10">
        <v>3</v>
      </c>
      <c r="F542" s="10">
        <v>1</v>
      </c>
      <c r="G542" s="10">
        <v>3</v>
      </c>
      <c r="H542" s="10">
        <v>1</v>
      </c>
      <c r="I542" s="10">
        <v>0</v>
      </c>
      <c r="J542" s="10">
        <v>0</v>
      </c>
      <c r="K542" s="10">
        <v>0</v>
      </c>
      <c r="L542" s="10">
        <v>0.40000001000000002</v>
      </c>
      <c r="M542" s="10">
        <v>0</v>
      </c>
      <c r="N542" s="10">
        <v>1</v>
      </c>
      <c r="O542" s="8" t="s">
        <v>31</v>
      </c>
      <c r="P542" s="8" t="s">
        <v>31</v>
      </c>
      <c r="Q542" s="8" t="s">
        <v>31</v>
      </c>
      <c r="R542" s="8" t="s">
        <v>31</v>
      </c>
      <c r="S542" s="8" t="s">
        <v>31</v>
      </c>
      <c r="T542" s="8" t="s">
        <v>31</v>
      </c>
      <c r="U542" s="8" t="s">
        <v>31</v>
      </c>
      <c r="V542" s="8" t="s">
        <v>31</v>
      </c>
      <c r="W542" s="8" t="str">
        <f>_xlfn.IFNA(VLOOKUP(A542,[1]Sheet1!$A$1:$B$101,1,FALSE),"na")</f>
        <v>na</v>
      </c>
      <c r="X542" s="8" t="s">
        <v>35</v>
      </c>
      <c r="Y542" s="9">
        <v>895</v>
      </c>
      <c r="Z542" s="9">
        <v>223.75</v>
      </c>
      <c r="AA542" s="9">
        <v>298.33334000000002</v>
      </c>
      <c r="AB542" s="9">
        <v>895</v>
      </c>
    </row>
    <row r="543" spans="1:28" x14ac:dyDescent="0.25">
      <c r="A543" s="8" t="s">
        <v>1161</v>
      </c>
      <c r="B543" s="8" t="s">
        <v>1162</v>
      </c>
      <c r="C543" s="8" t="s">
        <v>30</v>
      </c>
      <c r="D543" s="10">
        <v>3</v>
      </c>
      <c r="E543" s="10">
        <v>1</v>
      </c>
      <c r="F543" s="10">
        <v>2</v>
      </c>
      <c r="G543" s="10">
        <v>1</v>
      </c>
      <c r="H543" s="10">
        <v>1.6</v>
      </c>
      <c r="I543" s="10">
        <v>0</v>
      </c>
      <c r="J543" s="10">
        <v>0.40000001000000002</v>
      </c>
      <c r="K543" s="10">
        <v>0</v>
      </c>
      <c r="L543" s="10">
        <v>0</v>
      </c>
      <c r="M543" s="10">
        <v>0</v>
      </c>
      <c r="N543" s="10">
        <v>0.60000001999999997</v>
      </c>
      <c r="O543" s="8" t="s">
        <v>31</v>
      </c>
      <c r="P543" s="8" t="s">
        <v>31</v>
      </c>
      <c r="Q543" s="8" t="s">
        <v>31</v>
      </c>
      <c r="R543" s="8" t="s">
        <v>31</v>
      </c>
      <c r="S543" s="8" t="s">
        <v>31</v>
      </c>
      <c r="T543" s="8" t="s">
        <v>31</v>
      </c>
      <c r="U543" s="8" t="s">
        <v>31</v>
      </c>
      <c r="V543" s="8" t="s">
        <v>31</v>
      </c>
      <c r="W543" s="8" t="str">
        <f>_xlfn.IFNA(VLOOKUP(A543,[1]Sheet1!$A$1:$B$101,1,FALSE),"na")</f>
        <v>na</v>
      </c>
      <c r="X543" s="8" t="s">
        <v>35</v>
      </c>
      <c r="Y543" s="9">
        <v>585</v>
      </c>
      <c r="Z543" s="9">
        <v>195</v>
      </c>
      <c r="AA543" s="9">
        <v>585</v>
      </c>
      <c r="AB543" s="9">
        <v>292.5</v>
      </c>
    </row>
    <row r="544" spans="1:28" x14ac:dyDescent="0.25">
      <c r="A544" s="8" t="s">
        <v>1163</v>
      </c>
      <c r="B544" s="8" t="s">
        <v>1164</v>
      </c>
      <c r="C544" s="8" t="s">
        <v>30</v>
      </c>
      <c r="D544" s="10">
        <v>4</v>
      </c>
      <c r="E544" s="10">
        <v>2</v>
      </c>
      <c r="F544" s="10">
        <v>2</v>
      </c>
      <c r="G544" s="10">
        <v>2</v>
      </c>
      <c r="H544" s="10">
        <v>2</v>
      </c>
      <c r="I544" s="10">
        <v>0</v>
      </c>
      <c r="J544" s="10">
        <v>0</v>
      </c>
      <c r="K544" s="10">
        <v>0</v>
      </c>
      <c r="L544" s="10">
        <v>0.40000001000000002</v>
      </c>
      <c r="M544" s="10">
        <v>0</v>
      </c>
      <c r="N544" s="10">
        <v>1</v>
      </c>
      <c r="O544" s="8" t="s">
        <v>31</v>
      </c>
      <c r="P544" s="8" t="s">
        <v>31</v>
      </c>
      <c r="Q544" s="8" t="s">
        <v>57</v>
      </c>
      <c r="R544" s="8" t="s">
        <v>31</v>
      </c>
      <c r="S544" s="8" t="s">
        <v>31</v>
      </c>
      <c r="T544" s="8" t="s">
        <v>31</v>
      </c>
      <c r="U544" s="8" t="s">
        <v>31</v>
      </c>
      <c r="V544" s="8" t="s">
        <v>31</v>
      </c>
      <c r="W544" s="8" t="str">
        <f>_xlfn.IFNA(VLOOKUP(A544,[1]Sheet1!$A$1:$B$101,1,FALSE),"na")</f>
        <v>na</v>
      </c>
      <c r="X544" s="8" t="s">
        <v>619</v>
      </c>
      <c r="Y544" s="9">
        <v>788</v>
      </c>
      <c r="Z544" s="9">
        <v>197</v>
      </c>
      <c r="AA544" s="9">
        <v>394</v>
      </c>
      <c r="AB544" s="9">
        <v>394</v>
      </c>
    </row>
    <row r="545" spans="1:28" x14ac:dyDescent="0.25">
      <c r="A545" s="8" t="s">
        <v>1165</v>
      </c>
      <c r="B545" s="8" t="s">
        <v>1166</v>
      </c>
      <c r="C545" s="8" t="s">
        <v>30</v>
      </c>
      <c r="D545" s="10">
        <v>1.6</v>
      </c>
      <c r="E545" s="10">
        <v>1</v>
      </c>
      <c r="F545" s="10">
        <v>0.60000001999999997</v>
      </c>
      <c r="G545" s="10">
        <v>1</v>
      </c>
      <c r="H545" s="10">
        <v>0.60000001999999997</v>
      </c>
      <c r="I545" s="10">
        <v>0</v>
      </c>
      <c r="J545" s="10">
        <v>0</v>
      </c>
      <c r="K545" s="10">
        <v>0</v>
      </c>
      <c r="L545" s="10">
        <v>0.30000000999999998</v>
      </c>
      <c r="M545" s="10">
        <v>0</v>
      </c>
      <c r="N545" s="10">
        <v>0.60000001999999997</v>
      </c>
      <c r="O545" s="8" t="s">
        <v>31</v>
      </c>
      <c r="P545" s="8" t="s">
        <v>31</v>
      </c>
      <c r="Q545" s="8" t="s">
        <v>31</v>
      </c>
      <c r="R545" s="8" t="s">
        <v>31</v>
      </c>
      <c r="S545" s="8" t="s">
        <v>31</v>
      </c>
      <c r="T545" s="8" t="s">
        <v>31</v>
      </c>
      <c r="U545" s="8" t="s">
        <v>31</v>
      </c>
      <c r="V545" s="8" t="s">
        <v>31</v>
      </c>
      <c r="W545" s="8" t="str">
        <f>_xlfn.IFNA(VLOOKUP(A545,[1]Sheet1!$A$1:$B$101,1,FALSE),"na")</f>
        <v>na</v>
      </c>
      <c r="X545" s="8" t="s">
        <v>35</v>
      </c>
      <c r="Y545" s="9">
        <v>668</v>
      </c>
      <c r="Z545" s="9">
        <v>417.5</v>
      </c>
      <c r="AA545" s="9">
        <v>668</v>
      </c>
      <c r="AB545" s="9">
        <v>668</v>
      </c>
    </row>
    <row r="546" spans="1:28" x14ac:dyDescent="0.25">
      <c r="A546" s="8" t="s">
        <v>1167</v>
      </c>
      <c r="B546" s="8" t="s">
        <v>1168</v>
      </c>
      <c r="C546" s="8" t="s">
        <v>30</v>
      </c>
      <c r="D546" s="10">
        <v>3.2</v>
      </c>
      <c r="E546" s="10">
        <v>2</v>
      </c>
      <c r="F546" s="10">
        <v>1.2</v>
      </c>
      <c r="G546" s="10">
        <v>2</v>
      </c>
      <c r="H546" s="10">
        <v>1.2</v>
      </c>
      <c r="I546" s="10">
        <v>0</v>
      </c>
      <c r="J546" s="10">
        <v>0</v>
      </c>
      <c r="K546" s="10">
        <v>0</v>
      </c>
      <c r="L546" s="10">
        <v>0.60000001999999997</v>
      </c>
      <c r="M546" s="10">
        <v>0</v>
      </c>
      <c r="N546" s="10">
        <v>1.2</v>
      </c>
      <c r="O546" s="8" t="s">
        <v>31</v>
      </c>
      <c r="P546" s="8" t="s">
        <v>31</v>
      </c>
      <c r="Q546" s="8" t="s">
        <v>31</v>
      </c>
      <c r="R546" s="8" t="s">
        <v>31</v>
      </c>
      <c r="S546" s="8" t="s">
        <v>31</v>
      </c>
      <c r="T546" s="8" t="s">
        <v>31</v>
      </c>
      <c r="U546" s="8" t="s">
        <v>31</v>
      </c>
      <c r="V546" s="8" t="s">
        <v>31</v>
      </c>
      <c r="W546" s="8" t="str">
        <f>_xlfn.IFNA(VLOOKUP(A546,[1]Sheet1!$A$1:$B$101,1,FALSE),"na")</f>
        <v>na</v>
      </c>
      <c r="X546" s="8" t="s">
        <v>35</v>
      </c>
      <c r="Y546" s="9">
        <v>835</v>
      </c>
      <c r="Z546" s="9">
        <v>260.9375</v>
      </c>
      <c r="AA546" s="9">
        <v>417.5</v>
      </c>
      <c r="AB546" s="9">
        <v>695.83330999999998</v>
      </c>
    </row>
    <row r="547" spans="1:28" x14ac:dyDescent="0.25">
      <c r="A547" s="8" t="s">
        <v>1169</v>
      </c>
      <c r="B547" s="8" t="s">
        <v>1170</v>
      </c>
      <c r="C547" s="8" t="s">
        <v>38</v>
      </c>
      <c r="D547" s="10">
        <v>1.4</v>
      </c>
      <c r="E547" s="10">
        <v>1</v>
      </c>
      <c r="F547" s="10">
        <v>0.40000001000000002</v>
      </c>
      <c r="G547" s="10">
        <v>1</v>
      </c>
      <c r="H547" s="10">
        <v>0.40000001000000002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0.40000001000000002</v>
      </c>
      <c r="O547" s="8" t="s">
        <v>57</v>
      </c>
      <c r="P547" s="8" t="s">
        <v>31</v>
      </c>
      <c r="Q547" s="8" t="s">
        <v>31</v>
      </c>
      <c r="R547" s="8" t="s">
        <v>31</v>
      </c>
      <c r="S547" s="8" t="s">
        <v>31</v>
      </c>
      <c r="T547" s="8" t="s">
        <v>31</v>
      </c>
      <c r="U547" s="8" t="s">
        <v>31</v>
      </c>
      <c r="V547" s="8" t="s">
        <v>31</v>
      </c>
      <c r="W547" s="8" t="str">
        <f>_xlfn.IFNA(VLOOKUP(A547,[1]Sheet1!$A$1:$B$101,1,FALSE),"na")</f>
        <v>na</v>
      </c>
      <c r="X547" s="8" t="s">
        <v>35</v>
      </c>
      <c r="Y547" s="9">
        <v>671</v>
      </c>
      <c r="Z547" s="9">
        <v>479.28573999999998</v>
      </c>
      <c r="AA547" s="9">
        <v>671</v>
      </c>
      <c r="AB547" s="9">
        <v>671</v>
      </c>
    </row>
    <row r="548" spans="1:28" x14ac:dyDescent="0.25">
      <c r="A548" s="8" t="s">
        <v>1171</v>
      </c>
      <c r="B548" s="8" t="s">
        <v>1172</v>
      </c>
      <c r="C548" s="8" t="s">
        <v>30</v>
      </c>
      <c r="D548" s="10">
        <v>2</v>
      </c>
      <c r="E548" s="10">
        <v>1</v>
      </c>
      <c r="F548" s="10">
        <v>1</v>
      </c>
      <c r="G548" s="10">
        <v>1</v>
      </c>
      <c r="H548" s="10">
        <v>1</v>
      </c>
      <c r="I548" s="10">
        <v>0</v>
      </c>
      <c r="J548" s="10">
        <v>0</v>
      </c>
      <c r="K548" s="10">
        <v>1</v>
      </c>
      <c r="L548" s="10">
        <v>0</v>
      </c>
      <c r="M548" s="10">
        <v>0</v>
      </c>
      <c r="N548" s="10">
        <v>1</v>
      </c>
      <c r="O548" s="8" t="s">
        <v>31</v>
      </c>
      <c r="P548" s="8" t="s">
        <v>31</v>
      </c>
      <c r="Q548" s="8" t="s">
        <v>31</v>
      </c>
      <c r="R548" s="8" t="s">
        <v>31</v>
      </c>
      <c r="S548" s="8" t="s">
        <v>31</v>
      </c>
      <c r="T548" s="8" t="s">
        <v>31</v>
      </c>
      <c r="U548" s="8" t="s">
        <v>31</v>
      </c>
      <c r="V548" s="8" t="s">
        <v>31</v>
      </c>
      <c r="W548" s="8" t="str">
        <f>_xlfn.IFNA(VLOOKUP(A548,[1]Sheet1!$A$1:$B$101,1,FALSE),"na")</f>
        <v>na</v>
      </c>
      <c r="X548" s="8" t="s">
        <v>35</v>
      </c>
      <c r="Y548" s="9">
        <v>397</v>
      </c>
      <c r="Z548" s="9">
        <v>198.5</v>
      </c>
      <c r="AA548" s="9">
        <v>397</v>
      </c>
      <c r="AB548" s="9">
        <v>397</v>
      </c>
    </row>
    <row r="549" spans="1:28" x14ac:dyDescent="0.25">
      <c r="A549" s="8" t="s">
        <v>1173</v>
      </c>
      <c r="B549" s="8" t="s">
        <v>1174</v>
      </c>
      <c r="C549" s="8" t="s">
        <v>30</v>
      </c>
      <c r="D549" s="10">
        <v>2.5999998999999998</v>
      </c>
      <c r="E549" s="10">
        <v>2</v>
      </c>
      <c r="F549" s="10">
        <v>0.60000001999999997</v>
      </c>
      <c r="G549" s="10">
        <v>2</v>
      </c>
      <c r="H549" s="10">
        <v>0.60000001999999997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0.60000001999999997</v>
      </c>
      <c r="O549" s="8" t="s">
        <v>31</v>
      </c>
      <c r="P549" s="8" t="s">
        <v>57</v>
      </c>
      <c r="Q549" s="8" t="s">
        <v>31</v>
      </c>
      <c r="R549" s="8" t="s">
        <v>31</v>
      </c>
      <c r="S549" s="8" t="s">
        <v>31</v>
      </c>
      <c r="T549" s="8" t="s">
        <v>31</v>
      </c>
      <c r="U549" s="8" t="s">
        <v>31</v>
      </c>
      <c r="V549" s="8" t="s">
        <v>31</v>
      </c>
      <c r="W549" s="8" t="str">
        <f>_xlfn.IFNA(VLOOKUP(A549,[1]Sheet1!$A$1:$B$101,1,FALSE),"na")</f>
        <v>na</v>
      </c>
      <c r="X549" s="8" t="s">
        <v>35</v>
      </c>
      <c r="Y549" s="9">
        <v>379</v>
      </c>
      <c r="Z549" s="9">
        <v>145.76924</v>
      </c>
      <c r="AA549" s="9">
        <v>189.5</v>
      </c>
      <c r="AB549" s="9">
        <v>379</v>
      </c>
    </row>
    <row r="550" spans="1:28" x14ac:dyDescent="0.25">
      <c r="A550" s="8" t="s">
        <v>1175</v>
      </c>
      <c r="B550" s="8" t="s">
        <v>1176</v>
      </c>
      <c r="C550" s="8" t="s">
        <v>30</v>
      </c>
      <c r="D550" s="10">
        <v>2.2000000000000002</v>
      </c>
      <c r="E550" s="10">
        <v>1.6</v>
      </c>
      <c r="F550" s="10">
        <v>0.60000001999999997</v>
      </c>
      <c r="G550" s="10">
        <v>1</v>
      </c>
      <c r="H550" s="10">
        <v>0.60000001999999997</v>
      </c>
      <c r="I550" s="10">
        <v>0.60000001999999997</v>
      </c>
      <c r="J550" s="10">
        <v>0</v>
      </c>
      <c r="K550" s="10">
        <v>0</v>
      </c>
      <c r="L550" s="10">
        <v>0</v>
      </c>
      <c r="M550" s="10">
        <v>0</v>
      </c>
      <c r="N550" s="10">
        <v>0.60000001999999997</v>
      </c>
      <c r="O550" s="8" t="s">
        <v>31</v>
      </c>
      <c r="P550" s="8" t="s">
        <v>31</v>
      </c>
      <c r="Q550" s="8" t="s">
        <v>31</v>
      </c>
      <c r="R550" s="8" t="s">
        <v>31</v>
      </c>
      <c r="S550" s="8" t="s">
        <v>31</v>
      </c>
      <c r="T550" s="8" t="s">
        <v>31</v>
      </c>
      <c r="U550" s="8" t="s">
        <v>31</v>
      </c>
      <c r="V550" s="8" t="s">
        <v>31</v>
      </c>
      <c r="W550" s="8" t="str">
        <f>_xlfn.IFNA(VLOOKUP(A550,[1]Sheet1!$A$1:$B$101,1,FALSE),"na")</f>
        <v>na</v>
      </c>
      <c r="X550" s="8" t="s">
        <v>35</v>
      </c>
      <c r="Y550" s="9">
        <v>617</v>
      </c>
      <c r="Z550" s="9">
        <v>280.45452999999998</v>
      </c>
      <c r="AA550" s="9">
        <v>385.625</v>
      </c>
      <c r="AB550" s="9">
        <v>617</v>
      </c>
    </row>
    <row r="551" spans="1:28" x14ac:dyDescent="0.25">
      <c r="A551" s="8" t="s">
        <v>1177</v>
      </c>
      <c r="B551" s="8" t="s">
        <v>1178</v>
      </c>
      <c r="C551" s="8" t="s">
        <v>67</v>
      </c>
      <c r="D551" s="10">
        <v>6</v>
      </c>
      <c r="E551" s="10">
        <v>3.5999998999999998</v>
      </c>
      <c r="F551" s="10">
        <v>2.4000001000000002</v>
      </c>
      <c r="G551" s="10">
        <v>3</v>
      </c>
      <c r="H551" s="10">
        <v>2.4000001000000002</v>
      </c>
      <c r="I551" s="10">
        <v>0.60000001999999997</v>
      </c>
      <c r="J551" s="10">
        <v>0</v>
      </c>
      <c r="K551" s="10">
        <v>0</v>
      </c>
      <c r="L551" s="10">
        <v>0.40000001000000002</v>
      </c>
      <c r="M551" s="10">
        <v>0</v>
      </c>
      <c r="N551" s="10">
        <v>0.40000001000000002</v>
      </c>
      <c r="O551" s="8" t="s">
        <v>31</v>
      </c>
      <c r="P551" s="8" t="s">
        <v>31</v>
      </c>
      <c r="Q551" s="8" t="s">
        <v>31</v>
      </c>
      <c r="R551" s="8" t="s">
        <v>31</v>
      </c>
      <c r="S551" s="8" t="s">
        <v>31</v>
      </c>
      <c r="T551" s="8" t="s">
        <v>31</v>
      </c>
      <c r="U551" s="8" t="s">
        <v>31</v>
      </c>
      <c r="V551" s="8" t="s">
        <v>31</v>
      </c>
      <c r="W551" s="8" t="str">
        <f>_xlfn.IFNA(VLOOKUP(A551,[1]Sheet1!$A$1:$B$101,1,FALSE),"na")</f>
        <v>na</v>
      </c>
      <c r="X551" s="8" t="s">
        <v>35</v>
      </c>
      <c r="Y551" s="9">
        <v>781</v>
      </c>
      <c r="Z551" s="9">
        <v>130.16667000000001</v>
      </c>
      <c r="AA551" s="9">
        <v>216.94443999999999</v>
      </c>
      <c r="AB551" s="9">
        <v>325.41665999999998</v>
      </c>
    </row>
    <row r="552" spans="1:28" x14ac:dyDescent="0.25">
      <c r="A552" s="8" t="s">
        <v>1179</v>
      </c>
      <c r="B552" s="8" t="s">
        <v>1180</v>
      </c>
      <c r="C552" s="8" t="s">
        <v>67</v>
      </c>
      <c r="D552" s="10">
        <v>3.2</v>
      </c>
      <c r="E552" s="10">
        <v>2</v>
      </c>
      <c r="F552" s="10">
        <v>1.2</v>
      </c>
      <c r="G552" s="10">
        <v>2</v>
      </c>
      <c r="H552" s="10">
        <v>1.2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0.2</v>
      </c>
      <c r="O552" s="8" t="s">
        <v>31</v>
      </c>
      <c r="P552" s="8" t="s">
        <v>31</v>
      </c>
      <c r="Q552" s="8" t="s">
        <v>31</v>
      </c>
      <c r="R552" s="8" t="s">
        <v>31</v>
      </c>
      <c r="S552" s="8" t="s">
        <v>31</v>
      </c>
      <c r="T552" s="8" t="s">
        <v>31</v>
      </c>
      <c r="U552" s="8" t="s">
        <v>31</v>
      </c>
      <c r="V552" s="8" t="s">
        <v>31</v>
      </c>
      <c r="W552" s="8" t="str">
        <f>_xlfn.IFNA(VLOOKUP(A552,[1]Sheet1!$A$1:$B$101,1,FALSE),"na")</f>
        <v>na</v>
      </c>
      <c r="X552" s="8" t="s">
        <v>35</v>
      </c>
      <c r="Y552" s="9">
        <v>390</v>
      </c>
      <c r="Z552" s="9">
        <v>121.875</v>
      </c>
      <c r="AA552" s="9">
        <v>195</v>
      </c>
      <c r="AB552" s="9">
        <v>325</v>
      </c>
    </row>
    <row r="553" spans="1:28" x14ac:dyDescent="0.25">
      <c r="A553" s="8" t="s">
        <v>1181</v>
      </c>
      <c r="B553" s="8" t="s">
        <v>1182</v>
      </c>
      <c r="C553" s="8" t="s">
        <v>30</v>
      </c>
      <c r="D553" s="10">
        <v>1.2</v>
      </c>
      <c r="E553" s="10">
        <v>1</v>
      </c>
      <c r="F553" s="10">
        <v>0.2</v>
      </c>
      <c r="G553" s="10">
        <v>1</v>
      </c>
      <c r="H553" s="10">
        <v>0.2</v>
      </c>
      <c r="I553" s="10">
        <v>0</v>
      </c>
      <c r="J553" s="10">
        <v>0</v>
      </c>
      <c r="K553" s="10">
        <v>0</v>
      </c>
      <c r="L553" s="10">
        <v>1</v>
      </c>
      <c r="M553" s="10">
        <v>0</v>
      </c>
      <c r="N553" s="10">
        <v>0.2</v>
      </c>
      <c r="O553" s="8" t="s">
        <v>31</v>
      </c>
      <c r="P553" s="8" t="s">
        <v>31</v>
      </c>
      <c r="Q553" s="8" t="s">
        <v>31</v>
      </c>
      <c r="R553" s="8" t="s">
        <v>31</v>
      </c>
      <c r="S553" s="8" t="s">
        <v>31</v>
      </c>
      <c r="T553" s="8" t="s">
        <v>31</v>
      </c>
      <c r="U553" s="8" t="s">
        <v>31</v>
      </c>
      <c r="V553" s="8" t="s">
        <v>31</v>
      </c>
      <c r="W553" s="8" t="str">
        <f>_xlfn.IFNA(VLOOKUP(A553,[1]Sheet1!$A$1:$B$101,1,FALSE),"na")</f>
        <v>na</v>
      </c>
      <c r="X553" s="8" t="s">
        <v>35</v>
      </c>
      <c r="Y553" s="9">
        <v>444</v>
      </c>
      <c r="Z553" s="9">
        <v>370</v>
      </c>
      <c r="AA553" s="9">
        <v>444</v>
      </c>
      <c r="AB553" s="9">
        <v>444</v>
      </c>
    </row>
    <row r="554" spans="1:28" x14ac:dyDescent="0.25">
      <c r="A554" s="8" t="s">
        <v>1183</v>
      </c>
      <c r="B554" s="8" t="s">
        <v>1184</v>
      </c>
      <c r="C554" s="8" t="s">
        <v>30</v>
      </c>
      <c r="D554" s="10">
        <v>1.4</v>
      </c>
      <c r="E554" s="10">
        <v>1</v>
      </c>
      <c r="F554" s="10">
        <v>0.40000001000000002</v>
      </c>
      <c r="G554" s="10">
        <v>1</v>
      </c>
      <c r="H554" s="10">
        <v>0.40000001000000002</v>
      </c>
      <c r="I554" s="10">
        <v>0</v>
      </c>
      <c r="J554" s="10">
        <v>0</v>
      </c>
      <c r="K554" s="10">
        <v>1</v>
      </c>
      <c r="L554" s="10">
        <v>1.2</v>
      </c>
      <c r="M554" s="10">
        <v>0</v>
      </c>
      <c r="N554" s="10">
        <v>0.40000001000000002</v>
      </c>
      <c r="O554" s="8" t="s">
        <v>31</v>
      </c>
      <c r="P554" s="8" t="s">
        <v>31</v>
      </c>
      <c r="Q554" s="8" t="s">
        <v>31</v>
      </c>
      <c r="R554" s="8" t="s">
        <v>31</v>
      </c>
      <c r="S554" s="8" t="s">
        <v>31</v>
      </c>
      <c r="T554" s="8" t="s">
        <v>31</v>
      </c>
      <c r="U554" s="8" t="s">
        <v>31</v>
      </c>
      <c r="V554" s="8" t="s">
        <v>31</v>
      </c>
      <c r="W554" s="8" t="str">
        <f>_xlfn.IFNA(VLOOKUP(A554,[1]Sheet1!$A$1:$B$101,1,FALSE),"na")</f>
        <v>na</v>
      </c>
      <c r="X554" s="8" t="s">
        <v>35</v>
      </c>
      <c r="Y554" s="9">
        <v>282</v>
      </c>
      <c r="Z554" s="9">
        <v>201.42857000000001</v>
      </c>
      <c r="AA554" s="9">
        <v>282</v>
      </c>
      <c r="AB554" s="9">
        <v>282</v>
      </c>
    </row>
    <row r="555" spans="1:28" x14ac:dyDescent="0.25">
      <c r="A555" s="8" t="s">
        <v>1185</v>
      </c>
      <c r="B555" s="8" t="s">
        <v>1186</v>
      </c>
      <c r="C555" s="8" t="s">
        <v>30</v>
      </c>
      <c r="D555" s="10">
        <v>1.4</v>
      </c>
      <c r="E555" s="10">
        <v>0</v>
      </c>
      <c r="F555" s="10">
        <v>1.4</v>
      </c>
      <c r="G555" s="10">
        <v>0</v>
      </c>
      <c r="H555" s="10">
        <v>1.4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0.40000001000000002</v>
      </c>
      <c r="O555" s="8" t="s">
        <v>31</v>
      </c>
      <c r="P555" s="8" t="s">
        <v>31</v>
      </c>
      <c r="Q555" s="8" t="s">
        <v>31</v>
      </c>
      <c r="R555" s="8" t="s">
        <v>31</v>
      </c>
      <c r="S555" s="8" t="s">
        <v>31</v>
      </c>
      <c r="T555" s="8" t="s">
        <v>31</v>
      </c>
      <c r="U555" s="8" t="s">
        <v>31</v>
      </c>
      <c r="V555" s="8" t="s">
        <v>31</v>
      </c>
      <c r="W555" s="8" t="str">
        <f>_xlfn.IFNA(VLOOKUP(A555,[1]Sheet1!$A$1:$B$101,1,FALSE),"na")</f>
        <v>na</v>
      </c>
      <c r="X555" s="8" t="s">
        <v>35</v>
      </c>
      <c r="Y555" s="9">
        <v>341</v>
      </c>
      <c r="Z555" s="9">
        <v>243.57142999999999</v>
      </c>
      <c r="AA555" s="9">
        <v>341</v>
      </c>
      <c r="AB555" s="9">
        <v>243.57142999999999</v>
      </c>
    </row>
    <row r="556" spans="1:28" x14ac:dyDescent="0.25">
      <c r="A556" s="8" t="s">
        <v>1187</v>
      </c>
      <c r="B556" s="8" t="s">
        <v>1188</v>
      </c>
      <c r="C556" s="8" t="s">
        <v>38</v>
      </c>
      <c r="D556" s="10">
        <v>2.4000001000000002</v>
      </c>
      <c r="E556" s="10">
        <v>1</v>
      </c>
      <c r="F556" s="10">
        <v>1.4</v>
      </c>
      <c r="G556" s="10">
        <v>1</v>
      </c>
      <c r="H556" s="10">
        <v>1.4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0.40000001000000002</v>
      </c>
      <c r="O556" s="8" t="s">
        <v>57</v>
      </c>
      <c r="P556" s="8" t="s">
        <v>57</v>
      </c>
      <c r="Q556" s="8" t="s">
        <v>31</v>
      </c>
      <c r="R556" s="8" t="s">
        <v>31</v>
      </c>
      <c r="S556" s="8" t="s">
        <v>31</v>
      </c>
      <c r="T556" s="8" t="s">
        <v>31</v>
      </c>
      <c r="U556" s="8" t="s">
        <v>31</v>
      </c>
      <c r="V556" s="8" t="s">
        <v>31</v>
      </c>
      <c r="W556" s="8" t="str">
        <f>_xlfn.IFNA(VLOOKUP(A556,[1]Sheet1!$A$1:$B$101,1,FALSE),"na")</f>
        <v>na</v>
      </c>
      <c r="X556" s="8" t="s">
        <v>35</v>
      </c>
      <c r="Y556" s="9">
        <v>262</v>
      </c>
      <c r="Z556" s="9">
        <v>109.16665999999999</v>
      </c>
      <c r="AA556" s="9">
        <v>262</v>
      </c>
      <c r="AB556" s="9">
        <v>187.14285000000001</v>
      </c>
    </row>
    <row r="557" spans="1:28" x14ac:dyDescent="0.25">
      <c r="A557" s="8" t="s">
        <v>1189</v>
      </c>
      <c r="B557" s="8" t="s">
        <v>1190</v>
      </c>
      <c r="C557" s="8" t="s">
        <v>30</v>
      </c>
      <c r="D557" s="10">
        <v>1.4</v>
      </c>
      <c r="E557" s="10">
        <v>1</v>
      </c>
      <c r="F557" s="10">
        <v>0.40000001000000002</v>
      </c>
      <c r="G557" s="10">
        <v>1</v>
      </c>
      <c r="H557" s="10">
        <v>0.40000001000000002</v>
      </c>
      <c r="I557" s="10">
        <v>0</v>
      </c>
      <c r="J557" s="10">
        <v>0</v>
      </c>
      <c r="K557" s="10">
        <v>0</v>
      </c>
      <c r="L557" s="10">
        <v>0.30000000999999998</v>
      </c>
      <c r="M557" s="10">
        <v>0</v>
      </c>
      <c r="N557" s="10">
        <v>0.40000001000000002</v>
      </c>
      <c r="O557" s="8" t="s">
        <v>31</v>
      </c>
      <c r="P557" s="8" t="s">
        <v>31</v>
      </c>
      <c r="Q557" s="8" t="s">
        <v>31</v>
      </c>
      <c r="R557" s="8" t="s">
        <v>31</v>
      </c>
      <c r="S557" s="8" t="s">
        <v>31</v>
      </c>
      <c r="T557" s="8" t="s">
        <v>31</v>
      </c>
      <c r="U557" s="8" t="s">
        <v>31</v>
      </c>
      <c r="V557" s="8" t="s">
        <v>31</v>
      </c>
      <c r="W557" s="8" t="str">
        <f>_xlfn.IFNA(VLOOKUP(A557,[1]Sheet1!$A$1:$B$101,1,FALSE),"na")</f>
        <v>na</v>
      </c>
      <c r="X557" s="8" t="s">
        <v>35</v>
      </c>
      <c r="Y557" s="9">
        <v>338</v>
      </c>
      <c r="Z557" s="9">
        <v>241.42857000000001</v>
      </c>
      <c r="AA557" s="9">
        <v>338</v>
      </c>
      <c r="AB557" s="9">
        <v>338</v>
      </c>
    </row>
    <row r="558" spans="1:28" x14ac:dyDescent="0.25">
      <c r="A558" s="8" t="s">
        <v>1191</v>
      </c>
      <c r="B558" s="8" t="s">
        <v>1192</v>
      </c>
      <c r="C558" s="8" t="s">
        <v>67</v>
      </c>
      <c r="D558" s="10">
        <v>4</v>
      </c>
      <c r="E558" s="10">
        <v>4</v>
      </c>
      <c r="F558" s="10">
        <v>0</v>
      </c>
      <c r="G558" s="10">
        <v>4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8" t="s">
        <v>31</v>
      </c>
      <c r="P558" s="8" t="s">
        <v>31</v>
      </c>
      <c r="Q558" s="8" t="s">
        <v>31</v>
      </c>
      <c r="R558" s="8" t="s">
        <v>31</v>
      </c>
      <c r="S558" s="8" t="s">
        <v>31</v>
      </c>
      <c r="T558" s="8" t="s">
        <v>31</v>
      </c>
      <c r="U558" s="8" t="s">
        <v>31</v>
      </c>
      <c r="V558" s="8" t="s">
        <v>31</v>
      </c>
      <c r="W558" s="8" t="str">
        <f>_xlfn.IFNA(VLOOKUP(A558,[1]Sheet1!$A$1:$B$101,1,FALSE),"na")</f>
        <v>na</v>
      </c>
      <c r="X558" s="8" t="s">
        <v>35</v>
      </c>
      <c r="Y558" s="9">
        <v>769</v>
      </c>
      <c r="Z558" s="9">
        <v>192.25</v>
      </c>
      <c r="AA558" s="9">
        <v>192.25</v>
      </c>
      <c r="AB558" s="9">
        <v>769</v>
      </c>
    </row>
    <row r="559" spans="1:28" x14ac:dyDescent="0.25">
      <c r="A559" s="8" t="s">
        <v>1193</v>
      </c>
      <c r="B559" s="8" t="s">
        <v>1194</v>
      </c>
      <c r="C559" s="8" t="s">
        <v>67</v>
      </c>
      <c r="D559" s="10">
        <v>2.2000000000000002</v>
      </c>
      <c r="E559" s="10">
        <v>1</v>
      </c>
      <c r="F559" s="10">
        <v>1.2</v>
      </c>
      <c r="G559" s="10">
        <v>1</v>
      </c>
      <c r="H559" s="10">
        <v>1.2</v>
      </c>
      <c r="I559" s="10">
        <v>0</v>
      </c>
      <c r="J559" s="10">
        <v>0</v>
      </c>
      <c r="K559" s="10">
        <v>0</v>
      </c>
      <c r="L559" s="10">
        <v>1</v>
      </c>
      <c r="M559" s="10">
        <v>0</v>
      </c>
      <c r="N559" s="10">
        <v>0.2</v>
      </c>
      <c r="O559" s="8" t="s">
        <v>57</v>
      </c>
      <c r="P559" s="8" t="s">
        <v>31</v>
      </c>
      <c r="Q559" s="8" t="s">
        <v>31</v>
      </c>
      <c r="R559" s="8" t="s">
        <v>31</v>
      </c>
      <c r="S559" s="8" t="s">
        <v>31</v>
      </c>
      <c r="T559" s="8" t="s">
        <v>31</v>
      </c>
      <c r="U559" s="8" t="s">
        <v>31</v>
      </c>
      <c r="V559" s="8" t="s">
        <v>31</v>
      </c>
      <c r="W559" s="8" t="str">
        <f>_xlfn.IFNA(VLOOKUP(A559,[1]Sheet1!$A$1:$B$101,1,FALSE),"na")</f>
        <v>na</v>
      </c>
      <c r="X559" s="8" t="s">
        <v>35</v>
      </c>
      <c r="Y559" s="9">
        <v>489</v>
      </c>
      <c r="Z559" s="9">
        <v>222.27271999999999</v>
      </c>
      <c r="AA559" s="9">
        <v>489</v>
      </c>
      <c r="AB559" s="9">
        <v>407.49997000000002</v>
      </c>
    </row>
    <row r="560" spans="1:28" x14ac:dyDescent="0.25">
      <c r="A560" s="8" t="s">
        <v>1195</v>
      </c>
      <c r="B560" s="8" t="s">
        <v>1196</v>
      </c>
      <c r="C560" s="8" t="s">
        <v>30</v>
      </c>
      <c r="D560" s="10">
        <v>2.2000000000000002</v>
      </c>
      <c r="E560" s="10">
        <v>2</v>
      </c>
      <c r="F560" s="10">
        <v>0.2</v>
      </c>
      <c r="G560" s="10">
        <v>2</v>
      </c>
      <c r="H560" s="10">
        <v>0.2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0.2</v>
      </c>
      <c r="O560" s="8" t="s">
        <v>31</v>
      </c>
      <c r="P560" s="8" t="s">
        <v>57</v>
      </c>
      <c r="Q560" s="8" t="s">
        <v>31</v>
      </c>
      <c r="R560" s="8" t="s">
        <v>31</v>
      </c>
      <c r="S560" s="8" t="s">
        <v>31</v>
      </c>
      <c r="T560" s="8" t="s">
        <v>31</v>
      </c>
      <c r="U560" s="8" t="s">
        <v>31</v>
      </c>
      <c r="V560" s="8" t="s">
        <v>31</v>
      </c>
      <c r="W560" s="8" t="str">
        <f>_xlfn.IFNA(VLOOKUP(A560,[1]Sheet1!$A$1:$B$101,1,FALSE),"na")</f>
        <v>na</v>
      </c>
      <c r="X560" s="8" t="s">
        <v>35</v>
      </c>
      <c r="Y560" s="9">
        <v>263</v>
      </c>
      <c r="Z560" s="9">
        <v>119.54545</v>
      </c>
      <c r="AA560" s="9">
        <v>131.5</v>
      </c>
      <c r="AB560" s="9">
        <v>263</v>
      </c>
    </row>
    <row r="561" spans="1:28" x14ac:dyDescent="0.25">
      <c r="A561" s="8" t="s">
        <v>1197</v>
      </c>
      <c r="B561" s="8" t="s">
        <v>1198</v>
      </c>
      <c r="C561" s="8" t="s">
        <v>38</v>
      </c>
      <c r="D561" s="10">
        <v>3.4000001000000002</v>
      </c>
      <c r="E561" s="10">
        <v>3</v>
      </c>
      <c r="F561" s="10">
        <v>0.40000001000000002</v>
      </c>
      <c r="G561" s="10">
        <v>3</v>
      </c>
      <c r="H561" s="10">
        <v>0.40000001000000002</v>
      </c>
      <c r="I561" s="10">
        <v>0</v>
      </c>
      <c r="J561" s="10">
        <v>0</v>
      </c>
      <c r="K561" s="10">
        <v>0</v>
      </c>
      <c r="L561" s="10">
        <v>0.40000001000000002</v>
      </c>
      <c r="M561" s="10">
        <v>0</v>
      </c>
      <c r="N561" s="10">
        <v>0.40000001000000002</v>
      </c>
      <c r="O561" s="8" t="s">
        <v>31</v>
      </c>
      <c r="P561" s="8" t="s">
        <v>31</v>
      </c>
      <c r="Q561" s="8" t="s">
        <v>31</v>
      </c>
      <c r="R561" s="8" t="s">
        <v>31</v>
      </c>
      <c r="S561" s="8" t="s">
        <v>31</v>
      </c>
      <c r="T561" s="8" t="s">
        <v>31</v>
      </c>
      <c r="U561" s="8" t="s">
        <v>31</v>
      </c>
      <c r="V561" s="8" t="s">
        <v>31</v>
      </c>
      <c r="W561" s="8" t="str">
        <f>_xlfn.IFNA(VLOOKUP(A561,[1]Sheet1!$A$1:$B$101,1,FALSE),"na")</f>
        <v>na</v>
      </c>
      <c r="X561" s="8" t="s">
        <v>35</v>
      </c>
      <c r="Y561" s="9">
        <v>1190</v>
      </c>
      <c r="Z561" s="9">
        <v>350</v>
      </c>
      <c r="AA561" s="9">
        <v>396.66665999999998</v>
      </c>
      <c r="AB561" s="9">
        <v>1190</v>
      </c>
    </row>
    <row r="562" spans="1:28" x14ac:dyDescent="0.25">
      <c r="A562" s="8" t="s">
        <v>1199</v>
      </c>
      <c r="B562" s="8" t="s">
        <v>1200</v>
      </c>
      <c r="C562" s="8" t="s">
        <v>62</v>
      </c>
      <c r="D562" s="10">
        <v>3.2</v>
      </c>
      <c r="E562" s="10">
        <v>2</v>
      </c>
      <c r="F562" s="10">
        <v>1.2</v>
      </c>
      <c r="G562" s="10">
        <v>2</v>
      </c>
      <c r="H562" s="10">
        <v>1.2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0.2</v>
      </c>
      <c r="O562" s="8" t="s">
        <v>57</v>
      </c>
      <c r="P562" s="8" t="s">
        <v>31</v>
      </c>
      <c r="Q562" s="8" t="s">
        <v>31</v>
      </c>
      <c r="R562" s="8" t="s">
        <v>31</v>
      </c>
      <c r="S562" s="8" t="s">
        <v>31</v>
      </c>
      <c r="T562" s="8" t="s">
        <v>31</v>
      </c>
      <c r="U562" s="8" t="s">
        <v>31</v>
      </c>
      <c r="V562" s="8" t="s">
        <v>31</v>
      </c>
      <c r="W562" s="8" t="str">
        <f>_xlfn.IFNA(VLOOKUP(A562,[1]Sheet1!$A$1:$B$101,1,FALSE),"na")</f>
        <v>na</v>
      </c>
      <c r="X562" s="8" t="s">
        <v>35</v>
      </c>
      <c r="Y562" s="9">
        <v>338</v>
      </c>
      <c r="Z562" s="9">
        <v>105.625</v>
      </c>
      <c r="AA562" s="9">
        <v>169</v>
      </c>
      <c r="AB562" s="9">
        <v>281.66665999999998</v>
      </c>
    </row>
    <row r="563" spans="1:28" x14ac:dyDescent="0.25">
      <c r="A563" s="8" t="s">
        <v>1201</v>
      </c>
      <c r="B563" s="8" t="s">
        <v>1202</v>
      </c>
      <c r="C563" s="8" t="s">
        <v>62</v>
      </c>
      <c r="D563" s="10">
        <v>3.1142799999999999</v>
      </c>
      <c r="E563" s="10">
        <v>1</v>
      </c>
      <c r="F563" s="10">
        <v>2.1142799999999999</v>
      </c>
      <c r="G563" s="10">
        <v>1</v>
      </c>
      <c r="H563" s="10">
        <v>2.1142799999999999</v>
      </c>
      <c r="I563" s="10">
        <v>0</v>
      </c>
      <c r="J563" s="10">
        <v>0</v>
      </c>
      <c r="K563" s="10">
        <v>0</v>
      </c>
      <c r="L563" s="10">
        <v>5.7140000000000003E-2</v>
      </c>
      <c r="M563" s="10">
        <v>0</v>
      </c>
      <c r="N563" s="10">
        <v>0.11428000000000001</v>
      </c>
      <c r="O563" s="8" t="s">
        <v>31</v>
      </c>
      <c r="P563" s="8" t="s">
        <v>31</v>
      </c>
      <c r="Q563" s="8" t="s">
        <v>31</v>
      </c>
      <c r="R563" s="8" t="s">
        <v>31</v>
      </c>
      <c r="S563" s="8" t="s">
        <v>31</v>
      </c>
      <c r="T563" s="8" t="s">
        <v>57</v>
      </c>
      <c r="U563" s="8" t="s">
        <v>57</v>
      </c>
      <c r="V563" s="8" t="s">
        <v>31</v>
      </c>
      <c r="W563" s="8" t="str">
        <f>_xlfn.IFNA(VLOOKUP(A563,[1]Sheet1!$A$1:$B$101,1,FALSE),"na")</f>
        <v>na</v>
      </c>
      <c r="X563" s="8" t="s">
        <v>437</v>
      </c>
      <c r="Y563" s="9">
        <v>262</v>
      </c>
      <c r="Z563" s="9">
        <v>84.128592999999995</v>
      </c>
      <c r="AA563" s="9">
        <v>262</v>
      </c>
      <c r="AB563" s="9">
        <v>123.91925999999999</v>
      </c>
    </row>
    <row r="564" spans="1:28" x14ac:dyDescent="0.25">
      <c r="A564" s="8" t="s">
        <v>1203</v>
      </c>
      <c r="B564" s="8" t="s">
        <v>1204</v>
      </c>
      <c r="C564" s="8" t="s">
        <v>62</v>
      </c>
      <c r="D564" s="10">
        <v>3.1199998999999998</v>
      </c>
      <c r="E564" s="10">
        <v>2</v>
      </c>
      <c r="F564" s="10">
        <v>1.1200000000000001</v>
      </c>
      <c r="G564" s="10">
        <v>2</v>
      </c>
      <c r="H564" s="10">
        <v>1.1200000000000001</v>
      </c>
      <c r="I564" s="10">
        <v>0</v>
      </c>
      <c r="J564" s="10">
        <v>0</v>
      </c>
      <c r="K564" s="10">
        <v>0</v>
      </c>
      <c r="L564" s="10">
        <v>3.9999999000000001E-2</v>
      </c>
      <c r="M564" s="10">
        <v>0</v>
      </c>
      <c r="N564" s="10">
        <v>0.12</v>
      </c>
      <c r="O564" s="8" t="s">
        <v>31</v>
      </c>
      <c r="P564" s="8" t="s">
        <v>31</v>
      </c>
      <c r="Q564" s="8" t="s">
        <v>31</v>
      </c>
      <c r="R564" s="8" t="s">
        <v>31</v>
      </c>
      <c r="S564" s="8" t="s">
        <v>31</v>
      </c>
      <c r="T564" s="8" t="s">
        <v>57</v>
      </c>
      <c r="U564" s="8" t="s">
        <v>57</v>
      </c>
      <c r="V564" s="8" t="s">
        <v>31</v>
      </c>
      <c r="W564" s="8" t="str">
        <f>_xlfn.IFNA(VLOOKUP(A564,[1]Sheet1!$A$1:$B$101,1,FALSE),"na")</f>
        <v>na</v>
      </c>
      <c r="X564" s="8" t="s">
        <v>35</v>
      </c>
      <c r="Y564" s="9">
        <v>437</v>
      </c>
      <c r="Z564" s="9">
        <v>140.0641</v>
      </c>
      <c r="AA564" s="9">
        <v>218.5</v>
      </c>
      <c r="AB564" s="9">
        <v>390.17856</v>
      </c>
    </row>
    <row r="565" spans="1:28" x14ac:dyDescent="0.25">
      <c r="A565" s="8" t="s">
        <v>1205</v>
      </c>
      <c r="B565" s="8" t="s">
        <v>1206</v>
      </c>
      <c r="C565" s="8" t="s">
        <v>62</v>
      </c>
      <c r="D565" s="10">
        <v>4.1142801999999996</v>
      </c>
      <c r="E565" s="10">
        <v>3</v>
      </c>
      <c r="F565" s="10">
        <v>1.1142799999999999</v>
      </c>
      <c r="G565" s="10">
        <v>3</v>
      </c>
      <c r="H565" s="10">
        <v>1.1142799999999999</v>
      </c>
      <c r="I565" s="10">
        <v>0</v>
      </c>
      <c r="J565" s="10">
        <v>0</v>
      </c>
      <c r="K565" s="10">
        <v>1</v>
      </c>
      <c r="L565" s="10">
        <v>5.7140000000000003E-2</v>
      </c>
      <c r="M565" s="10">
        <v>0</v>
      </c>
      <c r="N565" s="10">
        <v>0.11428000000000001</v>
      </c>
      <c r="O565" s="8" t="s">
        <v>31</v>
      </c>
      <c r="P565" s="8" t="s">
        <v>31</v>
      </c>
      <c r="Q565" s="8" t="s">
        <v>31</v>
      </c>
      <c r="R565" s="8" t="s">
        <v>31</v>
      </c>
      <c r="S565" s="8" t="s">
        <v>31</v>
      </c>
      <c r="T565" s="8" t="s">
        <v>57</v>
      </c>
      <c r="U565" s="8" t="s">
        <v>31</v>
      </c>
      <c r="V565" s="8" t="s">
        <v>31</v>
      </c>
      <c r="W565" s="8" t="str">
        <f>_xlfn.IFNA(VLOOKUP(A565,[1]Sheet1!$A$1:$B$101,1,FALSE),"na")</f>
        <v>na</v>
      </c>
      <c r="X565" s="8" t="s">
        <v>35</v>
      </c>
      <c r="Y565" s="9">
        <v>472</v>
      </c>
      <c r="Z565" s="9">
        <v>114.72237</v>
      </c>
      <c r="AA565" s="9">
        <v>157.33332999999999</v>
      </c>
      <c r="AB565" s="9">
        <v>423.59192000000002</v>
      </c>
    </row>
    <row r="566" spans="1:28" x14ac:dyDescent="0.25">
      <c r="A566" s="8" t="s">
        <v>1207</v>
      </c>
      <c r="B566" s="8" t="s">
        <v>1208</v>
      </c>
      <c r="C566" s="8" t="s">
        <v>62</v>
      </c>
      <c r="D566" s="10">
        <v>5.1333298999999997</v>
      </c>
      <c r="E566" s="10">
        <v>4</v>
      </c>
      <c r="F566" s="10">
        <v>1.1333299999999999</v>
      </c>
      <c r="G566" s="10">
        <v>4</v>
      </c>
      <c r="H566" s="10">
        <v>1.1333299999999999</v>
      </c>
      <c r="I566" s="10">
        <v>0</v>
      </c>
      <c r="J566" s="10">
        <v>0</v>
      </c>
      <c r="K566" s="10">
        <v>1</v>
      </c>
      <c r="L566" s="10">
        <v>3.3330000999999998E-2</v>
      </c>
      <c r="M566" s="10">
        <v>0</v>
      </c>
      <c r="N566" s="10">
        <v>0.13333</v>
      </c>
      <c r="O566" s="8" t="s">
        <v>57</v>
      </c>
      <c r="P566" s="8" t="s">
        <v>31</v>
      </c>
      <c r="Q566" s="8" t="s">
        <v>31</v>
      </c>
      <c r="R566" s="8" t="s">
        <v>31</v>
      </c>
      <c r="S566" s="8" t="s">
        <v>31</v>
      </c>
      <c r="T566" s="8" t="s">
        <v>31</v>
      </c>
      <c r="U566" s="8" t="s">
        <v>31</v>
      </c>
      <c r="V566" s="8" t="s">
        <v>31</v>
      </c>
      <c r="W566" s="8" t="str">
        <f>_xlfn.IFNA(VLOOKUP(A566,[1]Sheet1!$A$1:$B$101,1,FALSE),"na")</f>
        <v>na</v>
      </c>
      <c r="X566" s="8" t="s">
        <v>35</v>
      </c>
      <c r="Y566" s="9">
        <v>562</v>
      </c>
      <c r="Z566" s="9">
        <v>109.48059000000001</v>
      </c>
      <c r="AA566" s="9">
        <v>140.5</v>
      </c>
      <c r="AB566" s="9">
        <v>495.88382000000001</v>
      </c>
    </row>
    <row r="567" spans="1:28" x14ac:dyDescent="0.25">
      <c r="A567" s="8" t="s">
        <v>1209</v>
      </c>
      <c r="B567" s="8" t="s">
        <v>1210</v>
      </c>
      <c r="C567" s="8" t="s">
        <v>62</v>
      </c>
      <c r="D567" s="10">
        <v>4.1142801999999996</v>
      </c>
      <c r="E567" s="10">
        <v>3</v>
      </c>
      <c r="F567" s="10">
        <v>1.1142799999999999</v>
      </c>
      <c r="G567" s="10">
        <v>3</v>
      </c>
      <c r="H567" s="10">
        <v>1.1142799999999999</v>
      </c>
      <c r="I567" s="10">
        <v>0</v>
      </c>
      <c r="J567" s="10">
        <v>0</v>
      </c>
      <c r="K567" s="10">
        <v>1</v>
      </c>
      <c r="L567" s="10">
        <v>5.7140000000000003E-2</v>
      </c>
      <c r="M567" s="10">
        <v>0</v>
      </c>
      <c r="N567" s="10">
        <v>0.11428000000000001</v>
      </c>
      <c r="O567" s="8" t="s">
        <v>57</v>
      </c>
      <c r="P567" s="8" t="s">
        <v>31</v>
      </c>
      <c r="Q567" s="8" t="s">
        <v>31</v>
      </c>
      <c r="R567" s="8" t="s">
        <v>31</v>
      </c>
      <c r="S567" s="8" t="s">
        <v>31</v>
      </c>
      <c r="T567" s="8" t="s">
        <v>57</v>
      </c>
      <c r="U567" s="8" t="s">
        <v>31</v>
      </c>
      <c r="V567" s="8" t="s">
        <v>31</v>
      </c>
      <c r="W567" s="8" t="str">
        <f>_xlfn.IFNA(VLOOKUP(A567,[1]Sheet1!$A$1:$B$101,1,FALSE),"na")</f>
        <v>na</v>
      </c>
      <c r="X567" s="8" t="s">
        <v>35</v>
      </c>
      <c r="Y567" s="9">
        <v>306</v>
      </c>
      <c r="Z567" s="9">
        <v>74.375099000000006</v>
      </c>
      <c r="AA567" s="9">
        <v>102</v>
      </c>
      <c r="AB567" s="9">
        <v>274.61678999999998</v>
      </c>
    </row>
    <row r="568" spans="1:28" x14ac:dyDescent="0.25">
      <c r="A568" s="8" t="s">
        <v>1211</v>
      </c>
      <c r="B568" s="8" t="s">
        <v>1212</v>
      </c>
      <c r="C568" s="8" t="s">
        <v>62</v>
      </c>
      <c r="D568" s="10">
        <v>4.1333298999999997</v>
      </c>
      <c r="E568" s="10">
        <v>3</v>
      </c>
      <c r="F568" s="10">
        <v>1.1333299999999999</v>
      </c>
      <c r="G568" s="10">
        <v>3</v>
      </c>
      <c r="H568" s="10">
        <v>1.1333299999999999</v>
      </c>
      <c r="I568" s="10">
        <v>0</v>
      </c>
      <c r="J568" s="10">
        <v>0</v>
      </c>
      <c r="K568" s="10">
        <v>0</v>
      </c>
      <c r="L568" s="10">
        <v>3.3330000999999998E-2</v>
      </c>
      <c r="M568" s="10">
        <v>0</v>
      </c>
      <c r="N568" s="10">
        <v>0.13333</v>
      </c>
      <c r="O568" s="8" t="s">
        <v>57</v>
      </c>
      <c r="P568" s="8" t="s">
        <v>31</v>
      </c>
      <c r="Q568" s="8" t="s">
        <v>31</v>
      </c>
      <c r="R568" s="8" t="s">
        <v>31</v>
      </c>
      <c r="S568" s="8" t="s">
        <v>31</v>
      </c>
      <c r="T568" s="8" t="s">
        <v>57</v>
      </c>
      <c r="U568" s="8" t="s">
        <v>31</v>
      </c>
      <c r="V568" s="8" t="s">
        <v>31</v>
      </c>
      <c r="W568" s="8" t="str">
        <f>_xlfn.IFNA(VLOOKUP(A568,[1]Sheet1!$A$1:$B$101,1,FALSE),"na")</f>
        <v>na</v>
      </c>
      <c r="X568" s="8" t="s">
        <v>35</v>
      </c>
      <c r="Y568" s="9">
        <v>424</v>
      </c>
      <c r="Z568" s="9">
        <v>102.58073</v>
      </c>
      <c r="AA568" s="9">
        <v>141.33332999999999</v>
      </c>
      <c r="AB568" s="9">
        <v>374.11874</v>
      </c>
    </row>
    <row r="569" spans="1:28" x14ac:dyDescent="0.25">
      <c r="A569" s="8" t="s">
        <v>1213</v>
      </c>
      <c r="B569" s="8" t="s">
        <v>1214</v>
      </c>
      <c r="C569" s="8" t="s">
        <v>67</v>
      </c>
      <c r="D569" s="10">
        <v>2</v>
      </c>
      <c r="E569" s="10">
        <v>1</v>
      </c>
      <c r="F569" s="10">
        <v>1</v>
      </c>
      <c r="G569" s="10">
        <v>1</v>
      </c>
      <c r="H569" s="10">
        <v>1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s="8" t="s">
        <v>57</v>
      </c>
      <c r="P569" s="8" t="s">
        <v>31</v>
      </c>
      <c r="Q569" s="8" t="s">
        <v>31</v>
      </c>
      <c r="R569" s="8" t="s">
        <v>31</v>
      </c>
      <c r="S569" s="8" t="s">
        <v>31</v>
      </c>
      <c r="T569" s="8" t="s">
        <v>31</v>
      </c>
      <c r="U569" s="8" t="s">
        <v>31</v>
      </c>
      <c r="V569" s="8" t="s">
        <v>31</v>
      </c>
      <c r="W569" s="8" t="str">
        <f>_xlfn.IFNA(VLOOKUP(A569,[1]Sheet1!$A$1:$B$101,1,FALSE),"na")</f>
        <v>na</v>
      </c>
      <c r="X569" s="8" t="s">
        <v>35</v>
      </c>
      <c r="Y569" s="9">
        <v>360</v>
      </c>
      <c r="Z569" s="9">
        <v>180</v>
      </c>
      <c r="AA569" s="9">
        <v>360</v>
      </c>
      <c r="AB569" s="9">
        <v>360</v>
      </c>
    </row>
    <row r="570" spans="1:28" x14ac:dyDescent="0.25">
      <c r="A570" s="8" t="s">
        <v>1215</v>
      </c>
      <c r="B570" s="8" t="s">
        <v>1216</v>
      </c>
      <c r="C570" s="8" t="s">
        <v>67</v>
      </c>
      <c r="D570" s="10">
        <v>2.1333300999999998</v>
      </c>
      <c r="E570" s="10">
        <v>1</v>
      </c>
      <c r="F570" s="10">
        <v>1.1333299999999999</v>
      </c>
      <c r="G570" s="10">
        <v>1</v>
      </c>
      <c r="H570" s="10">
        <v>1.1333299999999999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0.13333</v>
      </c>
      <c r="O570" s="8" t="s">
        <v>31</v>
      </c>
      <c r="P570" s="8" t="s">
        <v>31</v>
      </c>
      <c r="Q570" s="8" t="s">
        <v>31</v>
      </c>
      <c r="R570" s="8" t="s">
        <v>31</v>
      </c>
      <c r="S570" s="8" t="s">
        <v>31</v>
      </c>
      <c r="T570" s="8" t="s">
        <v>31</v>
      </c>
      <c r="U570" s="8" t="s">
        <v>31</v>
      </c>
      <c r="V570" s="8" t="s">
        <v>31</v>
      </c>
      <c r="W570" s="8" t="str">
        <f>_xlfn.IFNA(VLOOKUP(A570,[1]Sheet1!$A$1:$B$101,1,FALSE),"na")</f>
        <v>na</v>
      </c>
      <c r="X570" s="8" t="s">
        <v>35</v>
      </c>
      <c r="Y570" s="9">
        <v>187</v>
      </c>
      <c r="Z570" s="9">
        <v>87.656379999999999</v>
      </c>
      <c r="AA570" s="9">
        <v>187</v>
      </c>
      <c r="AB570" s="9">
        <v>165.00049000000001</v>
      </c>
    </row>
    <row r="571" spans="1:28" x14ac:dyDescent="0.25">
      <c r="A571" s="8" t="s">
        <v>1217</v>
      </c>
      <c r="B571" s="8" t="s">
        <v>1218</v>
      </c>
      <c r="C571" s="8" t="s">
        <v>30</v>
      </c>
      <c r="D571" s="10">
        <v>1.4</v>
      </c>
      <c r="E571" s="10">
        <v>1</v>
      </c>
      <c r="F571" s="10">
        <v>0.40000001000000002</v>
      </c>
      <c r="G571" s="10">
        <v>1</v>
      </c>
      <c r="H571" s="10">
        <v>0.40000001000000002</v>
      </c>
      <c r="I571" s="10">
        <v>0</v>
      </c>
      <c r="J571" s="10">
        <v>0</v>
      </c>
      <c r="K571" s="10">
        <v>0</v>
      </c>
      <c r="L571" s="10">
        <v>0.40000001000000002</v>
      </c>
      <c r="M571" s="10">
        <v>0</v>
      </c>
      <c r="N571" s="10">
        <v>0.40000001000000002</v>
      </c>
      <c r="O571" s="8" t="s">
        <v>31</v>
      </c>
      <c r="P571" s="8" t="s">
        <v>31</v>
      </c>
      <c r="Q571" s="8" t="s">
        <v>31</v>
      </c>
      <c r="R571" s="8" t="s">
        <v>31</v>
      </c>
      <c r="S571" s="8" t="s">
        <v>31</v>
      </c>
      <c r="T571" s="8" t="s">
        <v>31</v>
      </c>
      <c r="U571" s="8" t="s">
        <v>31</v>
      </c>
      <c r="V571" s="8" t="s">
        <v>31</v>
      </c>
      <c r="W571" s="8" t="str">
        <f>_xlfn.IFNA(VLOOKUP(A571,[1]Sheet1!$A$1:$B$101,1,FALSE),"na")</f>
        <v>na</v>
      </c>
      <c r="X571" s="8" t="s">
        <v>35</v>
      </c>
      <c r="Y571" s="9">
        <v>370</v>
      </c>
      <c r="Z571" s="9">
        <v>264.28570999999999</v>
      </c>
      <c r="AA571" s="9">
        <v>370</v>
      </c>
      <c r="AB571" s="9">
        <v>370</v>
      </c>
    </row>
    <row r="572" spans="1:28" x14ac:dyDescent="0.25">
      <c r="A572" s="8" t="s">
        <v>1219</v>
      </c>
      <c r="B572" s="8" t="s">
        <v>1220</v>
      </c>
      <c r="C572" s="8" t="s">
        <v>67</v>
      </c>
      <c r="D572" s="10">
        <v>5.4000000999999997</v>
      </c>
      <c r="E572" s="10">
        <v>4</v>
      </c>
      <c r="F572" s="10">
        <v>1.4</v>
      </c>
      <c r="G572" s="10">
        <v>4</v>
      </c>
      <c r="H572" s="10">
        <v>1.4</v>
      </c>
      <c r="I572" s="10">
        <v>0</v>
      </c>
      <c r="J572" s="10">
        <v>0</v>
      </c>
      <c r="K572" s="10">
        <v>1</v>
      </c>
      <c r="L572" s="10">
        <v>0</v>
      </c>
      <c r="M572" s="10">
        <v>0</v>
      </c>
      <c r="N572" s="10">
        <v>0.40000001000000002</v>
      </c>
      <c r="O572" s="8" t="s">
        <v>31</v>
      </c>
      <c r="P572" s="8" t="s">
        <v>31</v>
      </c>
      <c r="Q572" s="8" t="s">
        <v>31</v>
      </c>
      <c r="R572" s="8" t="s">
        <v>31</v>
      </c>
      <c r="S572" s="8" t="s">
        <v>31</v>
      </c>
      <c r="T572" s="8" t="s">
        <v>31</v>
      </c>
      <c r="U572" s="8" t="s">
        <v>31</v>
      </c>
      <c r="V572" s="8" t="s">
        <v>31</v>
      </c>
      <c r="W572" s="8" t="str">
        <f>_xlfn.IFNA(VLOOKUP(A572,[1]Sheet1!$A$1:$B$101,1,FALSE),"na")</f>
        <v>na</v>
      </c>
      <c r="X572" s="8" t="s">
        <v>35</v>
      </c>
      <c r="Y572" s="9">
        <v>388</v>
      </c>
      <c r="Z572" s="9">
        <v>71.851851999999994</v>
      </c>
      <c r="AA572" s="9">
        <v>97</v>
      </c>
      <c r="AB572" s="9">
        <v>277.14285000000001</v>
      </c>
    </row>
    <row r="573" spans="1:28" x14ac:dyDescent="0.25">
      <c r="A573" s="8" t="s">
        <v>1221</v>
      </c>
      <c r="B573" s="8" t="s">
        <v>1222</v>
      </c>
      <c r="C573" s="8" t="s">
        <v>62</v>
      </c>
      <c r="D573" s="10">
        <v>3</v>
      </c>
      <c r="E573" s="10">
        <v>3</v>
      </c>
      <c r="F573" s="10">
        <v>0</v>
      </c>
      <c r="G573" s="10">
        <v>3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8" t="s">
        <v>31</v>
      </c>
      <c r="P573" s="8" t="s">
        <v>31</v>
      </c>
      <c r="Q573" s="8" t="s">
        <v>31</v>
      </c>
      <c r="R573" s="8" t="s">
        <v>31</v>
      </c>
      <c r="S573" s="8" t="s">
        <v>31</v>
      </c>
      <c r="T573" s="8" t="s">
        <v>57</v>
      </c>
      <c r="U573" s="8" t="s">
        <v>31</v>
      </c>
      <c r="V573" s="8" t="s">
        <v>31</v>
      </c>
      <c r="W573" s="8" t="str">
        <f>_xlfn.IFNA(VLOOKUP(A573,[1]Sheet1!$A$1:$B$101,1,FALSE),"na")</f>
        <v>na</v>
      </c>
      <c r="X573" s="8" t="s">
        <v>35</v>
      </c>
      <c r="Y573" s="9">
        <v>406</v>
      </c>
      <c r="Z573" s="9">
        <v>135.33332999999999</v>
      </c>
      <c r="AA573" s="9">
        <v>135.33332999999999</v>
      </c>
      <c r="AB573" s="9">
        <v>406</v>
      </c>
    </row>
    <row r="574" spans="1:28" x14ac:dyDescent="0.25">
      <c r="A574" s="8" t="s">
        <v>1223</v>
      </c>
      <c r="B574" s="8" t="s">
        <v>1224</v>
      </c>
      <c r="C574" s="8" t="s">
        <v>62</v>
      </c>
      <c r="D574" s="10">
        <v>13.2</v>
      </c>
      <c r="E574" s="10">
        <v>12</v>
      </c>
      <c r="F574" s="10">
        <v>1.2</v>
      </c>
      <c r="G574" s="10">
        <v>12</v>
      </c>
      <c r="H574" s="10">
        <v>1.2</v>
      </c>
      <c r="I574" s="10">
        <v>0</v>
      </c>
      <c r="J574" s="10">
        <v>0</v>
      </c>
      <c r="K574" s="10">
        <v>1</v>
      </c>
      <c r="L574" s="10">
        <v>0</v>
      </c>
      <c r="M574" s="10">
        <v>0</v>
      </c>
      <c r="N574" s="10">
        <v>0.2</v>
      </c>
      <c r="O574" s="8" t="s">
        <v>31</v>
      </c>
      <c r="P574" s="8" t="s">
        <v>31</v>
      </c>
      <c r="Q574" s="8" t="s">
        <v>57</v>
      </c>
      <c r="R574" s="8" t="s">
        <v>31</v>
      </c>
      <c r="S574" s="8" t="s">
        <v>31</v>
      </c>
      <c r="T574" s="8" t="s">
        <v>57</v>
      </c>
      <c r="U574" s="8" t="s">
        <v>31</v>
      </c>
      <c r="V574" s="8" t="s">
        <v>31</v>
      </c>
      <c r="W574" s="8" t="str">
        <f>_xlfn.IFNA(VLOOKUP(A574,[1]Sheet1!$A$1:$B$101,1,FALSE),"na")</f>
        <v>na</v>
      </c>
      <c r="X574" s="8" t="s">
        <v>35</v>
      </c>
      <c r="Y574" s="9">
        <v>1649</v>
      </c>
      <c r="Z574" s="9">
        <v>124.92425</v>
      </c>
      <c r="AA574" s="9">
        <v>137.41667000000001</v>
      </c>
      <c r="AB574" s="9">
        <v>1374.1666</v>
      </c>
    </row>
    <row r="575" spans="1:28" x14ac:dyDescent="0.25">
      <c r="A575" s="8" t="s">
        <v>1225</v>
      </c>
      <c r="B575" s="8" t="s">
        <v>1226</v>
      </c>
      <c r="C575" s="8" t="s">
        <v>67</v>
      </c>
      <c r="D575" s="10">
        <v>1.2</v>
      </c>
      <c r="E575" s="10">
        <v>1</v>
      </c>
      <c r="F575" s="10">
        <v>0.2</v>
      </c>
      <c r="G575" s="10">
        <v>1</v>
      </c>
      <c r="H575" s="10">
        <v>0.2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0.2</v>
      </c>
      <c r="O575" s="8" t="s">
        <v>31</v>
      </c>
      <c r="P575" s="8" t="s">
        <v>31</v>
      </c>
      <c r="Q575" s="8" t="s">
        <v>31</v>
      </c>
      <c r="R575" s="8" t="s">
        <v>31</v>
      </c>
      <c r="S575" s="8" t="s">
        <v>31</v>
      </c>
      <c r="T575" s="8" t="s">
        <v>31</v>
      </c>
      <c r="U575" s="8" t="s">
        <v>31</v>
      </c>
      <c r="V575" s="8" t="s">
        <v>31</v>
      </c>
      <c r="W575" s="8" t="str">
        <f>_xlfn.IFNA(VLOOKUP(A575,[1]Sheet1!$A$1:$B$101,1,FALSE),"na")</f>
        <v>na</v>
      </c>
      <c r="X575" s="8" t="s">
        <v>35</v>
      </c>
      <c r="Y575" s="9">
        <v>168</v>
      </c>
      <c r="Z575" s="9">
        <v>140</v>
      </c>
      <c r="AA575" s="9">
        <v>168</v>
      </c>
      <c r="AB575" s="9">
        <v>168</v>
      </c>
    </row>
    <row r="576" spans="1:28" x14ac:dyDescent="0.25">
      <c r="A576" s="8" t="s">
        <v>1227</v>
      </c>
      <c r="B576" s="8" t="s">
        <v>1228</v>
      </c>
      <c r="C576" s="8" t="s">
        <v>67</v>
      </c>
      <c r="D576" s="10">
        <v>2</v>
      </c>
      <c r="E576" s="10">
        <v>1</v>
      </c>
      <c r="F576" s="10">
        <v>1</v>
      </c>
      <c r="G576" s="10">
        <v>1</v>
      </c>
      <c r="H576" s="10">
        <v>1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8" t="s">
        <v>57</v>
      </c>
      <c r="P576" s="8" t="s">
        <v>31</v>
      </c>
      <c r="Q576" s="8" t="s">
        <v>31</v>
      </c>
      <c r="R576" s="8" t="s">
        <v>31</v>
      </c>
      <c r="S576" s="8" t="s">
        <v>31</v>
      </c>
      <c r="T576" s="8" t="s">
        <v>31</v>
      </c>
      <c r="U576" s="8" t="s">
        <v>31</v>
      </c>
      <c r="V576" s="8" t="s">
        <v>31</v>
      </c>
      <c r="W576" s="8" t="str">
        <f>_xlfn.IFNA(VLOOKUP(A576,[1]Sheet1!$A$1:$B$101,1,FALSE),"na")</f>
        <v>na</v>
      </c>
      <c r="X576" s="8" t="s">
        <v>35</v>
      </c>
      <c r="Y576" s="9">
        <v>281</v>
      </c>
      <c r="Z576" s="9">
        <v>140.5</v>
      </c>
      <c r="AA576" s="9">
        <v>281</v>
      </c>
      <c r="AB576" s="9">
        <v>281</v>
      </c>
    </row>
    <row r="577" spans="1:28" x14ac:dyDescent="0.25">
      <c r="A577" s="8" t="s">
        <v>1229</v>
      </c>
      <c r="B577" s="8" t="s">
        <v>1230</v>
      </c>
      <c r="C577" s="8" t="s">
        <v>30</v>
      </c>
      <c r="D577" s="10">
        <v>2.2000000000000002</v>
      </c>
      <c r="E577" s="10">
        <v>1</v>
      </c>
      <c r="F577" s="10">
        <v>1.2</v>
      </c>
      <c r="G577" s="10">
        <v>1</v>
      </c>
      <c r="H577" s="10">
        <v>1.2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0.2</v>
      </c>
      <c r="O577" s="8" t="s">
        <v>57</v>
      </c>
      <c r="P577" s="8" t="s">
        <v>31</v>
      </c>
      <c r="Q577" s="8" t="s">
        <v>31</v>
      </c>
      <c r="R577" s="8" t="s">
        <v>31</v>
      </c>
      <c r="S577" s="8" t="s">
        <v>31</v>
      </c>
      <c r="T577" s="8" t="s">
        <v>31</v>
      </c>
      <c r="U577" s="8" t="s">
        <v>31</v>
      </c>
      <c r="V577" s="8" t="s">
        <v>31</v>
      </c>
      <c r="W577" s="8" t="str">
        <f>_xlfn.IFNA(VLOOKUP(A577,[1]Sheet1!$A$1:$B$101,1,FALSE),"na")</f>
        <v>na</v>
      </c>
      <c r="X577" s="8" t="s">
        <v>35</v>
      </c>
      <c r="Y577" s="9">
        <v>272</v>
      </c>
      <c r="Z577" s="9">
        <v>123.63636</v>
      </c>
      <c r="AA577" s="9">
        <v>272</v>
      </c>
      <c r="AB577" s="9">
        <v>226.66666000000001</v>
      </c>
    </row>
    <row r="578" spans="1:28" x14ac:dyDescent="0.25">
      <c r="A578" s="8" t="s">
        <v>1231</v>
      </c>
      <c r="B578" s="8" t="s">
        <v>1232</v>
      </c>
      <c r="C578" s="8" t="s">
        <v>30</v>
      </c>
      <c r="D578" s="10">
        <v>2.2000000000000002</v>
      </c>
      <c r="E578" s="10">
        <v>1</v>
      </c>
      <c r="F578" s="10">
        <v>1.2</v>
      </c>
      <c r="G578" s="10">
        <v>1</v>
      </c>
      <c r="H578" s="10">
        <v>1.2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0.2</v>
      </c>
      <c r="O578" s="8" t="s">
        <v>31</v>
      </c>
      <c r="P578" s="8" t="s">
        <v>31</v>
      </c>
      <c r="Q578" s="8" t="s">
        <v>57</v>
      </c>
      <c r="R578" s="8" t="s">
        <v>31</v>
      </c>
      <c r="S578" s="8" t="s">
        <v>31</v>
      </c>
      <c r="T578" s="8" t="s">
        <v>31</v>
      </c>
      <c r="U578" s="8" t="s">
        <v>31</v>
      </c>
      <c r="V578" s="8" t="s">
        <v>31</v>
      </c>
      <c r="W578" s="8" t="str">
        <f>_xlfn.IFNA(VLOOKUP(A578,[1]Sheet1!$A$1:$B$101,1,FALSE),"na")</f>
        <v>na</v>
      </c>
      <c r="X578" s="8" t="s">
        <v>35</v>
      </c>
      <c r="Y578" s="9">
        <v>227</v>
      </c>
      <c r="Z578" s="9">
        <v>103.18182</v>
      </c>
      <c r="AA578" s="9">
        <v>227</v>
      </c>
      <c r="AB578" s="9">
        <v>189.16666000000001</v>
      </c>
    </row>
    <row r="579" spans="1:28" x14ac:dyDescent="0.25">
      <c r="A579" s="8" t="s">
        <v>1233</v>
      </c>
      <c r="B579" s="8" t="s">
        <v>1234</v>
      </c>
      <c r="C579" s="8" t="s">
        <v>38</v>
      </c>
      <c r="D579" s="10">
        <v>2.2000000000000002</v>
      </c>
      <c r="E579" s="10">
        <v>1</v>
      </c>
      <c r="F579" s="10">
        <v>1.2</v>
      </c>
      <c r="G579" s="10">
        <v>1</v>
      </c>
      <c r="H579" s="10">
        <v>1.2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0.2</v>
      </c>
      <c r="O579" s="8" t="s">
        <v>57</v>
      </c>
      <c r="P579" s="8" t="s">
        <v>31</v>
      </c>
      <c r="Q579" s="8" t="s">
        <v>31</v>
      </c>
      <c r="R579" s="8" t="s">
        <v>31</v>
      </c>
      <c r="S579" s="8" t="s">
        <v>31</v>
      </c>
      <c r="T579" s="8" t="s">
        <v>31</v>
      </c>
      <c r="U579" s="8" t="s">
        <v>31</v>
      </c>
      <c r="V579" s="8" t="s">
        <v>31</v>
      </c>
      <c r="W579" s="8" t="str">
        <f>_xlfn.IFNA(VLOOKUP(A579,[1]Sheet1!$A$1:$B$101,1,FALSE),"na")</f>
        <v>na</v>
      </c>
      <c r="X579" s="8" t="s">
        <v>35</v>
      </c>
      <c r="Y579" s="9">
        <v>602</v>
      </c>
      <c r="Z579" s="9">
        <v>273.63634999999999</v>
      </c>
      <c r="AA579" s="9">
        <v>602</v>
      </c>
      <c r="AB579" s="9">
        <v>501.66665999999998</v>
      </c>
    </row>
    <row r="580" spans="1:28" x14ac:dyDescent="0.25">
      <c r="A580" s="8" t="s">
        <v>1235</v>
      </c>
      <c r="B580" s="8" t="s">
        <v>1236</v>
      </c>
      <c r="C580" s="8" t="s">
        <v>62</v>
      </c>
      <c r="D580" s="10">
        <v>4.1333298999999997</v>
      </c>
      <c r="E580" s="10">
        <v>2</v>
      </c>
      <c r="F580" s="10">
        <v>2.1333300999999998</v>
      </c>
      <c r="G580" s="10">
        <v>2</v>
      </c>
      <c r="H580" s="10">
        <v>2.1333300999999998</v>
      </c>
      <c r="I580" s="10">
        <v>0</v>
      </c>
      <c r="J580" s="10">
        <v>0</v>
      </c>
      <c r="K580" s="10">
        <v>0</v>
      </c>
      <c r="L580" s="10">
        <v>1.0333300000000001</v>
      </c>
      <c r="M580" s="10">
        <v>0</v>
      </c>
      <c r="N580" s="10">
        <v>0.13333</v>
      </c>
      <c r="O580" s="8" t="s">
        <v>31</v>
      </c>
      <c r="P580" s="8" t="s">
        <v>31</v>
      </c>
      <c r="Q580" s="8" t="s">
        <v>31</v>
      </c>
      <c r="R580" s="8" t="s">
        <v>31</v>
      </c>
      <c r="S580" s="8" t="s">
        <v>31</v>
      </c>
      <c r="T580" s="8" t="s">
        <v>31</v>
      </c>
      <c r="U580" s="8" t="s">
        <v>31</v>
      </c>
      <c r="V580" s="8" t="s">
        <v>31</v>
      </c>
      <c r="W580" s="8" t="str">
        <f>_xlfn.IFNA(VLOOKUP(A580,[1]Sheet1!$A$1:$B$101,1,FALSE),"na")</f>
        <v>na</v>
      </c>
      <c r="X580" s="8" t="s">
        <v>437</v>
      </c>
      <c r="Y580" s="9">
        <v>388</v>
      </c>
      <c r="Z580" s="9">
        <v>93.871048000000002</v>
      </c>
      <c r="AA580" s="9">
        <v>194</v>
      </c>
      <c r="AB580" s="9">
        <v>181.87527</v>
      </c>
    </row>
    <row r="581" spans="1:28" x14ac:dyDescent="0.25">
      <c r="A581" s="8" t="s">
        <v>1237</v>
      </c>
      <c r="B581" s="8" t="s">
        <v>1238</v>
      </c>
      <c r="C581" s="8" t="s">
        <v>62</v>
      </c>
      <c r="D581" s="10">
        <v>3.1333300999999998</v>
      </c>
      <c r="E581" s="10">
        <v>2</v>
      </c>
      <c r="F581" s="10">
        <v>1.1333299999999999</v>
      </c>
      <c r="G581" s="10">
        <v>2</v>
      </c>
      <c r="H581" s="10">
        <v>1.1333299999999999</v>
      </c>
      <c r="I581" s="10">
        <v>0</v>
      </c>
      <c r="J581" s="10">
        <v>0</v>
      </c>
      <c r="K581" s="10">
        <v>0</v>
      </c>
      <c r="L581" s="10">
        <v>3.3330000999999998E-2</v>
      </c>
      <c r="M581" s="10">
        <v>0</v>
      </c>
      <c r="N581" s="10">
        <v>0.13333</v>
      </c>
      <c r="O581" s="8" t="s">
        <v>31</v>
      </c>
      <c r="P581" s="8" t="s">
        <v>31</v>
      </c>
      <c r="Q581" s="8" t="s">
        <v>31</v>
      </c>
      <c r="R581" s="8" t="s">
        <v>31</v>
      </c>
      <c r="S581" s="8" t="s">
        <v>31</v>
      </c>
      <c r="T581" s="8" t="s">
        <v>31</v>
      </c>
      <c r="U581" s="8" t="s">
        <v>31</v>
      </c>
      <c r="V581" s="8" t="s">
        <v>31</v>
      </c>
      <c r="W581" s="8" t="str">
        <f>_xlfn.IFNA(VLOOKUP(A581,[1]Sheet1!$A$1:$B$101,1,FALSE),"na")</f>
        <v>na</v>
      </c>
      <c r="X581" s="8" t="s">
        <v>35</v>
      </c>
      <c r="Y581" s="9">
        <v>373</v>
      </c>
      <c r="Z581" s="9">
        <v>119.04268</v>
      </c>
      <c r="AA581" s="9">
        <v>186.5</v>
      </c>
      <c r="AB581" s="9">
        <v>329.11862000000002</v>
      </c>
    </row>
    <row r="582" spans="1:28" x14ac:dyDescent="0.25">
      <c r="A582" s="8" t="s">
        <v>1239</v>
      </c>
      <c r="B582" s="8" t="s">
        <v>1240</v>
      </c>
      <c r="C582" s="8" t="s">
        <v>62</v>
      </c>
      <c r="D582" s="10">
        <v>2.1199998999999998</v>
      </c>
      <c r="E582" s="10">
        <v>1</v>
      </c>
      <c r="F582" s="10">
        <v>1.1200000000000001</v>
      </c>
      <c r="G582" s="10">
        <v>1</v>
      </c>
      <c r="H582" s="10">
        <v>1.1200000000000001</v>
      </c>
      <c r="I582" s="10">
        <v>0</v>
      </c>
      <c r="J582" s="10">
        <v>0</v>
      </c>
      <c r="K582" s="10">
        <v>0</v>
      </c>
      <c r="L582" s="10">
        <v>3.9999999000000001E-2</v>
      </c>
      <c r="M582" s="10">
        <v>0</v>
      </c>
      <c r="N582" s="10">
        <v>0.12</v>
      </c>
      <c r="O582" s="8" t="s">
        <v>57</v>
      </c>
      <c r="P582" s="8" t="s">
        <v>31</v>
      </c>
      <c r="Q582" s="8" t="s">
        <v>31</v>
      </c>
      <c r="R582" s="8" t="s">
        <v>31</v>
      </c>
      <c r="S582" s="8" t="s">
        <v>31</v>
      </c>
      <c r="T582" s="8" t="s">
        <v>31</v>
      </c>
      <c r="U582" s="8" t="s">
        <v>31</v>
      </c>
      <c r="V582" s="8" t="s">
        <v>31</v>
      </c>
      <c r="W582" s="8" t="str">
        <f>_xlfn.IFNA(VLOOKUP(A582,[1]Sheet1!$A$1:$B$101,1,FALSE),"na")</f>
        <v>na</v>
      </c>
      <c r="X582" s="8" t="s">
        <v>35</v>
      </c>
      <c r="Y582" s="9">
        <v>286</v>
      </c>
      <c r="Z582" s="9">
        <v>134.90566999999999</v>
      </c>
      <c r="AA582" s="9">
        <v>286</v>
      </c>
      <c r="AB582" s="9">
        <v>255.35714999999999</v>
      </c>
    </row>
    <row r="583" spans="1:28" x14ac:dyDescent="0.25">
      <c r="A583" s="8" t="s">
        <v>1241</v>
      </c>
      <c r="B583" s="8" t="s">
        <v>1242</v>
      </c>
      <c r="C583" s="8" t="s">
        <v>62</v>
      </c>
      <c r="D583" s="10">
        <v>3.1199998999999998</v>
      </c>
      <c r="E583" s="10">
        <v>2</v>
      </c>
      <c r="F583" s="10">
        <v>1.1200000000000001</v>
      </c>
      <c r="G583" s="10">
        <v>2</v>
      </c>
      <c r="H583" s="10">
        <v>1.1200000000000001</v>
      </c>
      <c r="I583" s="10">
        <v>0</v>
      </c>
      <c r="J583" s="10">
        <v>0</v>
      </c>
      <c r="K583" s="10">
        <v>0</v>
      </c>
      <c r="L583" s="10">
        <v>3.9999999000000001E-2</v>
      </c>
      <c r="M583" s="10">
        <v>0</v>
      </c>
      <c r="N583" s="10">
        <v>0.12</v>
      </c>
      <c r="O583" s="8" t="s">
        <v>57</v>
      </c>
      <c r="P583" s="8" t="s">
        <v>31</v>
      </c>
      <c r="Q583" s="8" t="s">
        <v>31</v>
      </c>
      <c r="R583" s="8" t="s">
        <v>31</v>
      </c>
      <c r="S583" s="8" t="s">
        <v>31</v>
      </c>
      <c r="T583" s="8" t="s">
        <v>57</v>
      </c>
      <c r="U583" s="8" t="s">
        <v>31</v>
      </c>
      <c r="V583" s="8" t="s">
        <v>31</v>
      </c>
      <c r="W583" s="8" t="str">
        <f>_xlfn.IFNA(VLOOKUP(A583,[1]Sheet1!$A$1:$B$101,1,FALSE),"na")</f>
        <v>na</v>
      </c>
      <c r="X583" s="8" t="s">
        <v>35</v>
      </c>
      <c r="Y583" s="9">
        <v>410</v>
      </c>
      <c r="Z583" s="9">
        <v>131.41025999999999</v>
      </c>
      <c r="AA583" s="9">
        <v>205</v>
      </c>
      <c r="AB583" s="9">
        <v>366.07144</v>
      </c>
    </row>
    <row r="584" spans="1:28" x14ac:dyDescent="0.25">
      <c r="A584" s="8" t="s">
        <v>1243</v>
      </c>
      <c r="B584" s="8" t="s">
        <v>1244</v>
      </c>
      <c r="C584" s="8" t="s">
        <v>67</v>
      </c>
      <c r="D584" s="10">
        <v>2.1333300999999998</v>
      </c>
      <c r="E584" s="10">
        <v>1</v>
      </c>
      <c r="F584" s="10">
        <v>1.1333299999999999</v>
      </c>
      <c r="G584" s="10">
        <v>1</v>
      </c>
      <c r="H584" s="10">
        <v>1.1333299999999999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0.13333</v>
      </c>
      <c r="O584" s="8" t="s">
        <v>31</v>
      </c>
      <c r="P584" s="8" t="s">
        <v>31</v>
      </c>
      <c r="Q584" s="8" t="s">
        <v>31</v>
      </c>
      <c r="R584" s="8" t="s">
        <v>31</v>
      </c>
      <c r="S584" s="8" t="s">
        <v>31</v>
      </c>
      <c r="T584" s="8" t="s">
        <v>31</v>
      </c>
      <c r="U584" s="8" t="s">
        <v>31</v>
      </c>
      <c r="V584" s="8" t="s">
        <v>31</v>
      </c>
      <c r="W584" s="8" t="str">
        <f>_xlfn.IFNA(VLOOKUP(A584,[1]Sheet1!$A$1:$B$101,1,FALSE),"na")</f>
        <v>na</v>
      </c>
      <c r="X584" s="8" t="s">
        <v>35</v>
      </c>
      <c r="Y584" s="9">
        <v>310</v>
      </c>
      <c r="Z584" s="9">
        <v>145.31271000000001</v>
      </c>
      <c r="AA584" s="9">
        <v>310</v>
      </c>
      <c r="AB584" s="9">
        <v>273.53021000000001</v>
      </c>
    </row>
    <row r="585" spans="1:28" x14ac:dyDescent="0.25">
      <c r="A585" s="8" t="s">
        <v>1245</v>
      </c>
      <c r="B585" s="8" t="s">
        <v>1246</v>
      </c>
      <c r="C585" s="8" t="s">
        <v>67</v>
      </c>
      <c r="D585" s="10">
        <v>1.1333299999999999</v>
      </c>
      <c r="E585" s="10">
        <v>1</v>
      </c>
      <c r="F585" s="10">
        <v>0.13333</v>
      </c>
      <c r="G585" s="10">
        <v>1</v>
      </c>
      <c r="H585" s="10">
        <v>0.13333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0.13333</v>
      </c>
      <c r="O585" s="8" t="s">
        <v>31</v>
      </c>
      <c r="P585" s="8" t="s">
        <v>31</v>
      </c>
      <c r="Q585" s="8" t="s">
        <v>31</v>
      </c>
      <c r="R585" s="8" t="s">
        <v>31</v>
      </c>
      <c r="S585" s="8" t="s">
        <v>31</v>
      </c>
      <c r="T585" s="8" t="s">
        <v>31</v>
      </c>
      <c r="U585" s="8" t="s">
        <v>31</v>
      </c>
      <c r="V585" s="8" t="s">
        <v>31</v>
      </c>
      <c r="W585" s="8" t="str">
        <f>_xlfn.IFNA(VLOOKUP(A585,[1]Sheet1!$A$1:$B$101,1,FALSE),"na")</f>
        <v>na</v>
      </c>
      <c r="X585" s="8" t="s">
        <v>35</v>
      </c>
      <c r="Y585" s="9">
        <v>300</v>
      </c>
      <c r="Z585" s="9">
        <v>264.70666999999997</v>
      </c>
      <c r="AA585" s="9">
        <v>300</v>
      </c>
      <c r="AB585" s="9">
        <v>300</v>
      </c>
    </row>
    <row r="586" spans="1:28" x14ac:dyDescent="0.25">
      <c r="A586" s="8" t="s">
        <v>1247</v>
      </c>
      <c r="B586" s="8" t="s">
        <v>1248</v>
      </c>
      <c r="C586" s="8" t="s">
        <v>62</v>
      </c>
      <c r="D586" s="10">
        <v>4.1333298999999997</v>
      </c>
      <c r="E586" s="10">
        <v>3</v>
      </c>
      <c r="F586" s="10">
        <v>1.1333299999999999</v>
      </c>
      <c r="G586" s="10">
        <v>3</v>
      </c>
      <c r="H586" s="10">
        <v>1.1333299999999999</v>
      </c>
      <c r="I586" s="10">
        <v>0</v>
      </c>
      <c r="J586" s="10">
        <v>0</v>
      </c>
      <c r="K586" s="10">
        <v>0</v>
      </c>
      <c r="L586" s="10">
        <v>3.3330000999999998E-2</v>
      </c>
      <c r="M586" s="10">
        <v>0</v>
      </c>
      <c r="N586" s="10">
        <v>0.13333</v>
      </c>
      <c r="O586" s="8" t="s">
        <v>31</v>
      </c>
      <c r="P586" s="8" t="s">
        <v>31</v>
      </c>
      <c r="Q586" s="8" t="s">
        <v>31</v>
      </c>
      <c r="R586" s="8" t="s">
        <v>31</v>
      </c>
      <c r="S586" s="8" t="s">
        <v>31</v>
      </c>
      <c r="T586" s="8" t="s">
        <v>31</v>
      </c>
      <c r="U586" s="8" t="s">
        <v>31</v>
      </c>
      <c r="V586" s="8" t="s">
        <v>31</v>
      </c>
      <c r="W586" s="8" t="str">
        <f>_xlfn.IFNA(VLOOKUP(A586,[1]Sheet1!$A$1:$B$101,1,FALSE),"na")</f>
        <v>na</v>
      </c>
      <c r="X586" s="8" t="s">
        <v>35</v>
      </c>
      <c r="Y586" s="9">
        <v>449</v>
      </c>
      <c r="Z586" s="9">
        <v>108.62912</v>
      </c>
      <c r="AA586" s="9">
        <v>149.66667000000001</v>
      </c>
      <c r="AB586" s="9">
        <v>396.17764</v>
      </c>
    </row>
    <row r="587" spans="1:28" x14ac:dyDescent="0.25">
      <c r="A587" s="8" t="s">
        <v>1249</v>
      </c>
      <c r="B587" s="8" t="s">
        <v>1250</v>
      </c>
      <c r="C587" s="8" t="s">
        <v>62</v>
      </c>
      <c r="D587" s="10">
        <v>2.7142799000000002</v>
      </c>
      <c r="E587" s="10">
        <v>1.6</v>
      </c>
      <c r="F587" s="10">
        <v>1.1142799999999999</v>
      </c>
      <c r="G587" s="10">
        <v>1</v>
      </c>
      <c r="H587" s="10">
        <v>1.1142799999999999</v>
      </c>
      <c r="I587" s="10">
        <v>0.60000001999999997</v>
      </c>
      <c r="J587" s="10">
        <v>0</v>
      </c>
      <c r="K587" s="10">
        <v>0</v>
      </c>
      <c r="L587" s="10">
        <v>5.7140000000000003E-2</v>
      </c>
      <c r="M587" s="10">
        <v>0</v>
      </c>
      <c r="N587" s="10">
        <v>0.11428000000000001</v>
      </c>
      <c r="O587" s="8" t="s">
        <v>31</v>
      </c>
      <c r="P587" s="8" t="s">
        <v>31</v>
      </c>
      <c r="Q587" s="8" t="s">
        <v>31</v>
      </c>
      <c r="R587" s="8" t="s">
        <v>57</v>
      </c>
      <c r="S587" s="8" t="s">
        <v>31</v>
      </c>
      <c r="T587" s="8" t="s">
        <v>31</v>
      </c>
      <c r="U587" s="8" t="s">
        <v>31</v>
      </c>
      <c r="V587" s="8" t="s">
        <v>31</v>
      </c>
      <c r="W587" s="8" t="str">
        <f>_xlfn.IFNA(VLOOKUP(A587,[1]Sheet1!$A$1:$B$101,1,FALSE),"na")</f>
        <v>na</v>
      </c>
      <c r="X587" s="8" t="s">
        <v>35</v>
      </c>
      <c r="Y587" s="9">
        <v>295</v>
      </c>
      <c r="Z587" s="9">
        <v>108.68444</v>
      </c>
      <c r="AA587" s="9">
        <v>184.375</v>
      </c>
      <c r="AB587" s="9">
        <v>264.74495999999999</v>
      </c>
    </row>
    <row r="588" spans="1:28" x14ac:dyDescent="0.25">
      <c r="A588" s="8" t="s">
        <v>1251</v>
      </c>
      <c r="B588" s="8" t="s">
        <v>1252</v>
      </c>
      <c r="C588" s="8" t="s">
        <v>62</v>
      </c>
      <c r="D588" s="10">
        <v>3.1142799999999999</v>
      </c>
      <c r="E588" s="10">
        <v>2</v>
      </c>
      <c r="F588" s="10">
        <v>1.1142799999999999</v>
      </c>
      <c r="G588" s="10">
        <v>2</v>
      </c>
      <c r="H588" s="10">
        <v>1.1142799999999999</v>
      </c>
      <c r="I588" s="10">
        <v>0</v>
      </c>
      <c r="J588" s="10">
        <v>0</v>
      </c>
      <c r="K588" s="10">
        <v>0</v>
      </c>
      <c r="L588" s="10">
        <v>5.7140000000000003E-2</v>
      </c>
      <c r="M588" s="10">
        <v>0</v>
      </c>
      <c r="N588" s="10">
        <v>0.11428000000000001</v>
      </c>
      <c r="O588" s="8" t="s">
        <v>57</v>
      </c>
      <c r="P588" s="8" t="s">
        <v>31</v>
      </c>
      <c r="Q588" s="8" t="s">
        <v>31</v>
      </c>
      <c r="R588" s="8" t="s">
        <v>31</v>
      </c>
      <c r="S588" s="8" t="s">
        <v>31</v>
      </c>
      <c r="T588" s="8" t="s">
        <v>31</v>
      </c>
      <c r="U588" s="8" t="s">
        <v>31</v>
      </c>
      <c r="V588" s="8" t="s">
        <v>31</v>
      </c>
      <c r="W588" s="8" t="str">
        <f>_xlfn.IFNA(VLOOKUP(A588,[1]Sheet1!$A$1:$B$101,1,FALSE),"na")</f>
        <v>na</v>
      </c>
      <c r="X588" s="8" t="s">
        <v>35</v>
      </c>
      <c r="Y588" s="9">
        <v>370</v>
      </c>
      <c r="Z588" s="9">
        <v>118.80756</v>
      </c>
      <c r="AA588" s="9">
        <v>185</v>
      </c>
      <c r="AB588" s="9">
        <v>332.05297999999999</v>
      </c>
    </row>
    <row r="589" spans="1:28" x14ac:dyDescent="0.25">
      <c r="A589" s="8" t="s">
        <v>1253</v>
      </c>
      <c r="B589" s="8" t="s">
        <v>1254</v>
      </c>
      <c r="C589" s="8" t="s">
        <v>67</v>
      </c>
      <c r="D589" s="10">
        <v>3</v>
      </c>
      <c r="E589" s="10">
        <v>1</v>
      </c>
      <c r="F589" s="10">
        <v>2</v>
      </c>
      <c r="G589" s="10">
        <v>1</v>
      </c>
      <c r="H589" s="10">
        <v>2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8" t="s">
        <v>31</v>
      </c>
      <c r="P589" s="8" t="s">
        <v>31</v>
      </c>
      <c r="Q589" s="8" t="s">
        <v>31</v>
      </c>
      <c r="R589" s="8" t="s">
        <v>31</v>
      </c>
      <c r="S589" s="8" t="s">
        <v>31</v>
      </c>
      <c r="T589" s="8" t="s">
        <v>31</v>
      </c>
      <c r="U589" s="8" t="s">
        <v>31</v>
      </c>
      <c r="V589" s="8" t="s">
        <v>31</v>
      </c>
      <c r="W589" s="8" t="str">
        <f>_xlfn.IFNA(VLOOKUP(A589,[1]Sheet1!$A$1:$B$101,1,FALSE),"na")</f>
        <v>na</v>
      </c>
      <c r="X589" s="8" t="s">
        <v>35</v>
      </c>
      <c r="Y589" s="9">
        <v>304</v>
      </c>
      <c r="Z589" s="9">
        <v>101.33334000000001</v>
      </c>
      <c r="AA589" s="9">
        <v>304</v>
      </c>
      <c r="AB589" s="9">
        <v>152</v>
      </c>
    </row>
    <row r="590" spans="1:28" x14ac:dyDescent="0.25">
      <c r="A590" s="8" t="s">
        <v>1255</v>
      </c>
      <c r="B590" s="8" t="s">
        <v>1256</v>
      </c>
      <c r="C590" s="8" t="s">
        <v>67</v>
      </c>
      <c r="D590" s="10">
        <v>2.2000000000000002</v>
      </c>
      <c r="E590" s="10">
        <v>1</v>
      </c>
      <c r="F590" s="10">
        <v>1.2</v>
      </c>
      <c r="G590" s="10">
        <v>1</v>
      </c>
      <c r="H590" s="10">
        <v>1.2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0.2</v>
      </c>
      <c r="O590" s="8" t="s">
        <v>57</v>
      </c>
      <c r="P590" s="8" t="s">
        <v>31</v>
      </c>
      <c r="Q590" s="8" t="s">
        <v>31</v>
      </c>
      <c r="R590" s="8" t="s">
        <v>31</v>
      </c>
      <c r="S590" s="8" t="s">
        <v>31</v>
      </c>
      <c r="T590" s="8" t="s">
        <v>31</v>
      </c>
      <c r="U590" s="8" t="s">
        <v>31</v>
      </c>
      <c r="V590" s="8" t="s">
        <v>31</v>
      </c>
      <c r="W590" s="8" t="str">
        <f>_xlfn.IFNA(VLOOKUP(A590,[1]Sheet1!$A$1:$B$101,1,FALSE),"na")</f>
        <v>na</v>
      </c>
      <c r="X590" s="8" t="s">
        <v>35</v>
      </c>
      <c r="Y590" s="9">
        <v>287</v>
      </c>
      <c r="Z590" s="9">
        <v>130.45454000000001</v>
      </c>
      <c r="AA590" s="9">
        <v>287</v>
      </c>
      <c r="AB590" s="9">
        <v>239.16666000000001</v>
      </c>
    </row>
    <row r="591" spans="1:28" x14ac:dyDescent="0.25">
      <c r="A591" s="8" t="s">
        <v>1257</v>
      </c>
      <c r="B591" s="8" t="s">
        <v>1258</v>
      </c>
      <c r="C591" s="8" t="s">
        <v>30</v>
      </c>
      <c r="D591" s="10">
        <v>3.4000001000000002</v>
      </c>
      <c r="E591" s="10">
        <v>2</v>
      </c>
      <c r="F591" s="10">
        <v>1.4</v>
      </c>
      <c r="G591" s="10">
        <v>2</v>
      </c>
      <c r="H591" s="10">
        <v>1.4</v>
      </c>
      <c r="I591" s="10">
        <v>0</v>
      </c>
      <c r="J591" s="10">
        <v>0</v>
      </c>
      <c r="K591" s="10">
        <v>0</v>
      </c>
      <c r="L591" s="10">
        <v>0.40000001000000002</v>
      </c>
      <c r="M591" s="10">
        <v>0</v>
      </c>
      <c r="N591" s="10">
        <v>0.40000001000000002</v>
      </c>
      <c r="O591" s="8" t="s">
        <v>57</v>
      </c>
      <c r="P591" s="8" t="s">
        <v>31</v>
      </c>
      <c r="Q591" s="8" t="s">
        <v>31</v>
      </c>
      <c r="R591" s="8" t="s">
        <v>31</v>
      </c>
      <c r="S591" s="8" t="s">
        <v>31</v>
      </c>
      <c r="T591" s="8" t="s">
        <v>31</v>
      </c>
      <c r="U591" s="8" t="s">
        <v>31</v>
      </c>
      <c r="V591" s="8" t="s">
        <v>31</v>
      </c>
      <c r="W591" s="8" t="str">
        <f>_xlfn.IFNA(VLOOKUP(A591,[1]Sheet1!$A$1:$B$101,1,FALSE),"na")</f>
        <v>na</v>
      </c>
      <c r="X591" s="8" t="s">
        <v>35</v>
      </c>
      <c r="Y591" s="9">
        <v>313</v>
      </c>
      <c r="Z591" s="9">
        <v>92.058823000000004</v>
      </c>
      <c r="AA591" s="9">
        <v>156.5</v>
      </c>
      <c r="AB591" s="9">
        <v>223.57142999999999</v>
      </c>
    </row>
    <row r="592" spans="1:28" x14ac:dyDescent="0.25">
      <c r="A592" s="8" t="s">
        <v>1259</v>
      </c>
      <c r="B592" s="8" t="s">
        <v>1260</v>
      </c>
      <c r="C592" s="8" t="s">
        <v>30</v>
      </c>
      <c r="D592" s="10">
        <v>3.4000001000000002</v>
      </c>
      <c r="E592" s="10">
        <v>1</v>
      </c>
      <c r="F592" s="10">
        <v>2.4000001000000002</v>
      </c>
      <c r="G592" s="10">
        <v>1</v>
      </c>
      <c r="H592" s="10">
        <v>2.4000001000000002</v>
      </c>
      <c r="I592" s="10">
        <v>0</v>
      </c>
      <c r="J592" s="10">
        <v>0</v>
      </c>
      <c r="K592" s="10">
        <v>0</v>
      </c>
      <c r="L592" s="10">
        <v>0.30000000999999998</v>
      </c>
      <c r="M592" s="10">
        <v>0</v>
      </c>
      <c r="N592" s="10">
        <v>0.40000001000000002</v>
      </c>
      <c r="O592" s="8" t="s">
        <v>31</v>
      </c>
      <c r="P592" s="8" t="s">
        <v>31</v>
      </c>
      <c r="Q592" s="8" t="s">
        <v>57</v>
      </c>
      <c r="R592" s="8" t="s">
        <v>31</v>
      </c>
      <c r="S592" s="8" t="s">
        <v>31</v>
      </c>
      <c r="T592" s="8" t="s">
        <v>31</v>
      </c>
      <c r="U592" s="8" t="s">
        <v>31</v>
      </c>
      <c r="V592" s="8" t="s">
        <v>31</v>
      </c>
      <c r="W592" s="8" t="str">
        <f>_xlfn.IFNA(VLOOKUP(A592,[1]Sheet1!$A$1:$B$101,1,FALSE),"na")</f>
        <v>na</v>
      </c>
      <c r="X592" s="8" t="s">
        <v>51</v>
      </c>
      <c r="Y592" s="9">
        <v>433</v>
      </c>
      <c r="Z592" s="9">
        <v>127.35294</v>
      </c>
      <c r="AA592" s="9">
        <v>433</v>
      </c>
      <c r="AB592" s="9">
        <v>180.41666000000001</v>
      </c>
    </row>
    <row r="593" spans="1:28" x14ac:dyDescent="0.25">
      <c r="A593" s="8" t="s">
        <v>1261</v>
      </c>
      <c r="B593" s="8" t="s">
        <v>1262</v>
      </c>
      <c r="C593" s="8" t="s">
        <v>30</v>
      </c>
      <c r="D593" s="10">
        <v>2.4000001000000002</v>
      </c>
      <c r="E593" s="10">
        <v>1</v>
      </c>
      <c r="F593" s="10">
        <v>1.4</v>
      </c>
      <c r="G593" s="10">
        <v>1</v>
      </c>
      <c r="H593" s="10">
        <v>1.4</v>
      </c>
      <c r="I593" s="10">
        <v>0</v>
      </c>
      <c r="J593" s="10">
        <v>0</v>
      </c>
      <c r="K593" s="10">
        <v>0</v>
      </c>
      <c r="L593" s="10">
        <v>0.40000001000000002</v>
      </c>
      <c r="M593" s="10">
        <v>0</v>
      </c>
      <c r="N593" s="10">
        <v>0.40000001000000002</v>
      </c>
      <c r="O593" s="8" t="s">
        <v>31</v>
      </c>
      <c r="P593" s="8" t="s">
        <v>31</v>
      </c>
      <c r="Q593" s="8" t="s">
        <v>57</v>
      </c>
      <c r="R593" s="8" t="s">
        <v>31</v>
      </c>
      <c r="S593" s="8" t="s">
        <v>31</v>
      </c>
      <c r="T593" s="8" t="s">
        <v>31</v>
      </c>
      <c r="U593" s="8" t="s">
        <v>31</v>
      </c>
      <c r="V593" s="8" t="s">
        <v>31</v>
      </c>
      <c r="W593" s="8" t="str">
        <f>_xlfn.IFNA(VLOOKUP(A593,[1]Sheet1!$A$1:$B$101,1,FALSE),"na")</f>
        <v>na</v>
      </c>
      <c r="X593" s="8" t="s">
        <v>1263</v>
      </c>
      <c r="Y593" s="9">
        <v>184</v>
      </c>
      <c r="Z593" s="9">
        <v>76.666663999999997</v>
      </c>
      <c r="AA593" s="9">
        <v>184</v>
      </c>
      <c r="AB593" s="9">
        <v>131.42857000000001</v>
      </c>
    </row>
    <row r="594" spans="1:28" x14ac:dyDescent="0.25">
      <c r="A594" s="8" t="s">
        <v>1264</v>
      </c>
      <c r="B594" s="8" t="s">
        <v>1265</v>
      </c>
      <c r="C594" s="8" t="s">
        <v>30</v>
      </c>
      <c r="D594" s="10">
        <v>3</v>
      </c>
      <c r="E594" s="10">
        <v>1</v>
      </c>
      <c r="F594" s="10">
        <v>2</v>
      </c>
      <c r="G594" s="10">
        <v>1</v>
      </c>
      <c r="H594" s="10">
        <v>2</v>
      </c>
      <c r="I594" s="10">
        <v>0</v>
      </c>
      <c r="J594" s="10">
        <v>0</v>
      </c>
      <c r="K594" s="10">
        <v>0</v>
      </c>
      <c r="L594" s="10">
        <v>0.40000001000000002</v>
      </c>
      <c r="M594" s="10">
        <v>0</v>
      </c>
      <c r="N594" s="10">
        <v>1</v>
      </c>
      <c r="O594" s="8" t="s">
        <v>31</v>
      </c>
      <c r="P594" s="8" t="s">
        <v>31</v>
      </c>
      <c r="Q594" s="8" t="s">
        <v>31</v>
      </c>
      <c r="R594" s="8" t="s">
        <v>31</v>
      </c>
      <c r="S594" s="8" t="s">
        <v>31</v>
      </c>
      <c r="T594" s="8" t="s">
        <v>31</v>
      </c>
      <c r="U594" s="8" t="s">
        <v>31</v>
      </c>
      <c r="V594" s="8" t="s">
        <v>31</v>
      </c>
      <c r="W594" s="8" t="str">
        <f>_xlfn.IFNA(VLOOKUP(A594,[1]Sheet1!$A$1:$B$101,1,FALSE),"na")</f>
        <v>na</v>
      </c>
      <c r="X594" s="8" t="s">
        <v>35</v>
      </c>
      <c r="Y594" s="9">
        <v>801</v>
      </c>
      <c r="Z594" s="9">
        <v>267</v>
      </c>
      <c r="AA594" s="9">
        <v>801</v>
      </c>
      <c r="AB594" s="9">
        <v>400.5</v>
      </c>
    </row>
    <row r="595" spans="1:28" x14ac:dyDescent="0.25">
      <c r="A595" s="8" t="s">
        <v>1266</v>
      </c>
      <c r="B595" s="8" t="s">
        <v>1267</v>
      </c>
      <c r="C595" s="8" t="s">
        <v>30</v>
      </c>
      <c r="D595" s="10">
        <v>2.2999999999999998</v>
      </c>
      <c r="E595" s="10">
        <v>1</v>
      </c>
      <c r="F595" s="10">
        <v>1.3</v>
      </c>
      <c r="G595" s="10">
        <v>1</v>
      </c>
      <c r="H595" s="10">
        <v>1.3</v>
      </c>
      <c r="I595" s="10">
        <v>0</v>
      </c>
      <c r="J595" s="10">
        <v>0</v>
      </c>
      <c r="K595" s="10">
        <v>0</v>
      </c>
      <c r="L595" s="10">
        <v>0.30000000999999998</v>
      </c>
      <c r="M595" s="10">
        <v>0</v>
      </c>
      <c r="N595" s="10">
        <v>0.30000000999999998</v>
      </c>
      <c r="O595" s="8" t="s">
        <v>31</v>
      </c>
      <c r="P595" s="8" t="s">
        <v>31</v>
      </c>
      <c r="Q595" s="8" t="s">
        <v>57</v>
      </c>
      <c r="R595" s="8" t="s">
        <v>31</v>
      </c>
      <c r="S595" s="8" t="s">
        <v>31</v>
      </c>
      <c r="T595" s="8" t="s">
        <v>31</v>
      </c>
      <c r="U595" s="8" t="s">
        <v>31</v>
      </c>
      <c r="V595" s="8" t="s">
        <v>31</v>
      </c>
      <c r="W595" s="8" t="str">
        <f>_xlfn.IFNA(VLOOKUP(A595,[1]Sheet1!$A$1:$B$101,1,FALSE),"na")</f>
        <v>na</v>
      </c>
      <c r="X595" s="8" t="s">
        <v>35</v>
      </c>
      <c r="Y595" s="9">
        <v>349</v>
      </c>
      <c r="Z595" s="9">
        <v>151.73913999999999</v>
      </c>
      <c r="AA595" s="9">
        <v>349</v>
      </c>
      <c r="AB595" s="9">
        <v>268.46154999999999</v>
      </c>
    </row>
    <row r="596" spans="1:28" x14ac:dyDescent="0.25">
      <c r="A596" s="8" t="s">
        <v>1268</v>
      </c>
      <c r="B596" s="8" t="s">
        <v>1269</v>
      </c>
      <c r="C596" s="8" t="s">
        <v>30</v>
      </c>
      <c r="D596" s="10">
        <v>2.2000000000000002</v>
      </c>
      <c r="E596" s="10">
        <v>1</v>
      </c>
      <c r="F596" s="10">
        <v>1.2</v>
      </c>
      <c r="G596" s="10">
        <v>1</v>
      </c>
      <c r="H596" s="10">
        <v>1.2</v>
      </c>
      <c r="I596" s="10">
        <v>0</v>
      </c>
      <c r="J596" s="10">
        <v>0</v>
      </c>
      <c r="K596" s="10">
        <v>0</v>
      </c>
      <c r="L596" s="10">
        <v>0.2</v>
      </c>
      <c r="M596" s="10">
        <v>0</v>
      </c>
      <c r="N596" s="10">
        <v>0.2</v>
      </c>
      <c r="O596" s="8" t="s">
        <v>31</v>
      </c>
      <c r="P596" s="8" t="s">
        <v>57</v>
      </c>
      <c r="Q596" s="8" t="s">
        <v>31</v>
      </c>
      <c r="R596" s="8" t="s">
        <v>31</v>
      </c>
      <c r="S596" s="8" t="s">
        <v>31</v>
      </c>
      <c r="T596" s="8" t="s">
        <v>31</v>
      </c>
      <c r="U596" s="8" t="s">
        <v>31</v>
      </c>
      <c r="V596" s="8" t="s">
        <v>31</v>
      </c>
      <c r="W596" s="8" t="str">
        <f>_xlfn.IFNA(VLOOKUP(A596,[1]Sheet1!$A$1:$B$101,1,FALSE),"na")</f>
        <v>na</v>
      </c>
      <c r="X596" s="8" t="s">
        <v>484</v>
      </c>
      <c r="Y596" s="9">
        <v>181</v>
      </c>
      <c r="Z596" s="9">
        <v>82.272728000000001</v>
      </c>
      <c r="AA596" s="9">
        <v>181</v>
      </c>
      <c r="AB596" s="9">
        <v>150.83332999999999</v>
      </c>
    </row>
    <row r="597" spans="1:28" x14ac:dyDescent="0.25">
      <c r="A597" s="8" t="s">
        <v>1270</v>
      </c>
      <c r="B597" s="8" t="s">
        <v>1271</v>
      </c>
      <c r="C597" s="8" t="s">
        <v>30</v>
      </c>
      <c r="D597" s="10">
        <v>2.5</v>
      </c>
      <c r="E597" s="10">
        <v>1</v>
      </c>
      <c r="F597" s="10">
        <v>1.5</v>
      </c>
      <c r="G597" s="10">
        <v>1</v>
      </c>
      <c r="H597" s="10">
        <v>1.5</v>
      </c>
      <c r="I597" s="10">
        <v>0</v>
      </c>
      <c r="J597" s="10">
        <v>0</v>
      </c>
      <c r="K597" s="10">
        <v>0</v>
      </c>
      <c r="L597" s="10">
        <v>0.30000000999999998</v>
      </c>
      <c r="M597" s="10">
        <v>0</v>
      </c>
      <c r="N597" s="10">
        <v>0.5</v>
      </c>
      <c r="O597" s="8" t="s">
        <v>31</v>
      </c>
      <c r="P597" s="8" t="s">
        <v>31</v>
      </c>
      <c r="Q597" s="8" t="s">
        <v>31</v>
      </c>
      <c r="R597" s="8" t="s">
        <v>31</v>
      </c>
      <c r="S597" s="8" t="s">
        <v>31</v>
      </c>
      <c r="T597" s="8" t="s">
        <v>31</v>
      </c>
      <c r="U597" s="8" t="s">
        <v>31</v>
      </c>
      <c r="V597" s="8" t="s">
        <v>31</v>
      </c>
      <c r="W597" s="8" t="str">
        <f>_xlfn.IFNA(VLOOKUP(A597,[1]Sheet1!$A$1:$B$101,1,FALSE),"na")</f>
        <v>na</v>
      </c>
      <c r="X597" s="8" t="s">
        <v>35</v>
      </c>
      <c r="Y597" s="9">
        <v>458</v>
      </c>
      <c r="Z597" s="9">
        <v>183.2</v>
      </c>
      <c r="AA597" s="9">
        <v>458</v>
      </c>
      <c r="AB597" s="9">
        <v>305.33334000000002</v>
      </c>
    </row>
    <row r="598" spans="1:28" x14ac:dyDescent="0.25">
      <c r="A598" s="8" t="s">
        <v>1272</v>
      </c>
      <c r="B598" s="8" t="s">
        <v>1273</v>
      </c>
      <c r="C598" s="8" t="s">
        <v>30</v>
      </c>
      <c r="D598" s="10">
        <v>1.3</v>
      </c>
      <c r="E598" s="10">
        <v>1</v>
      </c>
      <c r="F598" s="10">
        <v>0.30000000999999998</v>
      </c>
      <c r="G598" s="10">
        <v>1</v>
      </c>
      <c r="H598" s="10">
        <v>0.30000000999999998</v>
      </c>
      <c r="I598" s="10">
        <v>0</v>
      </c>
      <c r="J598" s="10">
        <v>0</v>
      </c>
      <c r="K598" s="10">
        <v>0</v>
      </c>
      <c r="L598" s="10">
        <v>0.1</v>
      </c>
      <c r="M598" s="10">
        <v>0</v>
      </c>
      <c r="N598" s="10">
        <v>0.30000000999999998</v>
      </c>
      <c r="O598" s="8" t="s">
        <v>31</v>
      </c>
      <c r="P598" s="8" t="s">
        <v>31</v>
      </c>
      <c r="Q598" s="8" t="s">
        <v>31</v>
      </c>
      <c r="R598" s="8" t="s">
        <v>31</v>
      </c>
      <c r="S598" s="8" t="s">
        <v>31</v>
      </c>
      <c r="T598" s="8" t="s">
        <v>31</v>
      </c>
      <c r="U598" s="8" t="s">
        <v>31</v>
      </c>
      <c r="V598" s="8" t="s">
        <v>31</v>
      </c>
      <c r="W598" s="8" t="str">
        <f>_xlfn.IFNA(VLOOKUP(A598,[1]Sheet1!$A$1:$B$101,1,FALSE),"na")</f>
        <v>na</v>
      </c>
      <c r="X598" s="8" t="s">
        <v>35</v>
      </c>
      <c r="Y598" s="9">
        <v>287</v>
      </c>
      <c r="Z598" s="9">
        <v>220.76924</v>
      </c>
      <c r="AA598" s="9">
        <v>287</v>
      </c>
      <c r="AB598" s="9">
        <v>287</v>
      </c>
    </row>
    <row r="599" spans="1:28" x14ac:dyDescent="0.25">
      <c r="A599" s="8" t="s">
        <v>1274</v>
      </c>
      <c r="B599" s="8" t="s">
        <v>1275</v>
      </c>
      <c r="C599" s="8" t="s">
        <v>67</v>
      </c>
      <c r="D599" s="10">
        <v>3.0999998999999998</v>
      </c>
      <c r="E599" s="10">
        <v>1</v>
      </c>
      <c r="F599" s="10">
        <v>2.0999998999999998</v>
      </c>
      <c r="G599" s="10">
        <v>1</v>
      </c>
      <c r="H599" s="10">
        <v>2.0999998999999998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0.1</v>
      </c>
      <c r="O599" s="8" t="s">
        <v>31</v>
      </c>
      <c r="P599" s="8" t="s">
        <v>31</v>
      </c>
      <c r="Q599" s="8" t="s">
        <v>57</v>
      </c>
      <c r="R599" s="8" t="s">
        <v>31</v>
      </c>
      <c r="S599" s="8" t="s">
        <v>31</v>
      </c>
      <c r="T599" s="8" t="s">
        <v>31</v>
      </c>
      <c r="U599" s="8" t="s">
        <v>31</v>
      </c>
      <c r="V599" s="8" t="s">
        <v>31</v>
      </c>
      <c r="W599" s="8" t="str">
        <f>_xlfn.IFNA(VLOOKUP(A599,[1]Sheet1!$A$1:$B$101,1,FALSE),"na")</f>
        <v>na</v>
      </c>
      <c r="X599" s="8" t="s">
        <v>35</v>
      </c>
      <c r="Y599" s="9">
        <v>231</v>
      </c>
      <c r="Z599" s="9">
        <v>74.516129000000006</v>
      </c>
      <c r="AA599" s="9">
        <v>231</v>
      </c>
      <c r="AB599" s="9">
        <v>110.00001</v>
      </c>
    </row>
    <row r="600" spans="1:28" x14ac:dyDescent="0.25">
      <c r="A600" s="8" t="s">
        <v>1276</v>
      </c>
      <c r="B600" s="8" t="s">
        <v>1277</v>
      </c>
      <c r="C600" s="8" t="s">
        <v>30</v>
      </c>
      <c r="D600" s="10">
        <v>2.8</v>
      </c>
      <c r="E600" s="10">
        <v>2</v>
      </c>
      <c r="F600" s="10">
        <v>0.80000000999999998</v>
      </c>
      <c r="G600" s="10">
        <v>2</v>
      </c>
      <c r="H600" s="10">
        <v>0.80000000999999998</v>
      </c>
      <c r="I600" s="10">
        <v>0</v>
      </c>
      <c r="J600" s="10">
        <v>0</v>
      </c>
      <c r="K600" s="10">
        <v>0</v>
      </c>
      <c r="L600" s="10">
        <v>0.80000000999999998</v>
      </c>
      <c r="M600" s="10">
        <v>0</v>
      </c>
      <c r="N600" s="10">
        <v>0.80000000999999998</v>
      </c>
      <c r="O600" s="8" t="s">
        <v>31</v>
      </c>
      <c r="P600" s="8" t="s">
        <v>31</v>
      </c>
      <c r="Q600" s="8" t="s">
        <v>31</v>
      </c>
      <c r="R600" s="8" t="s">
        <v>31</v>
      </c>
      <c r="S600" s="8" t="s">
        <v>31</v>
      </c>
      <c r="T600" s="8" t="s">
        <v>31</v>
      </c>
      <c r="U600" s="8" t="s">
        <v>31</v>
      </c>
      <c r="V600" s="8" t="s">
        <v>31</v>
      </c>
      <c r="W600" s="8" t="str">
        <f>_xlfn.IFNA(VLOOKUP(A600,[1]Sheet1!$A$1:$B$101,1,FALSE),"na")</f>
        <v>na</v>
      </c>
      <c r="X600" s="8" t="s">
        <v>512</v>
      </c>
      <c r="Y600" s="9">
        <v>445</v>
      </c>
      <c r="Z600" s="9">
        <v>158.92857000000001</v>
      </c>
      <c r="AA600" s="9">
        <v>222.5</v>
      </c>
      <c r="AB600" s="9">
        <v>445</v>
      </c>
    </row>
    <row r="601" spans="1:28" x14ac:dyDescent="0.25">
      <c r="A601" s="8" t="s">
        <v>1278</v>
      </c>
      <c r="B601" s="8" t="s">
        <v>1279</v>
      </c>
      <c r="C601" s="8" t="s">
        <v>30</v>
      </c>
      <c r="D601" s="10">
        <v>5</v>
      </c>
      <c r="E601" s="10">
        <v>3</v>
      </c>
      <c r="F601" s="10">
        <v>2</v>
      </c>
      <c r="G601" s="10">
        <v>3</v>
      </c>
      <c r="H601" s="10">
        <v>2</v>
      </c>
      <c r="I601" s="10">
        <v>0</v>
      </c>
      <c r="J601" s="10">
        <v>0</v>
      </c>
      <c r="K601" s="10">
        <v>0</v>
      </c>
      <c r="L601" s="10">
        <v>1</v>
      </c>
      <c r="M601" s="10">
        <v>0</v>
      </c>
      <c r="N601" s="10">
        <v>1</v>
      </c>
      <c r="O601" s="8" t="s">
        <v>31</v>
      </c>
      <c r="P601" s="8" t="s">
        <v>31</v>
      </c>
      <c r="Q601" s="8" t="s">
        <v>57</v>
      </c>
      <c r="R601" s="8" t="s">
        <v>31</v>
      </c>
      <c r="S601" s="8" t="s">
        <v>31</v>
      </c>
      <c r="T601" s="8" t="s">
        <v>31</v>
      </c>
      <c r="U601" s="8" t="s">
        <v>31</v>
      </c>
      <c r="V601" s="8" t="s">
        <v>31</v>
      </c>
      <c r="W601" s="8" t="str">
        <f>_xlfn.IFNA(VLOOKUP(A601,[1]Sheet1!$A$1:$B$101,1,FALSE),"na")</f>
        <v>na</v>
      </c>
      <c r="X601" s="8" t="s">
        <v>619</v>
      </c>
      <c r="Y601" s="9">
        <v>488</v>
      </c>
      <c r="Z601" s="9">
        <v>97.599997999999999</v>
      </c>
      <c r="AA601" s="9">
        <v>162.66667000000001</v>
      </c>
      <c r="AB601" s="9">
        <v>244</v>
      </c>
    </row>
    <row r="602" spans="1:28" x14ac:dyDescent="0.25">
      <c r="A602" s="8" t="s">
        <v>1280</v>
      </c>
      <c r="B602" s="8" t="s">
        <v>1281</v>
      </c>
      <c r="C602" s="8" t="s">
        <v>67</v>
      </c>
      <c r="D602" s="10">
        <v>1.2</v>
      </c>
      <c r="E602" s="10">
        <v>0</v>
      </c>
      <c r="F602" s="10">
        <v>1.2</v>
      </c>
      <c r="G602" s="10">
        <v>0</v>
      </c>
      <c r="H602" s="10">
        <v>1.2</v>
      </c>
      <c r="I602" s="10">
        <v>0</v>
      </c>
      <c r="J602" s="10">
        <v>0</v>
      </c>
      <c r="K602" s="10">
        <v>0</v>
      </c>
      <c r="L602" s="10">
        <v>0.2</v>
      </c>
      <c r="M602" s="10">
        <v>0</v>
      </c>
      <c r="N602" s="10">
        <v>0.2</v>
      </c>
      <c r="O602" s="8" t="s">
        <v>31</v>
      </c>
      <c r="P602" s="8" t="s">
        <v>31</v>
      </c>
      <c r="Q602" s="8" t="s">
        <v>31</v>
      </c>
      <c r="R602" s="8" t="s">
        <v>31</v>
      </c>
      <c r="S602" s="8" t="s">
        <v>31</v>
      </c>
      <c r="T602" s="8" t="s">
        <v>31</v>
      </c>
      <c r="U602" s="8" t="s">
        <v>31</v>
      </c>
      <c r="V602" s="8" t="s">
        <v>31</v>
      </c>
      <c r="W602" s="8" t="str">
        <f>_xlfn.IFNA(VLOOKUP(A602,[1]Sheet1!$A$1:$B$101,1,FALSE),"na")</f>
        <v>na</v>
      </c>
      <c r="X602" s="8" t="s">
        <v>35</v>
      </c>
      <c r="Y602" s="9">
        <v>232</v>
      </c>
      <c r="Z602" s="9">
        <v>193.33332999999999</v>
      </c>
      <c r="AA602" s="9">
        <v>232</v>
      </c>
      <c r="AB602" s="9">
        <v>193.33332999999999</v>
      </c>
    </row>
    <row r="603" spans="1:28" x14ac:dyDescent="0.25">
      <c r="A603" s="8" t="s">
        <v>1282</v>
      </c>
      <c r="B603" s="8" t="s">
        <v>1283</v>
      </c>
      <c r="C603" s="8" t="s">
        <v>30</v>
      </c>
      <c r="D603" s="10">
        <v>4.8000002000000004</v>
      </c>
      <c r="E603" s="10">
        <v>3</v>
      </c>
      <c r="F603" s="10">
        <v>1.8</v>
      </c>
      <c r="G603" s="10">
        <v>3</v>
      </c>
      <c r="H603" s="10">
        <v>1.8</v>
      </c>
      <c r="I603" s="10">
        <v>0</v>
      </c>
      <c r="J603" s="10">
        <v>0</v>
      </c>
      <c r="K603" s="10">
        <v>0</v>
      </c>
      <c r="L603" s="10">
        <v>0.5</v>
      </c>
      <c r="M603" s="10">
        <v>0</v>
      </c>
      <c r="N603" s="10">
        <v>0.80000000999999998</v>
      </c>
      <c r="O603" s="8" t="s">
        <v>31</v>
      </c>
      <c r="P603" s="8" t="s">
        <v>31</v>
      </c>
      <c r="Q603" s="8" t="s">
        <v>31</v>
      </c>
      <c r="R603" s="8" t="s">
        <v>31</v>
      </c>
      <c r="S603" s="8" t="s">
        <v>31</v>
      </c>
      <c r="T603" s="8" t="s">
        <v>31</v>
      </c>
      <c r="U603" s="8" t="s">
        <v>31</v>
      </c>
      <c r="V603" s="8" t="s">
        <v>31</v>
      </c>
      <c r="W603" s="8" t="str">
        <f>_xlfn.IFNA(VLOOKUP(A603,[1]Sheet1!$A$1:$B$101,1,FALSE),"na")</f>
        <v>na</v>
      </c>
      <c r="X603" s="8" t="s">
        <v>751</v>
      </c>
      <c r="Y603" s="9">
        <v>716</v>
      </c>
      <c r="Z603" s="9">
        <v>149.16666000000001</v>
      </c>
      <c r="AA603" s="9">
        <v>238.66667000000001</v>
      </c>
      <c r="AB603" s="9">
        <v>397.77780000000001</v>
      </c>
    </row>
    <row r="604" spans="1:28" x14ac:dyDescent="0.25">
      <c r="A604" s="8" t="s">
        <v>1284</v>
      </c>
      <c r="B604" s="8" t="s">
        <v>1285</v>
      </c>
      <c r="C604" s="8" t="s">
        <v>30</v>
      </c>
      <c r="D604" s="10">
        <v>2.8</v>
      </c>
      <c r="E604" s="10">
        <v>2</v>
      </c>
      <c r="F604" s="10">
        <v>0.80000000999999998</v>
      </c>
      <c r="G604" s="10">
        <v>2</v>
      </c>
      <c r="H604" s="10">
        <v>0.80000000999999998</v>
      </c>
      <c r="I604" s="10">
        <v>0</v>
      </c>
      <c r="J604" s="10">
        <v>0</v>
      </c>
      <c r="K604" s="10">
        <v>0</v>
      </c>
      <c r="L604" s="10">
        <v>0.5</v>
      </c>
      <c r="M604" s="10">
        <v>0</v>
      </c>
      <c r="N604" s="10">
        <v>0.80000000999999998</v>
      </c>
      <c r="O604" s="8" t="s">
        <v>31</v>
      </c>
      <c r="P604" s="8" t="s">
        <v>31</v>
      </c>
      <c r="Q604" s="8" t="s">
        <v>31</v>
      </c>
      <c r="R604" s="8" t="s">
        <v>31</v>
      </c>
      <c r="S604" s="8" t="s">
        <v>31</v>
      </c>
      <c r="T604" s="8" t="s">
        <v>31</v>
      </c>
      <c r="U604" s="8" t="s">
        <v>31</v>
      </c>
      <c r="V604" s="8" t="s">
        <v>31</v>
      </c>
      <c r="W604" s="8" t="str">
        <f>_xlfn.IFNA(VLOOKUP(A604,[1]Sheet1!$A$1:$B$101,1,FALSE),"na")</f>
        <v>na</v>
      </c>
      <c r="X604" s="8" t="s">
        <v>35</v>
      </c>
      <c r="Y604" s="9">
        <v>672</v>
      </c>
      <c r="Z604" s="9">
        <v>240</v>
      </c>
      <c r="AA604" s="9">
        <v>336</v>
      </c>
      <c r="AB604" s="9">
        <v>672</v>
      </c>
    </row>
    <row r="605" spans="1:28" x14ac:dyDescent="0.25">
      <c r="A605" s="8" t="s">
        <v>1286</v>
      </c>
      <c r="B605" s="8" t="s">
        <v>1287</v>
      </c>
      <c r="C605" s="8" t="s">
        <v>30</v>
      </c>
      <c r="D605" s="10">
        <v>2.2999999999999998</v>
      </c>
      <c r="E605" s="10">
        <v>1</v>
      </c>
      <c r="F605" s="10">
        <v>1.3</v>
      </c>
      <c r="G605" s="10">
        <v>1</v>
      </c>
      <c r="H605" s="10">
        <v>1.3</v>
      </c>
      <c r="I605" s="10">
        <v>0</v>
      </c>
      <c r="J605" s="10">
        <v>0</v>
      </c>
      <c r="K605" s="10">
        <v>0</v>
      </c>
      <c r="L605" s="10">
        <v>0.30000000999999998</v>
      </c>
      <c r="M605" s="10">
        <v>0</v>
      </c>
      <c r="N605" s="10">
        <v>0.30000000999999998</v>
      </c>
      <c r="O605" s="8" t="s">
        <v>57</v>
      </c>
      <c r="P605" s="8" t="s">
        <v>31</v>
      </c>
      <c r="Q605" s="8" t="s">
        <v>31</v>
      </c>
      <c r="R605" s="8" t="s">
        <v>31</v>
      </c>
      <c r="S605" s="8" t="s">
        <v>31</v>
      </c>
      <c r="T605" s="8" t="s">
        <v>31</v>
      </c>
      <c r="U605" s="8" t="s">
        <v>31</v>
      </c>
      <c r="V605" s="8" t="s">
        <v>31</v>
      </c>
      <c r="W605" s="8" t="str">
        <f>_xlfn.IFNA(VLOOKUP(A605,[1]Sheet1!$A$1:$B$101,1,FALSE),"na")</f>
        <v>na</v>
      </c>
      <c r="X605" s="8" t="s">
        <v>484</v>
      </c>
      <c r="Y605" s="9">
        <v>202</v>
      </c>
      <c r="Z605" s="9">
        <v>87.826087999999999</v>
      </c>
      <c r="AA605" s="9">
        <v>202</v>
      </c>
      <c r="AB605" s="9">
        <v>155.38462999999999</v>
      </c>
    </row>
    <row r="606" spans="1:28" x14ac:dyDescent="0.25">
      <c r="A606" s="8" t="s">
        <v>1288</v>
      </c>
      <c r="B606" s="8" t="s">
        <v>1289</v>
      </c>
      <c r="C606" s="8" t="s">
        <v>38</v>
      </c>
      <c r="D606" s="10">
        <v>5.4000000999999997</v>
      </c>
      <c r="E606" s="10">
        <v>3</v>
      </c>
      <c r="F606" s="10">
        <v>2.4000001000000002</v>
      </c>
      <c r="G606" s="10">
        <v>3</v>
      </c>
      <c r="H606" s="10">
        <v>2.4000001000000002</v>
      </c>
      <c r="I606" s="10">
        <v>0</v>
      </c>
      <c r="J606" s="10">
        <v>0</v>
      </c>
      <c r="K606" s="10">
        <v>0</v>
      </c>
      <c r="L606" s="10">
        <v>0.2</v>
      </c>
      <c r="M606" s="10">
        <v>0</v>
      </c>
      <c r="N606" s="10">
        <v>0.40000001000000002</v>
      </c>
      <c r="O606" s="8" t="s">
        <v>31</v>
      </c>
      <c r="P606" s="8" t="s">
        <v>31</v>
      </c>
      <c r="Q606" s="8" t="s">
        <v>57</v>
      </c>
      <c r="R606" s="8" t="s">
        <v>31</v>
      </c>
      <c r="S606" s="8" t="s">
        <v>31</v>
      </c>
      <c r="T606" s="8" t="s">
        <v>31</v>
      </c>
      <c r="U606" s="8" t="s">
        <v>31</v>
      </c>
      <c r="V606" s="8" t="s">
        <v>31</v>
      </c>
      <c r="W606" s="8" t="str">
        <f>_xlfn.IFNA(VLOOKUP(A606,[1]Sheet1!$A$1:$B$101,1,FALSE),"na")</f>
        <v>na</v>
      </c>
      <c r="X606" s="8" t="s">
        <v>35</v>
      </c>
      <c r="Y606" s="9">
        <v>819</v>
      </c>
      <c r="Z606" s="9">
        <v>151.66666000000001</v>
      </c>
      <c r="AA606" s="9">
        <v>273</v>
      </c>
      <c r="AB606" s="9">
        <v>341.25</v>
      </c>
    </row>
    <row r="607" spans="1:28" x14ac:dyDescent="0.25">
      <c r="A607" s="8" t="s">
        <v>1290</v>
      </c>
      <c r="B607" s="8" t="s">
        <v>1291</v>
      </c>
      <c r="C607" s="8" t="s">
        <v>67</v>
      </c>
      <c r="D607" s="10">
        <v>2.2000000000000002</v>
      </c>
      <c r="E607" s="10">
        <v>1</v>
      </c>
      <c r="F607" s="10">
        <v>1.2</v>
      </c>
      <c r="G607" s="10">
        <v>1</v>
      </c>
      <c r="H607" s="10">
        <v>1.2</v>
      </c>
      <c r="I607" s="10">
        <v>0</v>
      </c>
      <c r="J607" s="10">
        <v>0</v>
      </c>
      <c r="K607" s="10">
        <v>0</v>
      </c>
      <c r="L607" s="10">
        <v>0.2</v>
      </c>
      <c r="M607" s="10">
        <v>0</v>
      </c>
      <c r="N607" s="10">
        <v>0.2</v>
      </c>
      <c r="O607" s="8" t="s">
        <v>57</v>
      </c>
      <c r="P607" s="8" t="s">
        <v>31</v>
      </c>
      <c r="Q607" s="8" t="s">
        <v>31</v>
      </c>
      <c r="R607" s="8" t="s">
        <v>31</v>
      </c>
      <c r="S607" s="8" t="s">
        <v>31</v>
      </c>
      <c r="T607" s="8" t="s">
        <v>31</v>
      </c>
      <c r="U607" s="8" t="s">
        <v>31</v>
      </c>
      <c r="V607" s="8" t="s">
        <v>31</v>
      </c>
      <c r="W607" s="8" t="str">
        <f>_xlfn.IFNA(VLOOKUP(A607,[1]Sheet1!$A$1:$B$101,1,FALSE),"na")</f>
        <v>na</v>
      </c>
      <c r="X607" s="8" t="s">
        <v>375</v>
      </c>
      <c r="Y607" s="9">
        <v>137</v>
      </c>
      <c r="Z607" s="9">
        <v>62.272723999999997</v>
      </c>
      <c r="AA607" s="9">
        <v>137</v>
      </c>
      <c r="AB607" s="9">
        <v>114.16665999999999</v>
      </c>
    </row>
    <row r="608" spans="1:28" x14ac:dyDescent="0.25">
      <c r="A608" s="8" t="s">
        <v>1292</v>
      </c>
      <c r="B608" s="8" t="s">
        <v>1293</v>
      </c>
      <c r="C608" s="8" t="s">
        <v>80</v>
      </c>
      <c r="D608" s="10">
        <v>5.1999997999999996</v>
      </c>
      <c r="E608" s="10">
        <v>4</v>
      </c>
      <c r="F608" s="10">
        <v>1.2</v>
      </c>
      <c r="G608" s="10">
        <v>4</v>
      </c>
      <c r="H608" s="10">
        <v>1.2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0.2</v>
      </c>
      <c r="O608" s="8" t="s">
        <v>31</v>
      </c>
      <c r="P608" s="8" t="s">
        <v>31</v>
      </c>
      <c r="Q608" s="8" t="s">
        <v>31</v>
      </c>
      <c r="R608" s="8" t="s">
        <v>31</v>
      </c>
      <c r="S608" s="8" t="s">
        <v>31</v>
      </c>
      <c r="T608" s="8" t="s">
        <v>57</v>
      </c>
      <c r="U608" s="8" t="s">
        <v>31</v>
      </c>
      <c r="V608" s="8" t="s">
        <v>31</v>
      </c>
      <c r="W608" s="8" t="str">
        <f>_xlfn.IFNA(VLOOKUP(A608,[1]Sheet1!$A$1:$B$101,1,FALSE),"na")</f>
        <v>na</v>
      </c>
      <c r="X608" s="8" t="s">
        <v>35</v>
      </c>
      <c r="Y608" s="9">
        <v>647</v>
      </c>
      <c r="Z608" s="9">
        <v>124.42308</v>
      </c>
      <c r="AA608" s="9">
        <v>161.75</v>
      </c>
      <c r="AB608" s="9">
        <v>539.16663000000005</v>
      </c>
    </row>
    <row r="609" spans="1:28" x14ac:dyDescent="0.25">
      <c r="A609" s="8" t="s">
        <v>1294</v>
      </c>
      <c r="B609" s="8" t="s">
        <v>1295</v>
      </c>
      <c r="C609" s="8" t="s">
        <v>62</v>
      </c>
      <c r="D609" s="10">
        <v>2.0999998999999998</v>
      </c>
      <c r="E609" s="10">
        <v>1</v>
      </c>
      <c r="F609" s="10">
        <v>1.1000000000000001</v>
      </c>
      <c r="G609" s="10">
        <v>1</v>
      </c>
      <c r="H609" s="10">
        <v>1.1000000000000001</v>
      </c>
      <c r="I609" s="10">
        <v>0</v>
      </c>
      <c r="J609" s="10">
        <v>0</v>
      </c>
      <c r="K609" s="10">
        <v>0</v>
      </c>
      <c r="L609" s="10">
        <v>1</v>
      </c>
      <c r="M609" s="10">
        <v>0</v>
      </c>
      <c r="N609" s="10">
        <v>0.1</v>
      </c>
      <c r="O609" s="8" t="s">
        <v>31</v>
      </c>
      <c r="P609" s="8" t="s">
        <v>31</v>
      </c>
      <c r="Q609" s="8" t="s">
        <v>31</v>
      </c>
      <c r="R609" s="8" t="s">
        <v>31</v>
      </c>
      <c r="S609" s="8" t="s">
        <v>31</v>
      </c>
      <c r="T609" s="8" t="s">
        <v>57</v>
      </c>
      <c r="U609" s="8" t="s">
        <v>31</v>
      </c>
      <c r="V609" s="8" t="s">
        <v>31</v>
      </c>
      <c r="W609" s="8" t="str">
        <f>_xlfn.IFNA(VLOOKUP(A609,[1]Sheet1!$A$1:$B$101,1,FALSE),"na")</f>
        <v>na</v>
      </c>
      <c r="X609" s="8" t="s">
        <v>1263</v>
      </c>
      <c r="Y609" s="9">
        <v>177</v>
      </c>
      <c r="Z609" s="9">
        <v>84.285720999999995</v>
      </c>
      <c r="AA609" s="9">
        <v>177</v>
      </c>
      <c r="AB609" s="9">
        <v>160.90908999999999</v>
      </c>
    </row>
    <row r="610" spans="1:28" x14ac:dyDescent="0.25">
      <c r="A610" s="8" t="s">
        <v>1296</v>
      </c>
      <c r="B610" s="8" t="s">
        <v>1297</v>
      </c>
      <c r="C610" s="8" t="s">
        <v>62</v>
      </c>
      <c r="D610" s="10">
        <v>3.1333300999999998</v>
      </c>
      <c r="E610" s="10">
        <v>2</v>
      </c>
      <c r="F610" s="10">
        <v>1.1333299999999999</v>
      </c>
      <c r="G610" s="10">
        <v>2</v>
      </c>
      <c r="H610" s="10">
        <v>1.1333299999999999</v>
      </c>
      <c r="I610" s="10">
        <v>0</v>
      </c>
      <c r="J610" s="10">
        <v>0</v>
      </c>
      <c r="K610" s="10">
        <v>1</v>
      </c>
      <c r="L610" s="10">
        <v>0</v>
      </c>
      <c r="M610" s="10">
        <v>0</v>
      </c>
      <c r="N610" s="10">
        <v>0.13333</v>
      </c>
      <c r="O610" s="8" t="s">
        <v>57</v>
      </c>
      <c r="P610" s="8" t="s">
        <v>31</v>
      </c>
      <c r="Q610" s="8" t="s">
        <v>31</v>
      </c>
      <c r="R610" s="8" t="s">
        <v>31</v>
      </c>
      <c r="S610" s="8" t="s">
        <v>31</v>
      </c>
      <c r="T610" s="8" t="s">
        <v>31</v>
      </c>
      <c r="U610" s="8" t="s">
        <v>31</v>
      </c>
      <c r="V610" s="8" t="s">
        <v>31</v>
      </c>
      <c r="W610" s="8" t="str">
        <f>_xlfn.IFNA(VLOOKUP(A610,[1]Sheet1!$A$1:$B$101,1,FALSE),"na")</f>
        <v>na</v>
      </c>
      <c r="X610" s="8" t="s">
        <v>35</v>
      </c>
      <c r="Y610" s="9">
        <v>247</v>
      </c>
      <c r="Z610" s="9">
        <v>78.829871999999995</v>
      </c>
      <c r="AA610" s="9">
        <v>123.5</v>
      </c>
      <c r="AB610" s="9">
        <v>217.94182000000001</v>
      </c>
    </row>
    <row r="611" spans="1:28" x14ac:dyDescent="0.25">
      <c r="A611" s="8" t="s">
        <v>1298</v>
      </c>
      <c r="B611" s="8" t="s">
        <v>1299</v>
      </c>
      <c r="C611" s="8" t="s">
        <v>80</v>
      </c>
      <c r="D611" s="10">
        <v>3</v>
      </c>
      <c r="E611" s="10">
        <v>3</v>
      </c>
      <c r="F611" s="10">
        <v>0</v>
      </c>
      <c r="G611" s="10">
        <v>3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8" t="s">
        <v>31</v>
      </c>
      <c r="P611" s="8" t="s">
        <v>31</v>
      </c>
      <c r="Q611" s="8" t="s">
        <v>31</v>
      </c>
      <c r="R611" s="8" t="s">
        <v>31</v>
      </c>
      <c r="S611" s="8" t="s">
        <v>31</v>
      </c>
      <c r="T611" s="8" t="s">
        <v>31</v>
      </c>
      <c r="U611" s="8" t="s">
        <v>31</v>
      </c>
      <c r="V611" s="8" t="s">
        <v>31</v>
      </c>
      <c r="W611" s="8" t="str">
        <f>_xlfn.IFNA(VLOOKUP(A611,[1]Sheet1!$A$1:$B$101,1,FALSE),"na")</f>
        <v>na</v>
      </c>
      <c r="X611" s="8" t="s">
        <v>35</v>
      </c>
      <c r="Y611" s="9">
        <v>459</v>
      </c>
      <c r="Z611" s="9">
        <v>153</v>
      </c>
      <c r="AA611" s="9">
        <v>153</v>
      </c>
      <c r="AB611" s="9">
        <v>459</v>
      </c>
    </row>
    <row r="612" spans="1:28" x14ac:dyDescent="0.25">
      <c r="A612" s="8" t="s">
        <v>1300</v>
      </c>
      <c r="B612" s="8" t="s">
        <v>1301</v>
      </c>
      <c r="C612" s="8" t="s">
        <v>80</v>
      </c>
      <c r="D612" s="10">
        <v>7.3000002000000004</v>
      </c>
      <c r="E612" s="10">
        <v>5</v>
      </c>
      <c r="F612" s="10">
        <v>2.2999999999999998</v>
      </c>
      <c r="G612" s="10">
        <v>5</v>
      </c>
      <c r="H612" s="10">
        <v>2.2999999999999998</v>
      </c>
      <c r="I612" s="10">
        <v>0</v>
      </c>
      <c r="J612" s="10">
        <v>0</v>
      </c>
      <c r="K612" s="10">
        <v>0</v>
      </c>
      <c r="L612" s="10">
        <v>0.30000000999999998</v>
      </c>
      <c r="M612" s="10">
        <v>0</v>
      </c>
      <c r="N612" s="10">
        <v>0.30000000999999998</v>
      </c>
      <c r="O612" s="8" t="s">
        <v>31</v>
      </c>
      <c r="P612" s="8" t="s">
        <v>31</v>
      </c>
      <c r="Q612" s="8" t="s">
        <v>31</v>
      </c>
      <c r="R612" s="8" t="s">
        <v>31</v>
      </c>
      <c r="S612" s="8" t="s">
        <v>31</v>
      </c>
      <c r="T612" s="8" t="s">
        <v>57</v>
      </c>
      <c r="U612" s="8" t="s">
        <v>31</v>
      </c>
      <c r="V612" s="8" t="s">
        <v>31</v>
      </c>
      <c r="W612" s="8" t="str">
        <f>_xlfn.IFNA(VLOOKUP(A612,[1]Sheet1!$A$1:$B$101,1,FALSE),"na")</f>
        <v>na</v>
      </c>
      <c r="X612" s="8" t="s">
        <v>1263</v>
      </c>
      <c r="Y612" s="9">
        <v>655</v>
      </c>
      <c r="Z612" s="9">
        <v>89.726027999999999</v>
      </c>
      <c r="AA612" s="9">
        <v>131</v>
      </c>
      <c r="AB612" s="9">
        <v>284.78262000000001</v>
      </c>
    </row>
    <row r="613" spans="1:28" x14ac:dyDescent="0.25">
      <c r="A613" s="8" t="s">
        <v>1302</v>
      </c>
      <c r="B613" s="8" t="s">
        <v>1303</v>
      </c>
      <c r="C613" s="8" t="s">
        <v>67</v>
      </c>
      <c r="D613" s="10">
        <v>2.2999999999999998</v>
      </c>
      <c r="E613" s="10">
        <v>1</v>
      </c>
      <c r="F613" s="10">
        <v>1.3</v>
      </c>
      <c r="G613" s="10">
        <v>1</v>
      </c>
      <c r="H613" s="10">
        <v>1.3</v>
      </c>
      <c r="I613" s="10">
        <v>0</v>
      </c>
      <c r="J613" s="10">
        <v>0</v>
      </c>
      <c r="K613" s="10">
        <v>0</v>
      </c>
      <c r="L613" s="10">
        <v>0.30000000999999998</v>
      </c>
      <c r="M613" s="10">
        <v>0</v>
      </c>
      <c r="N613" s="10">
        <v>0.30000000999999998</v>
      </c>
      <c r="O613" s="8" t="s">
        <v>57</v>
      </c>
      <c r="P613" s="8" t="s">
        <v>31</v>
      </c>
      <c r="Q613" s="8" t="s">
        <v>31</v>
      </c>
      <c r="R613" s="8" t="s">
        <v>31</v>
      </c>
      <c r="S613" s="8" t="s">
        <v>31</v>
      </c>
      <c r="T613" s="8" t="s">
        <v>31</v>
      </c>
      <c r="U613" s="8" t="s">
        <v>31</v>
      </c>
      <c r="V613" s="8" t="s">
        <v>31</v>
      </c>
      <c r="W613" s="8" t="str">
        <f>_xlfn.IFNA(VLOOKUP(A613,[1]Sheet1!$A$1:$B$101,1,FALSE),"na")</f>
        <v>na</v>
      </c>
      <c r="X613" s="8" t="s">
        <v>35</v>
      </c>
      <c r="Y613" s="9">
        <v>152</v>
      </c>
      <c r="Z613" s="9">
        <v>66.086960000000005</v>
      </c>
      <c r="AA613" s="9">
        <v>152</v>
      </c>
      <c r="AB613" s="9">
        <v>116.92308</v>
      </c>
    </row>
    <row r="614" spans="1:28" x14ac:dyDescent="0.25">
      <c r="A614" s="8" t="s">
        <v>1304</v>
      </c>
      <c r="B614" s="8" t="s">
        <v>1305</v>
      </c>
      <c r="C614" s="8" t="s">
        <v>67</v>
      </c>
      <c r="D614" s="10">
        <v>2.5</v>
      </c>
      <c r="E614" s="10">
        <v>1</v>
      </c>
      <c r="F614" s="10">
        <v>1.5</v>
      </c>
      <c r="G614" s="10">
        <v>1</v>
      </c>
      <c r="H614" s="10">
        <v>1.5</v>
      </c>
      <c r="I614" s="10">
        <v>0</v>
      </c>
      <c r="J614" s="10">
        <v>0</v>
      </c>
      <c r="K614" s="10">
        <v>0</v>
      </c>
      <c r="L614" s="10">
        <v>0.30000000999999998</v>
      </c>
      <c r="M614" s="10">
        <v>0</v>
      </c>
      <c r="N614" s="10">
        <v>0.5</v>
      </c>
      <c r="O614" s="8" t="s">
        <v>31</v>
      </c>
      <c r="P614" s="8" t="s">
        <v>57</v>
      </c>
      <c r="Q614" s="8" t="s">
        <v>31</v>
      </c>
      <c r="R614" s="8" t="s">
        <v>31</v>
      </c>
      <c r="S614" s="8" t="s">
        <v>31</v>
      </c>
      <c r="T614" s="8" t="s">
        <v>31</v>
      </c>
      <c r="U614" s="8" t="s">
        <v>31</v>
      </c>
      <c r="V614" s="8" t="s">
        <v>31</v>
      </c>
      <c r="W614" s="8" t="str">
        <f>_xlfn.IFNA(VLOOKUP(A614,[1]Sheet1!$A$1:$B$101,1,FALSE),"na")</f>
        <v>na</v>
      </c>
      <c r="X614" s="8" t="s">
        <v>35</v>
      </c>
      <c r="Y614" s="9">
        <v>231</v>
      </c>
      <c r="Z614" s="9">
        <v>92.400002000000001</v>
      </c>
      <c r="AA614" s="9">
        <v>231</v>
      </c>
      <c r="AB614" s="9">
        <v>154</v>
      </c>
    </row>
    <row r="615" spans="1:28" x14ac:dyDescent="0.25">
      <c r="A615" s="8" t="s">
        <v>1306</v>
      </c>
      <c r="B615" s="8" t="s">
        <v>1307</v>
      </c>
      <c r="C615" s="8" t="s">
        <v>30</v>
      </c>
      <c r="D615" s="10">
        <v>2.5</v>
      </c>
      <c r="E615" s="10">
        <v>0</v>
      </c>
      <c r="F615" s="10">
        <v>2.5</v>
      </c>
      <c r="G615" s="10">
        <v>0</v>
      </c>
      <c r="H615" s="10">
        <v>2.5</v>
      </c>
      <c r="I615" s="10">
        <v>0</v>
      </c>
      <c r="J615" s="10">
        <v>0</v>
      </c>
      <c r="K615" s="10">
        <v>0</v>
      </c>
      <c r="L615" s="10">
        <v>0.2</v>
      </c>
      <c r="M615" s="10">
        <v>0</v>
      </c>
      <c r="N615" s="10">
        <v>0.5</v>
      </c>
      <c r="O615" s="8" t="s">
        <v>31</v>
      </c>
      <c r="P615" s="8" t="s">
        <v>31</v>
      </c>
      <c r="Q615" s="8" t="s">
        <v>57</v>
      </c>
      <c r="R615" s="8" t="s">
        <v>31</v>
      </c>
      <c r="S615" s="8" t="s">
        <v>31</v>
      </c>
      <c r="T615" s="8" t="s">
        <v>31</v>
      </c>
      <c r="U615" s="8" t="s">
        <v>31</v>
      </c>
      <c r="V615" s="8" t="s">
        <v>31</v>
      </c>
      <c r="W615" s="8" t="str">
        <f>_xlfn.IFNA(VLOOKUP(A615,[1]Sheet1!$A$1:$B$101,1,FALSE),"na")</f>
        <v>na</v>
      </c>
      <c r="X615" s="8" t="s">
        <v>35</v>
      </c>
      <c r="Y615" s="9">
        <v>367</v>
      </c>
      <c r="Z615" s="9">
        <v>146.80000000000001</v>
      </c>
      <c r="AA615" s="9">
        <v>367</v>
      </c>
      <c r="AB615" s="9">
        <v>146.80000000000001</v>
      </c>
    </row>
    <row r="616" spans="1:28" x14ac:dyDescent="0.25">
      <c r="A616" s="8" t="s">
        <v>1308</v>
      </c>
      <c r="B616" s="8" t="s">
        <v>1309</v>
      </c>
      <c r="C616" s="8" t="s">
        <v>30</v>
      </c>
      <c r="D616" s="10">
        <v>0.30000000999999998</v>
      </c>
      <c r="E616" s="10">
        <v>0</v>
      </c>
      <c r="F616" s="10">
        <v>0.30000000999999998</v>
      </c>
      <c r="G616" s="10">
        <v>0</v>
      </c>
      <c r="H616" s="10">
        <v>0.30000000999999998</v>
      </c>
      <c r="I616" s="10">
        <v>0</v>
      </c>
      <c r="J616" s="10">
        <v>0</v>
      </c>
      <c r="K616" s="10">
        <v>0</v>
      </c>
      <c r="L616" s="10">
        <v>0.30000000999999998</v>
      </c>
      <c r="M616" s="10">
        <v>0</v>
      </c>
      <c r="N616" s="10">
        <v>0.30000000999999998</v>
      </c>
      <c r="O616" s="8" t="s">
        <v>31</v>
      </c>
      <c r="P616" s="8" t="s">
        <v>31</v>
      </c>
      <c r="Q616" s="8" t="s">
        <v>31</v>
      </c>
      <c r="R616" s="8" t="s">
        <v>31</v>
      </c>
      <c r="S616" s="8" t="s">
        <v>31</v>
      </c>
      <c r="T616" s="8" t="s">
        <v>31</v>
      </c>
      <c r="U616" s="8" t="s">
        <v>31</v>
      </c>
      <c r="V616" s="8" t="s">
        <v>31</v>
      </c>
      <c r="W616" s="8" t="str">
        <f>_xlfn.IFNA(VLOOKUP(A616,[1]Sheet1!$A$1:$B$101,1,FALSE),"na")</f>
        <v>na</v>
      </c>
      <c r="X616" s="8" t="s">
        <v>35</v>
      </c>
      <c r="Y616" s="9">
        <v>268</v>
      </c>
      <c r="Z616" s="9">
        <v>268</v>
      </c>
      <c r="AA616" s="9">
        <v>268</v>
      </c>
      <c r="AB616" s="9">
        <v>268</v>
      </c>
    </row>
    <row r="617" spans="1:28" x14ac:dyDescent="0.25">
      <c r="A617" s="8" t="s">
        <v>1310</v>
      </c>
      <c r="B617" s="8" t="s">
        <v>1311</v>
      </c>
      <c r="C617" s="8" t="s">
        <v>67</v>
      </c>
      <c r="D617" s="10">
        <v>3.0999998999999998</v>
      </c>
      <c r="E617" s="10">
        <v>2</v>
      </c>
      <c r="F617" s="10">
        <v>1.1000000000000001</v>
      </c>
      <c r="G617" s="10">
        <v>2</v>
      </c>
      <c r="H617" s="10">
        <v>1.1000000000000001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0.1</v>
      </c>
      <c r="O617" s="8" t="s">
        <v>57</v>
      </c>
      <c r="P617" s="8" t="s">
        <v>31</v>
      </c>
      <c r="Q617" s="8" t="s">
        <v>31</v>
      </c>
      <c r="R617" s="8" t="s">
        <v>31</v>
      </c>
      <c r="S617" s="8" t="s">
        <v>31</v>
      </c>
      <c r="T617" s="8" t="s">
        <v>31</v>
      </c>
      <c r="U617" s="8" t="s">
        <v>31</v>
      </c>
      <c r="V617" s="8" t="s">
        <v>31</v>
      </c>
      <c r="W617" s="8" t="str">
        <f>_xlfn.IFNA(VLOOKUP(A617,[1]Sheet1!$A$1:$B$101,1,FALSE),"na")</f>
        <v>na</v>
      </c>
      <c r="X617" s="8" t="s">
        <v>35</v>
      </c>
      <c r="Y617" s="9">
        <v>259</v>
      </c>
      <c r="Z617" s="9">
        <v>83.548393000000004</v>
      </c>
      <c r="AA617" s="9">
        <v>129.5</v>
      </c>
      <c r="AB617" s="9">
        <v>235.45454000000001</v>
      </c>
    </row>
    <row r="618" spans="1:28" x14ac:dyDescent="0.25">
      <c r="A618" s="8" t="s">
        <v>1312</v>
      </c>
      <c r="B618" s="8" t="s">
        <v>1313</v>
      </c>
      <c r="C618" s="8" t="s">
        <v>67</v>
      </c>
      <c r="D618" s="10">
        <v>3.3</v>
      </c>
      <c r="E618" s="10">
        <v>3</v>
      </c>
      <c r="F618" s="10">
        <v>0.30000000999999998</v>
      </c>
      <c r="G618" s="10">
        <v>3</v>
      </c>
      <c r="H618" s="10">
        <v>0.30000000999999998</v>
      </c>
      <c r="I618" s="10">
        <v>0</v>
      </c>
      <c r="J618" s="10">
        <v>0</v>
      </c>
      <c r="K618" s="10">
        <v>1</v>
      </c>
      <c r="L618" s="10">
        <v>0.30000000999999998</v>
      </c>
      <c r="M618" s="10">
        <v>0</v>
      </c>
      <c r="N618" s="10">
        <v>0.30000000999999998</v>
      </c>
      <c r="O618" s="8" t="s">
        <v>31</v>
      </c>
      <c r="P618" s="8" t="s">
        <v>31</v>
      </c>
      <c r="Q618" s="8" t="s">
        <v>31</v>
      </c>
      <c r="R618" s="8" t="s">
        <v>31</v>
      </c>
      <c r="S618" s="8" t="s">
        <v>31</v>
      </c>
      <c r="T618" s="8" t="s">
        <v>31</v>
      </c>
      <c r="U618" s="8" t="s">
        <v>31</v>
      </c>
      <c r="V618" s="8" t="s">
        <v>31</v>
      </c>
      <c r="W618" s="8" t="str">
        <f>_xlfn.IFNA(VLOOKUP(A618,[1]Sheet1!$A$1:$B$101,1,FALSE),"na")</f>
        <v>na</v>
      </c>
      <c r="X618" s="8" t="s">
        <v>35</v>
      </c>
      <c r="Y618" s="9">
        <v>276</v>
      </c>
      <c r="Z618" s="9">
        <v>83.636368000000004</v>
      </c>
      <c r="AA618" s="9">
        <v>92</v>
      </c>
      <c r="AB618" s="9">
        <v>276</v>
      </c>
    </row>
    <row r="619" spans="1:28" x14ac:dyDescent="0.25">
      <c r="A619" s="8" t="s">
        <v>1314</v>
      </c>
      <c r="B619" s="8" t="s">
        <v>1315</v>
      </c>
      <c r="C619" s="8" t="s">
        <v>67</v>
      </c>
      <c r="D619" s="10">
        <v>3</v>
      </c>
      <c r="E619" s="10">
        <v>2</v>
      </c>
      <c r="F619" s="10">
        <v>1</v>
      </c>
      <c r="G619" s="10">
        <v>2</v>
      </c>
      <c r="H619" s="10">
        <v>1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8" t="s">
        <v>57</v>
      </c>
      <c r="P619" s="8" t="s">
        <v>31</v>
      </c>
      <c r="Q619" s="8" t="s">
        <v>31</v>
      </c>
      <c r="R619" s="8" t="s">
        <v>31</v>
      </c>
      <c r="S619" s="8" t="s">
        <v>31</v>
      </c>
      <c r="T619" s="8" t="s">
        <v>31</v>
      </c>
      <c r="U619" s="8" t="s">
        <v>31</v>
      </c>
      <c r="V619" s="8" t="s">
        <v>31</v>
      </c>
      <c r="W619" s="8" t="str">
        <f>_xlfn.IFNA(VLOOKUP(A619,[1]Sheet1!$A$1:$B$101,1,FALSE),"na")</f>
        <v>na</v>
      </c>
      <c r="X619" s="8" t="s">
        <v>375</v>
      </c>
      <c r="Y619" s="9">
        <v>189</v>
      </c>
      <c r="Z619" s="9">
        <v>63</v>
      </c>
      <c r="AA619" s="9">
        <v>94.5</v>
      </c>
      <c r="AB619" s="9">
        <v>189</v>
      </c>
    </row>
    <row r="620" spans="1:28" x14ac:dyDescent="0.25">
      <c r="A620" s="8" t="s">
        <v>1316</v>
      </c>
      <c r="B620" s="8" t="s">
        <v>1317</v>
      </c>
      <c r="C620" s="8" t="s">
        <v>67</v>
      </c>
      <c r="D620" s="10">
        <v>2.4000001000000002</v>
      </c>
      <c r="E620" s="10">
        <v>1</v>
      </c>
      <c r="F620" s="10">
        <v>1.4</v>
      </c>
      <c r="G620" s="10">
        <v>1</v>
      </c>
      <c r="H620" s="10">
        <v>1.4</v>
      </c>
      <c r="I620" s="10">
        <v>0</v>
      </c>
      <c r="J620" s="10">
        <v>0</v>
      </c>
      <c r="K620" s="10">
        <v>1</v>
      </c>
      <c r="L620" s="10">
        <v>0.2</v>
      </c>
      <c r="M620" s="10">
        <v>0</v>
      </c>
      <c r="N620" s="10">
        <v>0.40000001000000002</v>
      </c>
      <c r="O620" s="8" t="s">
        <v>57</v>
      </c>
      <c r="P620" s="8" t="s">
        <v>31</v>
      </c>
      <c r="Q620" s="8" t="s">
        <v>31</v>
      </c>
      <c r="R620" s="8" t="s">
        <v>31</v>
      </c>
      <c r="S620" s="8" t="s">
        <v>31</v>
      </c>
      <c r="T620" s="8" t="s">
        <v>31</v>
      </c>
      <c r="U620" s="8" t="s">
        <v>31</v>
      </c>
      <c r="V620" s="8" t="s">
        <v>31</v>
      </c>
      <c r="W620" s="8" t="str">
        <f>_xlfn.IFNA(VLOOKUP(A620,[1]Sheet1!$A$1:$B$101,1,FALSE),"na")</f>
        <v>na</v>
      </c>
      <c r="X620" s="8" t="s">
        <v>434</v>
      </c>
      <c r="Y620" s="9">
        <v>395</v>
      </c>
      <c r="Z620" s="9">
        <v>164.58332999999999</v>
      </c>
      <c r="AA620" s="9">
        <v>395</v>
      </c>
      <c r="AB620" s="9">
        <v>282.14285000000001</v>
      </c>
    </row>
    <row r="621" spans="1:28" x14ac:dyDescent="0.25">
      <c r="A621" s="8" t="s">
        <v>1318</v>
      </c>
      <c r="B621" s="8" t="s">
        <v>1319</v>
      </c>
      <c r="C621" s="8" t="s">
        <v>62</v>
      </c>
      <c r="D621" s="10">
        <v>3.1600001</v>
      </c>
      <c r="E621" s="10">
        <v>2</v>
      </c>
      <c r="F621" s="10">
        <v>1.1599999999999999</v>
      </c>
      <c r="G621" s="10">
        <v>2</v>
      </c>
      <c r="H621" s="10">
        <v>1.1599999999999999</v>
      </c>
      <c r="I621" s="10">
        <v>0</v>
      </c>
      <c r="J621" s="10">
        <v>0</v>
      </c>
      <c r="K621" s="10">
        <v>0</v>
      </c>
      <c r="L621" s="10">
        <v>3.9999999000000001E-2</v>
      </c>
      <c r="M621" s="10">
        <v>0</v>
      </c>
      <c r="N621" s="10">
        <v>0.16</v>
      </c>
      <c r="O621" s="8" t="s">
        <v>31</v>
      </c>
      <c r="P621" s="8" t="s">
        <v>31</v>
      </c>
      <c r="Q621" s="8" t="s">
        <v>31</v>
      </c>
      <c r="R621" s="8" t="s">
        <v>31</v>
      </c>
      <c r="S621" s="8" t="s">
        <v>31</v>
      </c>
      <c r="T621" s="8" t="s">
        <v>31</v>
      </c>
      <c r="U621" s="8" t="s">
        <v>31</v>
      </c>
      <c r="V621" s="8" t="s">
        <v>31</v>
      </c>
      <c r="W621" s="8" t="str">
        <f>_xlfn.IFNA(VLOOKUP(A621,[1]Sheet1!$A$1:$B$101,1,FALSE),"na")</f>
        <v>na</v>
      </c>
      <c r="X621" s="8" t="s">
        <v>35</v>
      </c>
      <c r="Y621" s="9">
        <v>344</v>
      </c>
      <c r="Z621" s="9">
        <v>108.86076</v>
      </c>
      <c r="AA621" s="9">
        <v>172</v>
      </c>
      <c r="AB621" s="9">
        <v>296.55173000000002</v>
      </c>
    </row>
    <row r="622" spans="1:28" x14ac:dyDescent="0.25">
      <c r="A622" s="8" t="s">
        <v>1320</v>
      </c>
      <c r="B622" s="8" t="s">
        <v>1321</v>
      </c>
      <c r="C622" s="8" t="s">
        <v>62</v>
      </c>
      <c r="D622" s="10">
        <v>4</v>
      </c>
      <c r="E622" s="10">
        <v>2</v>
      </c>
      <c r="F622" s="10">
        <v>2</v>
      </c>
      <c r="G622" s="10">
        <v>2</v>
      </c>
      <c r="H622" s="10">
        <v>2</v>
      </c>
      <c r="I622" s="10">
        <v>0</v>
      </c>
      <c r="J622" s="10">
        <v>0</v>
      </c>
      <c r="K622" s="10">
        <v>2</v>
      </c>
      <c r="L622" s="10">
        <v>0</v>
      </c>
      <c r="M622" s="10">
        <v>0</v>
      </c>
      <c r="N622" s="10">
        <v>0</v>
      </c>
      <c r="O622" s="8" t="s">
        <v>31</v>
      </c>
      <c r="P622" s="8" t="s">
        <v>31</v>
      </c>
      <c r="Q622" s="8" t="s">
        <v>31</v>
      </c>
      <c r="R622" s="8" t="s">
        <v>31</v>
      </c>
      <c r="S622" s="8" t="s">
        <v>31</v>
      </c>
      <c r="T622" s="8" t="s">
        <v>57</v>
      </c>
      <c r="U622" s="8" t="s">
        <v>31</v>
      </c>
      <c r="V622" s="8" t="s">
        <v>31</v>
      </c>
      <c r="W622" s="8" t="str">
        <f>_xlfn.IFNA(VLOOKUP(A622,[1]Sheet1!$A$1:$B$101,1,FALSE),"na")</f>
        <v>na</v>
      </c>
      <c r="X622" s="8" t="s">
        <v>666</v>
      </c>
      <c r="Y622" s="9">
        <v>287</v>
      </c>
      <c r="Z622" s="9">
        <v>71.75</v>
      </c>
      <c r="AA622" s="9">
        <v>143.5</v>
      </c>
      <c r="AB622" s="9">
        <v>143.5</v>
      </c>
    </row>
    <row r="623" spans="1:28" x14ac:dyDescent="0.25">
      <c r="A623" s="8" t="s">
        <v>1322</v>
      </c>
      <c r="B623" s="8" t="s">
        <v>1323</v>
      </c>
      <c r="C623" s="8" t="s">
        <v>30</v>
      </c>
      <c r="D623" s="10">
        <v>2.4000001000000002</v>
      </c>
      <c r="E623" s="10">
        <v>1</v>
      </c>
      <c r="F623" s="10">
        <v>1.4</v>
      </c>
      <c r="G623" s="10">
        <v>1</v>
      </c>
      <c r="H623" s="10">
        <v>1.4</v>
      </c>
      <c r="I623" s="10">
        <v>0</v>
      </c>
      <c r="J623" s="10">
        <v>0</v>
      </c>
      <c r="K623" s="10">
        <v>0</v>
      </c>
      <c r="L623" s="10">
        <v>0.40000001000000002</v>
      </c>
      <c r="M623" s="10">
        <v>0</v>
      </c>
      <c r="N623" s="10">
        <v>0.40000001000000002</v>
      </c>
      <c r="O623" s="8" t="s">
        <v>57</v>
      </c>
      <c r="P623" s="8" t="s">
        <v>31</v>
      </c>
      <c r="Q623" s="8" t="s">
        <v>31</v>
      </c>
      <c r="R623" s="8" t="s">
        <v>31</v>
      </c>
      <c r="S623" s="8" t="s">
        <v>31</v>
      </c>
      <c r="T623" s="8" t="s">
        <v>31</v>
      </c>
      <c r="U623" s="8" t="s">
        <v>31</v>
      </c>
      <c r="V623" s="8" t="s">
        <v>31</v>
      </c>
      <c r="W623" s="8" t="str">
        <f>_xlfn.IFNA(VLOOKUP(A623,[1]Sheet1!$A$1:$B$101,1,FALSE),"na")</f>
        <v>na</v>
      </c>
      <c r="X623" s="8" t="s">
        <v>35</v>
      </c>
      <c r="Y623" s="9">
        <v>323</v>
      </c>
      <c r="Z623" s="9">
        <v>134.58332999999999</v>
      </c>
      <c r="AA623" s="9">
        <v>323</v>
      </c>
      <c r="AB623" s="9">
        <v>230.71429000000001</v>
      </c>
    </row>
    <row r="624" spans="1:28" x14ac:dyDescent="0.25">
      <c r="A624" s="8" t="s">
        <v>1324</v>
      </c>
      <c r="B624" s="8" t="s">
        <v>1325</v>
      </c>
      <c r="C624" s="8" t="s">
        <v>30</v>
      </c>
      <c r="D624" s="10">
        <v>2.2999999999999998</v>
      </c>
      <c r="E624" s="10">
        <v>1</v>
      </c>
      <c r="F624" s="10">
        <v>1.3</v>
      </c>
      <c r="G624" s="10">
        <v>1</v>
      </c>
      <c r="H624" s="10">
        <v>1.3</v>
      </c>
      <c r="I624" s="10">
        <v>0</v>
      </c>
      <c r="J624" s="10">
        <v>0</v>
      </c>
      <c r="K624" s="10">
        <v>1</v>
      </c>
      <c r="L624" s="10">
        <v>0</v>
      </c>
      <c r="M624" s="10">
        <v>0</v>
      </c>
      <c r="N624" s="10">
        <v>0.30000000999999998</v>
      </c>
      <c r="O624" s="8" t="s">
        <v>31</v>
      </c>
      <c r="P624" s="8" t="s">
        <v>31</v>
      </c>
      <c r="Q624" s="8" t="s">
        <v>31</v>
      </c>
      <c r="R624" s="8" t="s">
        <v>31</v>
      </c>
      <c r="S624" s="8" t="s">
        <v>31</v>
      </c>
      <c r="T624" s="8" t="s">
        <v>31</v>
      </c>
      <c r="U624" s="8" t="s">
        <v>31</v>
      </c>
      <c r="V624" s="8" t="s">
        <v>31</v>
      </c>
      <c r="W624" s="8" t="str">
        <f>_xlfn.IFNA(VLOOKUP(A624,[1]Sheet1!$A$1:$B$101,1,FALSE),"na")</f>
        <v>na</v>
      </c>
      <c r="X624" s="8" t="s">
        <v>666</v>
      </c>
      <c r="Y624" s="9">
        <v>299</v>
      </c>
      <c r="Z624" s="9">
        <v>130</v>
      </c>
      <c r="AA624" s="9">
        <v>299</v>
      </c>
      <c r="AB624" s="9">
        <v>230.00002000000001</v>
      </c>
    </row>
    <row r="625" spans="1:28" x14ac:dyDescent="0.25">
      <c r="A625" s="8" t="s">
        <v>1326</v>
      </c>
      <c r="B625" s="8" t="s">
        <v>1327</v>
      </c>
      <c r="C625" s="8" t="s">
        <v>62</v>
      </c>
      <c r="D625" s="10">
        <v>2.1600001</v>
      </c>
      <c r="E625" s="10">
        <v>1</v>
      </c>
      <c r="F625" s="10">
        <v>1.1599999999999999</v>
      </c>
      <c r="G625" s="10">
        <v>1</v>
      </c>
      <c r="H625" s="10">
        <v>1.1599999999999999</v>
      </c>
      <c r="I625" s="10">
        <v>0</v>
      </c>
      <c r="J625" s="10">
        <v>0</v>
      </c>
      <c r="K625" s="10">
        <v>0</v>
      </c>
      <c r="L625" s="10">
        <v>3.9999999000000001E-2</v>
      </c>
      <c r="M625" s="10">
        <v>0</v>
      </c>
      <c r="N625" s="10">
        <v>0.16</v>
      </c>
      <c r="O625" s="8" t="s">
        <v>31</v>
      </c>
      <c r="P625" s="8" t="s">
        <v>31</v>
      </c>
      <c r="Q625" s="8" t="s">
        <v>31</v>
      </c>
      <c r="R625" s="8" t="s">
        <v>31</v>
      </c>
      <c r="S625" s="8" t="s">
        <v>31</v>
      </c>
      <c r="T625" s="8" t="s">
        <v>31</v>
      </c>
      <c r="U625" s="8" t="s">
        <v>31</v>
      </c>
      <c r="V625" s="8" t="s">
        <v>31</v>
      </c>
      <c r="W625" s="8" t="str">
        <f>_xlfn.IFNA(VLOOKUP(A625,[1]Sheet1!$A$1:$B$101,1,FALSE),"na")</f>
        <v>na</v>
      </c>
      <c r="X625" s="8" t="s">
        <v>35</v>
      </c>
      <c r="Y625" s="9">
        <v>303</v>
      </c>
      <c r="Z625" s="9">
        <v>140.27777</v>
      </c>
      <c r="AA625" s="9">
        <v>303</v>
      </c>
      <c r="AB625" s="9">
        <v>261.20690999999999</v>
      </c>
    </row>
    <row r="626" spans="1:28" x14ac:dyDescent="0.25">
      <c r="A626" s="8" t="s">
        <v>1328</v>
      </c>
      <c r="B626" s="8" t="s">
        <v>1329</v>
      </c>
      <c r="C626" s="8" t="s">
        <v>62</v>
      </c>
      <c r="D626" s="10">
        <v>2.2000000000000002</v>
      </c>
      <c r="E626" s="10">
        <v>1</v>
      </c>
      <c r="F626" s="10">
        <v>1.2</v>
      </c>
      <c r="G626" s="10">
        <v>1</v>
      </c>
      <c r="H626" s="10">
        <v>1.2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0.2</v>
      </c>
      <c r="O626" s="8" t="s">
        <v>31</v>
      </c>
      <c r="P626" s="8" t="s">
        <v>31</v>
      </c>
      <c r="Q626" s="8" t="s">
        <v>31</v>
      </c>
      <c r="R626" s="8" t="s">
        <v>31</v>
      </c>
      <c r="S626" s="8" t="s">
        <v>31</v>
      </c>
      <c r="T626" s="8" t="s">
        <v>57</v>
      </c>
      <c r="U626" s="8" t="s">
        <v>31</v>
      </c>
      <c r="V626" s="8" t="s">
        <v>31</v>
      </c>
      <c r="W626" s="8" t="str">
        <f>_xlfn.IFNA(VLOOKUP(A626,[1]Sheet1!$A$1:$B$101,1,FALSE),"na")</f>
        <v>na</v>
      </c>
      <c r="X626" s="8" t="s">
        <v>35</v>
      </c>
      <c r="Y626" s="9">
        <v>124</v>
      </c>
      <c r="Z626" s="9">
        <v>56.363636</v>
      </c>
      <c r="AA626" s="9">
        <v>124</v>
      </c>
      <c r="AB626" s="9">
        <v>103.33333</v>
      </c>
    </row>
    <row r="627" spans="1:28" x14ac:dyDescent="0.25">
      <c r="A627" s="8" t="s">
        <v>1330</v>
      </c>
      <c r="B627" s="8" t="s">
        <v>1331</v>
      </c>
      <c r="C627" s="8" t="s">
        <v>62</v>
      </c>
      <c r="D627" s="10">
        <v>2</v>
      </c>
      <c r="E627" s="10">
        <v>1</v>
      </c>
      <c r="F627" s="10">
        <v>1</v>
      </c>
      <c r="G627" s="10">
        <v>1</v>
      </c>
      <c r="H627" s="10">
        <v>1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8" t="s">
        <v>31</v>
      </c>
      <c r="P627" s="8" t="s">
        <v>31</v>
      </c>
      <c r="Q627" s="8" t="s">
        <v>31</v>
      </c>
      <c r="R627" s="8" t="s">
        <v>31</v>
      </c>
      <c r="S627" s="8" t="s">
        <v>31</v>
      </c>
      <c r="T627" s="8" t="s">
        <v>31</v>
      </c>
      <c r="U627" s="8" t="s">
        <v>31</v>
      </c>
      <c r="V627" s="8" t="s">
        <v>31</v>
      </c>
      <c r="W627" s="8" t="str">
        <f>_xlfn.IFNA(VLOOKUP(A627,[1]Sheet1!$A$1:$B$101,1,FALSE),"na")</f>
        <v>na</v>
      </c>
      <c r="X627" s="8" t="s">
        <v>666</v>
      </c>
      <c r="Y627" s="9">
        <v>131</v>
      </c>
      <c r="Z627" s="9">
        <v>65.5</v>
      </c>
      <c r="AA627" s="9">
        <v>131</v>
      </c>
      <c r="AB627" s="9">
        <v>131</v>
      </c>
    </row>
    <row r="628" spans="1:28" x14ac:dyDescent="0.25">
      <c r="A628" s="8" t="s">
        <v>1332</v>
      </c>
      <c r="B628" s="8" t="s">
        <v>1333</v>
      </c>
      <c r="C628" s="8" t="s">
        <v>62</v>
      </c>
      <c r="D628" s="10">
        <v>3.1333300999999998</v>
      </c>
      <c r="E628" s="10">
        <v>1</v>
      </c>
      <c r="F628" s="10">
        <v>2.1333300999999998</v>
      </c>
      <c r="G628" s="10">
        <v>1</v>
      </c>
      <c r="H628" s="10">
        <v>2.1333300999999998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0.13333</v>
      </c>
      <c r="O628" s="8" t="s">
        <v>31</v>
      </c>
      <c r="P628" s="8" t="s">
        <v>31</v>
      </c>
      <c r="Q628" s="8" t="s">
        <v>57</v>
      </c>
      <c r="R628" s="8" t="s">
        <v>31</v>
      </c>
      <c r="S628" s="8" t="s">
        <v>31</v>
      </c>
      <c r="T628" s="8" t="s">
        <v>57</v>
      </c>
      <c r="U628" s="8" t="s">
        <v>31</v>
      </c>
      <c r="V628" s="8" t="s">
        <v>31</v>
      </c>
      <c r="W628" s="8" t="str">
        <f>_xlfn.IFNA(VLOOKUP(A628,[1]Sheet1!$A$1:$B$101,1,FALSE),"na")</f>
        <v>na</v>
      </c>
      <c r="X628" s="8" t="s">
        <v>1334</v>
      </c>
      <c r="Y628" s="9">
        <v>267</v>
      </c>
      <c r="Z628" s="9">
        <v>85.212851999999998</v>
      </c>
      <c r="AA628" s="9">
        <v>267</v>
      </c>
      <c r="AB628" s="9">
        <v>125.15644</v>
      </c>
    </row>
    <row r="629" spans="1:28" x14ac:dyDescent="0.25">
      <c r="A629" s="8" t="s">
        <v>1335</v>
      </c>
      <c r="B629" s="8" t="s">
        <v>1336</v>
      </c>
      <c r="C629" s="8" t="s">
        <v>62</v>
      </c>
      <c r="D629" s="10">
        <v>3.1600001</v>
      </c>
      <c r="E629" s="10">
        <v>2</v>
      </c>
      <c r="F629" s="10">
        <v>1.1599999999999999</v>
      </c>
      <c r="G629" s="10">
        <v>2</v>
      </c>
      <c r="H629" s="10">
        <v>1.1599999999999999</v>
      </c>
      <c r="I629" s="10">
        <v>0</v>
      </c>
      <c r="J629" s="10">
        <v>0</v>
      </c>
      <c r="K629" s="10">
        <v>1</v>
      </c>
      <c r="L629" s="10">
        <v>3.9999999000000001E-2</v>
      </c>
      <c r="M629" s="10">
        <v>0</v>
      </c>
      <c r="N629" s="10">
        <v>0.16</v>
      </c>
      <c r="O629" s="8" t="s">
        <v>31</v>
      </c>
      <c r="P629" s="8" t="s">
        <v>31</v>
      </c>
      <c r="Q629" s="8" t="s">
        <v>31</v>
      </c>
      <c r="R629" s="8" t="s">
        <v>31</v>
      </c>
      <c r="S629" s="8" t="s">
        <v>31</v>
      </c>
      <c r="T629" s="8" t="s">
        <v>57</v>
      </c>
      <c r="U629" s="8" t="s">
        <v>31</v>
      </c>
      <c r="V629" s="8" t="s">
        <v>31</v>
      </c>
      <c r="W629" s="8" t="str">
        <f>_xlfn.IFNA(VLOOKUP(A629,[1]Sheet1!$A$1:$B$101,1,FALSE),"na")</f>
        <v>na</v>
      </c>
      <c r="X629" s="8" t="s">
        <v>35</v>
      </c>
      <c r="Y629" s="9">
        <v>360</v>
      </c>
      <c r="Z629" s="9">
        <v>113.92404999999999</v>
      </c>
      <c r="AA629" s="9">
        <v>180</v>
      </c>
      <c r="AB629" s="9">
        <v>310.34485000000001</v>
      </c>
    </row>
    <row r="630" spans="1:28" x14ac:dyDescent="0.25">
      <c r="A630" s="8" t="s">
        <v>1337</v>
      </c>
      <c r="B630" s="8" t="s">
        <v>1338</v>
      </c>
      <c r="C630" s="8" t="s">
        <v>30</v>
      </c>
      <c r="D630" s="10">
        <v>1.3333299999999999</v>
      </c>
      <c r="E630" s="10">
        <v>1</v>
      </c>
      <c r="F630" s="10">
        <v>0.33333001000000001</v>
      </c>
      <c r="G630" s="10">
        <v>1</v>
      </c>
      <c r="H630" s="10">
        <v>0.33333001000000001</v>
      </c>
      <c r="I630" s="10">
        <v>0</v>
      </c>
      <c r="J630" s="10">
        <v>0</v>
      </c>
      <c r="K630" s="10">
        <v>0</v>
      </c>
      <c r="L630" s="10">
        <v>0.13333</v>
      </c>
      <c r="M630" s="10">
        <v>0</v>
      </c>
      <c r="N630" s="10">
        <v>0.33333001000000001</v>
      </c>
      <c r="O630" s="8" t="s">
        <v>31</v>
      </c>
      <c r="P630" s="8" t="s">
        <v>31</v>
      </c>
      <c r="Q630" s="8" t="s">
        <v>31</v>
      </c>
      <c r="R630" s="8" t="s">
        <v>31</v>
      </c>
      <c r="S630" s="8" t="s">
        <v>31</v>
      </c>
      <c r="T630" s="8" t="s">
        <v>31</v>
      </c>
      <c r="U630" s="8" t="s">
        <v>31</v>
      </c>
      <c r="V630" s="8" t="s">
        <v>31</v>
      </c>
      <c r="W630" s="8" t="str">
        <f>_xlfn.IFNA(VLOOKUP(A630,[1]Sheet1!$A$1:$B$101,1,FALSE),"na")</f>
        <v>na</v>
      </c>
      <c r="X630" s="8" t="s">
        <v>35</v>
      </c>
      <c r="Y630" s="9">
        <v>317</v>
      </c>
      <c r="Z630" s="9">
        <v>237.75059999999999</v>
      </c>
      <c r="AA630" s="9">
        <v>317</v>
      </c>
      <c r="AB630" s="9">
        <v>317</v>
      </c>
    </row>
    <row r="631" spans="1:28" x14ac:dyDescent="0.25">
      <c r="A631" s="8" t="s">
        <v>1339</v>
      </c>
      <c r="B631" s="8" t="s">
        <v>1340</v>
      </c>
      <c r="C631" s="8" t="s">
        <v>30</v>
      </c>
      <c r="D631" s="10">
        <v>2.3333298999999998</v>
      </c>
      <c r="E631" s="10">
        <v>1</v>
      </c>
      <c r="F631" s="10">
        <v>1.3333299999999999</v>
      </c>
      <c r="G631" s="10">
        <v>1</v>
      </c>
      <c r="H631" s="10">
        <v>1.3333299999999999</v>
      </c>
      <c r="I631" s="10">
        <v>0</v>
      </c>
      <c r="J631" s="10">
        <v>0</v>
      </c>
      <c r="K631" s="10">
        <v>0</v>
      </c>
      <c r="L631" s="10">
        <v>0.13333</v>
      </c>
      <c r="M631" s="10">
        <v>0</v>
      </c>
      <c r="N631" s="10">
        <v>0.33333001000000001</v>
      </c>
      <c r="O631" s="8" t="s">
        <v>57</v>
      </c>
      <c r="P631" s="8" t="s">
        <v>31</v>
      </c>
      <c r="Q631" s="8" t="s">
        <v>31</v>
      </c>
      <c r="R631" s="8" t="s">
        <v>31</v>
      </c>
      <c r="S631" s="8" t="s">
        <v>31</v>
      </c>
      <c r="T631" s="8" t="s">
        <v>31</v>
      </c>
      <c r="U631" s="8" t="s">
        <v>31</v>
      </c>
      <c r="V631" s="8" t="s">
        <v>31</v>
      </c>
      <c r="W631" s="8" t="str">
        <f>_xlfn.IFNA(VLOOKUP(A631,[1]Sheet1!$A$1:$B$101,1,FALSE),"na")</f>
        <v>na</v>
      </c>
      <c r="X631" s="8" t="s">
        <v>35</v>
      </c>
      <c r="Y631" s="9">
        <v>276</v>
      </c>
      <c r="Z631" s="9">
        <v>118.28588999999999</v>
      </c>
      <c r="AA631" s="9">
        <v>276</v>
      </c>
      <c r="AB631" s="9">
        <v>207.00051999999999</v>
      </c>
    </row>
    <row r="632" spans="1:28" x14ac:dyDescent="0.25">
      <c r="A632" s="8" t="s">
        <v>1341</v>
      </c>
      <c r="B632" s="8" t="s">
        <v>1342</v>
      </c>
      <c r="C632" s="8" t="s">
        <v>62</v>
      </c>
      <c r="D632" s="10">
        <v>4.1599997999999996</v>
      </c>
      <c r="E632" s="10">
        <v>3</v>
      </c>
      <c r="F632" s="10">
        <v>1.1599999999999999</v>
      </c>
      <c r="G632" s="10">
        <v>3</v>
      </c>
      <c r="H632" s="10">
        <v>1.1599999999999999</v>
      </c>
      <c r="I632" s="10">
        <v>0</v>
      </c>
      <c r="J632" s="10">
        <v>0</v>
      </c>
      <c r="K632" s="10">
        <v>1</v>
      </c>
      <c r="L632" s="10">
        <v>3.9999999000000001E-2</v>
      </c>
      <c r="M632" s="10">
        <v>0</v>
      </c>
      <c r="N632" s="10">
        <v>0.16</v>
      </c>
      <c r="O632" s="8" t="s">
        <v>57</v>
      </c>
      <c r="P632" s="8" t="s">
        <v>31</v>
      </c>
      <c r="Q632" s="8" t="s">
        <v>31</v>
      </c>
      <c r="R632" s="8" t="s">
        <v>31</v>
      </c>
      <c r="S632" s="8" t="s">
        <v>31</v>
      </c>
      <c r="T632" s="8" t="s">
        <v>31</v>
      </c>
      <c r="U632" s="8" t="s">
        <v>31</v>
      </c>
      <c r="V632" s="8" t="s">
        <v>31</v>
      </c>
      <c r="W632" s="8" t="str">
        <f>_xlfn.IFNA(VLOOKUP(A632,[1]Sheet1!$A$1:$B$101,1,FALSE),"na")</f>
        <v>na</v>
      </c>
      <c r="X632" s="8" t="s">
        <v>666</v>
      </c>
      <c r="Y632" s="9">
        <v>376</v>
      </c>
      <c r="Z632" s="9">
        <v>90.384620999999996</v>
      </c>
      <c r="AA632" s="9">
        <v>125.33334000000001</v>
      </c>
      <c r="AB632" s="9">
        <v>324.13794000000001</v>
      </c>
    </row>
    <row r="633" spans="1:28" x14ac:dyDescent="0.25">
      <c r="A633" s="8" t="s">
        <v>1343</v>
      </c>
      <c r="B633" s="8" t="s">
        <v>1344</v>
      </c>
      <c r="C633" s="8" t="s">
        <v>30</v>
      </c>
      <c r="D633" s="10">
        <v>1.3</v>
      </c>
      <c r="E633" s="10">
        <v>1</v>
      </c>
      <c r="F633" s="10">
        <v>0.30000000999999998</v>
      </c>
      <c r="G633" s="10">
        <v>1</v>
      </c>
      <c r="H633" s="10">
        <v>0.30000000999999998</v>
      </c>
      <c r="I633" s="10">
        <v>0</v>
      </c>
      <c r="J633" s="10">
        <v>0</v>
      </c>
      <c r="K633" s="10">
        <v>0</v>
      </c>
      <c r="L633" s="10">
        <v>0.2</v>
      </c>
      <c r="M633" s="10">
        <v>0</v>
      </c>
      <c r="N633" s="10">
        <v>0.30000000999999998</v>
      </c>
      <c r="O633" s="8" t="s">
        <v>31</v>
      </c>
      <c r="P633" s="8" t="s">
        <v>31</v>
      </c>
      <c r="Q633" s="8" t="s">
        <v>31</v>
      </c>
      <c r="R633" s="8" t="s">
        <v>31</v>
      </c>
      <c r="S633" s="8" t="s">
        <v>31</v>
      </c>
      <c r="T633" s="8" t="s">
        <v>31</v>
      </c>
      <c r="U633" s="8" t="s">
        <v>31</v>
      </c>
      <c r="V633" s="8" t="s">
        <v>31</v>
      </c>
      <c r="W633" s="8" t="str">
        <f>_xlfn.IFNA(VLOOKUP(A633,[1]Sheet1!$A$1:$B$101,1,FALSE),"na")</f>
        <v>na</v>
      </c>
      <c r="X633" s="8" t="s">
        <v>1263</v>
      </c>
      <c r="Y633" s="9">
        <v>252</v>
      </c>
      <c r="Z633" s="9">
        <v>193.84616</v>
      </c>
      <c r="AA633" s="9">
        <v>252</v>
      </c>
      <c r="AB633" s="9">
        <v>252</v>
      </c>
    </row>
    <row r="634" spans="1:28" x14ac:dyDescent="0.25">
      <c r="A634" s="8" t="s">
        <v>1345</v>
      </c>
      <c r="B634" s="8" t="s">
        <v>1346</v>
      </c>
      <c r="C634" s="8" t="s">
        <v>62</v>
      </c>
      <c r="D634" s="10">
        <v>2.5333299999999999</v>
      </c>
      <c r="E634" s="10">
        <v>2.4000001000000002</v>
      </c>
      <c r="F634" s="10">
        <v>0.13333</v>
      </c>
      <c r="G634" s="10">
        <v>2</v>
      </c>
      <c r="H634" s="10">
        <v>0.13333</v>
      </c>
      <c r="I634" s="10">
        <v>0.40000001000000002</v>
      </c>
      <c r="J634" s="10">
        <v>0</v>
      </c>
      <c r="K634" s="10">
        <v>0</v>
      </c>
      <c r="L634" s="10">
        <v>0</v>
      </c>
      <c r="M634" s="10">
        <v>0</v>
      </c>
      <c r="N634" s="10">
        <v>0.13333</v>
      </c>
      <c r="O634" s="8" t="s">
        <v>31</v>
      </c>
      <c r="P634" s="8" t="s">
        <v>31</v>
      </c>
      <c r="Q634" s="8" t="s">
        <v>31</v>
      </c>
      <c r="R634" s="8" t="s">
        <v>31</v>
      </c>
      <c r="S634" s="8" t="s">
        <v>31</v>
      </c>
      <c r="T634" s="8" t="s">
        <v>31</v>
      </c>
      <c r="U634" s="8" t="s">
        <v>31</v>
      </c>
      <c r="V634" s="8" t="s">
        <v>31</v>
      </c>
      <c r="W634" s="8" t="str">
        <f>_xlfn.IFNA(VLOOKUP(A634,[1]Sheet1!$A$1:$B$101,1,FALSE),"na")</f>
        <v>na</v>
      </c>
      <c r="X634" s="8" t="s">
        <v>35</v>
      </c>
      <c r="Y634" s="9">
        <v>247</v>
      </c>
      <c r="Z634" s="9">
        <v>97.500129999999999</v>
      </c>
      <c r="AA634" s="9">
        <v>102.91665999999999</v>
      </c>
      <c r="AB634" s="9">
        <v>247</v>
      </c>
    </row>
    <row r="635" spans="1:28" x14ac:dyDescent="0.25">
      <c r="A635" s="8" t="s">
        <v>1347</v>
      </c>
      <c r="B635" s="8" t="s">
        <v>1348</v>
      </c>
      <c r="C635" s="8" t="s">
        <v>62</v>
      </c>
      <c r="D635" s="10">
        <v>3</v>
      </c>
      <c r="E635" s="10">
        <v>0</v>
      </c>
      <c r="F635" s="10">
        <v>3</v>
      </c>
      <c r="G635" s="10">
        <v>0</v>
      </c>
      <c r="H635" s="10">
        <v>3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0</v>
      </c>
      <c r="O635" s="8" t="s">
        <v>31</v>
      </c>
      <c r="P635" s="8" t="s">
        <v>31</v>
      </c>
      <c r="Q635" s="8" t="s">
        <v>31</v>
      </c>
      <c r="R635" s="8" t="s">
        <v>31</v>
      </c>
      <c r="S635" s="8" t="s">
        <v>31</v>
      </c>
      <c r="T635" s="8" t="s">
        <v>57</v>
      </c>
      <c r="U635" s="8" t="s">
        <v>57</v>
      </c>
      <c r="V635" s="8" t="s">
        <v>31</v>
      </c>
      <c r="W635" s="8" t="str">
        <f>_xlfn.IFNA(VLOOKUP(A635,[1]Sheet1!$A$1:$B$101,1,FALSE),"na")</f>
        <v>na</v>
      </c>
      <c r="X635" s="8" t="s">
        <v>484</v>
      </c>
      <c r="Y635" s="9">
        <v>411</v>
      </c>
      <c r="Z635" s="9">
        <v>137</v>
      </c>
      <c r="AA635" s="9">
        <v>411</v>
      </c>
      <c r="AB635" s="9">
        <v>137</v>
      </c>
    </row>
    <row r="636" spans="1:28" x14ac:dyDescent="0.25">
      <c r="A636" s="8" t="s">
        <v>1349</v>
      </c>
      <c r="B636" s="8" t="s">
        <v>1350</v>
      </c>
      <c r="C636" s="8" t="s">
        <v>62</v>
      </c>
      <c r="D636" s="10">
        <v>3.2</v>
      </c>
      <c r="E636" s="10">
        <v>2</v>
      </c>
      <c r="F636" s="10">
        <v>1.2</v>
      </c>
      <c r="G636" s="10">
        <v>2</v>
      </c>
      <c r="H636" s="10">
        <v>1.2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0.2</v>
      </c>
      <c r="O636" s="8" t="s">
        <v>57</v>
      </c>
      <c r="P636" s="8" t="s">
        <v>31</v>
      </c>
      <c r="Q636" s="8" t="s">
        <v>31</v>
      </c>
      <c r="R636" s="8" t="s">
        <v>31</v>
      </c>
      <c r="S636" s="8" t="s">
        <v>31</v>
      </c>
      <c r="T636" s="8" t="s">
        <v>57</v>
      </c>
      <c r="U636" s="8" t="s">
        <v>31</v>
      </c>
      <c r="V636" s="8" t="s">
        <v>57</v>
      </c>
      <c r="W636" s="8" t="str">
        <f>_xlfn.IFNA(VLOOKUP(A636,[1]Sheet1!$A$1:$B$101,1,FALSE),"na")</f>
        <v>na</v>
      </c>
      <c r="X636" s="8" t="s">
        <v>1351</v>
      </c>
      <c r="Y636" s="9">
        <v>231</v>
      </c>
      <c r="Z636" s="9">
        <v>72.1875</v>
      </c>
      <c r="AA636" s="9">
        <v>115.5</v>
      </c>
      <c r="AB636" s="9">
        <v>192.49997999999999</v>
      </c>
    </row>
    <row r="637" spans="1:28" x14ac:dyDescent="0.25">
      <c r="A637" s="8" t="s">
        <v>1352</v>
      </c>
      <c r="B637" s="8" t="s">
        <v>1353</v>
      </c>
      <c r="C637" s="8" t="s">
        <v>30</v>
      </c>
      <c r="D637" s="10">
        <v>2.3333298999999998</v>
      </c>
      <c r="E637" s="10">
        <v>1</v>
      </c>
      <c r="F637" s="10">
        <v>1.3333299999999999</v>
      </c>
      <c r="G637" s="10">
        <v>1</v>
      </c>
      <c r="H637" s="10">
        <v>1.3333299999999999</v>
      </c>
      <c r="I637" s="10">
        <v>0</v>
      </c>
      <c r="J637" s="10">
        <v>0</v>
      </c>
      <c r="K637" s="10">
        <v>0</v>
      </c>
      <c r="L637" s="10">
        <v>0.13333</v>
      </c>
      <c r="M637" s="10">
        <v>0</v>
      </c>
      <c r="N637" s="10">
        <v>0.33333001000000001</v>
      </c>
      <c r="O637" s="8" t="s">
        <v>57</v>
      </c>
      <c r="P637" s="8" t="s">
        <v>31</v>
      </c>
      <c r="Q637" s="8" t="s">
        <v>31</v>
      </c>
      <c r="R637" s="8" t="s">
        <v>31</v>
      </c>
      <c r="S637" s="8" t="s">
        <v>31</v>
      </c>
      <c r="T637" s="8" t="s">
        <v>31</v>
      </c>
      <c r="U637" s="8" t="s">
        <v>31</v>
      </c>
      <c r="V637" s="8" t="s">
        <v>31</v>
      </c>
      <c r="W637" s="8" t="str">
        <f>_xlfn.IFNA(VLOOKUP(A637,[1]Sheet1!$A$1:$B$101,1,FALSE),"na")</f>
        <v>na</v>
      </c>
      <c r="X637" s="8" t="s">
        <v>35</v>
      </c>
      <c r="Y637" s="9">
        <v>320</v>
      </c>
      <c r="Z637" s="9">
        <v>137.14304999999999</v>
      </c>
      <c r="AA637" s="9">
        <v>320</v>
      </c>
      <c r="AB637" s="9">
        <v>240.00059999999999</v>
      </c>
    </row>
    <row r="638" spans="1:28" x14ac:dyDescent="0.25">
      <c r="A638" s="8" t="s">
        <v>1354</v>
      </c>
      <c r="B638" s="8" t="s">
        <v>1355</v>
      </c>
      <c r="C638" s="8" t="s">
        <v>30</v>
      </c>
      <c r="D638" s="10">
        <v>2.4000001000000002</v>
      </c>
      <c r="E638" s="10">
        <v>1</v>
      </c>
      <c r="F638" s="10">
        <v>1.4</v>
      </c>
      <c r="G638" s="10">
        <v>1</v>
      </c>
      <c r="H638" s="10">
        <v>1.4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  <c r="N638" s="10">
        <v>0.40000001000000002</v>
      </c>
      <c r="O638" s="8" t="s">
        <v>57</v>
      </c>
      <c r="P638" s="8" t="s">
        <v>57</v>
      </c>
      <c r="Q638" s="8" t="s">
        <v>31</v>
      </c>
      <c r="R638" s="8" t="s">
        <v>31</v>
      </c>
      <c r="S638" s="8" t="s">
        <v>31</v>
      </c>
      <c r="T638" s="8" t="s">
        <v>31</v>
      </c>
      <c r="U638" s="8" t="s">
        <v>31</v>
      </c>
      <c r="V638" s="8" t="s">
        <v>31</v>
      </c>
      <c r="W638" s="8" t="str">
        <f>_xlfn.IFNA(VLOOKUP(A638,[1]Sheet1!$A$1:$B$101,1,FALSE),"na")</f>
        <v>na</v>
      </c>
      <c r="X638" s="8" t="s">
        <v>35</v>
      </c>
      <c r="Y638" s="9">
        <v>173</v>
      </c>
      <c r="Z638" s="9">
        <v>72.083327999999995</v>
      </c>
      <c r="AA638" s="9">
        <v>173</v>
      </c>
      <c r="AB638" s="9">
        <v>123.57143000000001</v>
      </c>
    </row>
    <row r="639" spans="1:28" x14ac:dyDescent="0.25">
      <c r="A639" s="8" t="s">
        <v>1356</v>
      </c>
      <c r="B639" s="8" t="s">
        <v>1357</v>
      </c>
      <c r="C639" s="8" t="s">
        <v>30</v>
      </c>
      <c r="D639" s="10">
        <v>1.6</v>
      </c>
      <c r="E639" s="10">
        <v>1</v>
      </c>
      <c r="F639" s="10">
        <v>0.60000001999999997</v>
      </c>
      <c r="G639" s="10">
        <v>1</v>
      </c>
      <c r="H639" s="10">
        <v>0.60000001999999997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0.60000001999999997</v>
      </c>
      <c r="O639" s="8" t="s">
        <v>31</v>
      </c>
      <c r="P639" s="8" t="s">
        <v>31</v>
      </c>
      <c r="Q639" s="8" t="s">
        <v>31</v>
      </c>
      <c r="R639" s="8" t="s">
        <v>31</v>
      </c>
      <c r="S639" s="8" t="s">
        <v>31</v>
      </c>
      <c r="T639" s="8" t="s">
        <v>31</v>
      </c>
      <c r="U639" s="8" t="s">
        <v>31</v>
      </c>
      <c r="V639" s="8" t="s">
        <v>31</v>
      </c>
      <c r="W639" s="8" t="str">
        <f>_xlfn.IFNA(VLOOKUP(A639,[1]Sheet1!$A$1:$B$101,1,FALSE),"na")</f>
        <v>na</v>
      </c>
      <c r="X639" s="8" t="s">
        <v>35</v>
      </c>
      <c r="Y639" s="9">
        <v>591</v>
      </c>
      <c r="Z639" s="9">
        <v>369.375</v>
      </c>
      <c r="AA639" s="9">
        <v>591</v>
      </c>
      <c r="AB639" s="9">
        <v>591</v>
      </c>
    </row>
    <row r="640" spans="1:28" x14ac:dyDescent="0.25">
      <c r="A640" s="8" t="s">
        <v>1358</v>
      </c>
      <c r="B640" s="8" t="s">
        <v>1359</v>
      </c>
      <c r="C640" s="8" t="s">
        <v>30</v>
      </c>
      <c r="D640" s="10">
        <v>1.8</v>
      </c>
      <c r="E640" s="10">
        <v>1</v>
      </c>
      <c r="F640" s="10">
        <v>0.80000000999999998</v>
      </c>
      <c r="G640" s="10">
        <v>1</v>
      </c>
      <c r="H640" s="10">
        <v>0.80000000999999998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0.80000000999999998</v>
      </c>
      <c r="O640" s="8" t="s">
        <v>31</v>
      </c>
      <c r="P640" s="8" t="s">
        <v>31</v>
      </c>
      <c r="Q640" s="8" t="s">
        <v>31</v>
      </c>
      <c r="R640" s="8" t="s">
        <v>31</v>
      </c>
      <c r="S640" s="8" t="s">
        <v>31</v>
      </c>
      <c r="T640" s="8" t="s">
        <v>31</v>
      </c>
      <c r="U640" s="8" t="s">
        <v>31</v>
      </c>
      <c r="V640" s="8" t="s">
        <v>31</v>
      </c>
      <c r="W640" s="8" t="str">
        <f>_xlfn.IFNA(VLOOKUP(A640,[1]Sheet1!$A$1:$B$101,1,FALSE),"na")</f>
        <v>na</v>
      </c>
      <c r="X640" s="8" t="s">
        <v>35</v>
      </c>
      <c r="Y640" s="9">
        <v>793</v>
      </c>
      <c r="Z640" s="9">
        <v>440.55556999999999</v>
      </c>
      <c r="AA640" s="9">
        <v>793</v>
      </c>
      <c r="AB640" s="9">
        <v>793</v>
      </c>
    </row>
    <row r="641" spans="1:28" x14ac:dyDescent="0.25">
      <c r="A641" s="8" t="s">
        <v>1360</v>
      </c>
      <c r="B641" s="8" t="s">
        <v>1361</v>
      </c>
      <c r="C641" s="8" t="s">
        <v>30</v>
      </c>
      <c r="D641" s="10">
        <v>2.5999998999999998</v>
      </c>
      <c r="E641" s="10">
        <v>2</v>
      </c>
      <c r="F641" s="10">
        <v>0.60000001999999997</v>
      </c>
      <c r="G641" s="10">
        <v>2</v>
      </c>
      <c r="H641" s="10">
        <v>0.60000001999999997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0.60000001999999997</v>
      </c>
      <c r="O641" s="8" t="s">
        <v>31</v>
      </c>
      <c r="P641" s="8" t="s">
        <v>31</v>
      </c>
      <c r="Q641" s="8" t="s">
        <v>31</v>
      </c>
      <c r="R641" s="8" t="s">
        <v>31</v>
      </c>
      <c r="S641" s="8" t="s">
        <v>31</v>
      </c>
      <c r="T641" s="8" t="s">
        <v>31</v>
      </c>
      <c r="U641" s="8" t="s">
        <v>31</v>
      </c>
      <c r="V641" s="8" t="s">
        <v>31</v>
      </c>
      <c r="W641" s="8" t="str">
        <f>_xlfn.IFNA(VLOOKUP(A641,[1]Sheet1!$A$1:$B$101,1,FALSE),"na")</f>
        <v>na</v>
      </c>
      <c r="X641" s="8" t="s">
        <v>35</v>
      </c>
      <c r="Y641" s="9">
        <v>922</v>
      </c>
      <c r="Z641" s="9">
        <v>354.61538999999999</v>
      </c>
      <c r="AA641" s="9">
        <v>461</v>
      </c>
      <c r="AB641" s="9">
        <v>922</v>
      </c>
    </row>
    <row r="642" spans="1:28" x14ac:dyDescent="0.25">
      <c r="A642" s="8" t="s">
        <v>1362</v>
      </c>
      <c r="B642" s="8" t="s">
        <v>1363</v>
      </c>
      <c r="C642" s="8" t="s">
        <v>30</v>
      </c>
      <c r="D642" s="10">
        <v>1.8</v>
      </c>
      <c r="E642" s="10">
        <v>1</v>
      </c>
      <c r="F642" s="10">
        <v>0.80000000999999998</v>
      </c>
      <c r="G642" s="10">
        <v>1</v>
      </c>
      <c r="H642" s="10">
        <v>0.80000000999999998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0.80000000999999998</v>
      </c>
      <c r="O642" s="8" t="s">
        <v>31</v>
      </c>
      <c r="P642" s="8" t="s">
        <v>31</v>
      </c>
      <c r="Q642" s="8" t="s">
        <v>31</v>
      </c>
      <c r="R642" s="8" t="s">
        <v>31</v>
      </c>
      <c r="S642" s="8" t="s">
        <v>31</v>
      </c>
      <c r="T642" s="8" t="s">
        <v>31</v>
      </c>
      <c r="U642" s="8" t="s">
        <v>31</v>
      </c>
      <c r="V642" s="8" t="s">
        <v>31</v>
      </c>
      <c r="W642" s="8" t="str">
        <f>_xlfn.IFNA(VLOOKUP(A642,[1]Sheet1!$A$1:$B$101,1,FALSE),"na")</f>
        <v>na</v>
      </c>
      <c r="X642" s="8" t="s">
        <v>35</v>
      </c>
      <c r="Y642" s="9">
        <v>689</v>
      </c>
      <c r="Z642" s="9">
        <v>382.77780000000001</v>
      </c>
      <c r="AA642" s="9">
        <v>689</v>
      </c>
      <c r="AB642" s="9">
        <v>689</v>
      </c>
    </row>
    <row r="643" spans="1:28" x14ac:dyDescent="0.25">
      <c r="A643" s="8" t="s">
        <v>1364</v>
      </c>
      <c r="B643" s="8" t="s">
        <v>1365</v>
      </c>
      <c r="C643" s="8" t="s">
        <v>30</v>
      </c>
      <c r="D643" s="10">
        <v>2.2000000000000002</v>
      </c>
      <c r="E643" s="10">
        <v>1</v>
      </c>
      <c r="F643" s="10">
        <v>1.2</v>
      </c>
      <c r="G643" s="10">
        <v>1</v>
      </c>
      <c r="H643" s="10">
        <v>1.2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0.2</v>
      </c>
      <c r="O643" s="8" t="s">
        <v>57</v>
      </c>
      <c r="P643" s="8" t="s">
        <v>31</v>
      </c>
      <c r="Q643" s="8" t="s">
        <v>31</v>
      </c>
      <c r="R643" s="8" t="s">
        <v>31</v>
      </c>
      <c r="S643" s="8" t="s">
        <v>31</v>
      </c>
      <c r="T643" s="8" t="s">
        <v>31</v>
      </c>
      <c r="U643" s="8" t="s">
        <v>31</v>
      </c>
      <c r="V643" s="8" t="s">
        <v>31</v>
      </c>
      <c r="W643" s="8" t="str">
        <f>_xlfn.IFNA(VLOOKUP(A643,[1]Sheet1!$A$1:$B$101,1,FALSE),"na")</f>
        <v>na</v>
      </c>
      <c r="X643" s="8" t="s">
        <v>35</v>
      </c>
      <c r="Y643" s="9">
        <v>130</v>
      </c>
      <c r="Z643" s="9">
        <v>59.090907999999999</v>
      </c>
      <c r="AA643" s="9">
        <v>130</v>
      </c>
      <c r="AB643" s="9">
        <v>108.33333</v>
      </c>
    </row>
    <row r="644" spans="1:28" x14ac:dyDescent="0.25">
      <c r="A644" s="8" t="s">
        <v>1366</v>
      </c>
      <c r="B644" s="8" t="s">
        <v>1367</v>
      </c>
      <c r="C644" s="8" t="s">
        <v>30</v>
      </c>
      <c r="D644" s="10">
        <v>2.5999998999999998</v>
      </c>
      <c r="E644" s="10">
        <v>1</v>
      </c>
      <c r="F644" s="10">
        <v>1.6</v>
      </c>
      <c r="G644" s="10">
        <v>1</v>
      </c>
      <c r="H644" s="10">
        <v>1.6</v>
      </c>
      <c r="I644" s="10">
        <v>0</v>
      </c>
      <c r="J644" s="10">
        <v>0</v>
      </c>
      <c r="K644" s="10">
        <v>0</v>
      </c>
      <c r="L644" s="10">
        <v>0.60000001999999997</v>
      </c>
      <c r="M644" s="10">
        <v>0</v>
      </c>
      <c r="N644" s="10">
        <v>0.60000001999999997</v>
      </c>
      <c r="O644" s="8" t="s">
        <v>31</v>
      </c>
      <c r="P644" s="8" t="s">
        <v>31</v>
      </c>
      <c r="Q644" s="8" t="s">
        <v>57</v>
      </c>
      <c r="R644" s="8" t="s">
        <v>31</v>
      </c>
      <c r="S644" s="8" t="s">
        <v>31</v>
      </c>
      <c r="T644" s="8" t="s">
        <v>31</v>
      </c>
      <c r="U644" s="8" t="s">
        <v>31</v>
      </c>
      <c r="V644" s="8" t="s">
        <v>31</v>
      </c>
      <c r="W644" s="8" t="str">
        <f>_xlfn.IFNA(VLOOKUP(A644,[1]Sheet1!$A$1:$B$101,1,FALSE),"na")</f>
        <v>na</v>
      </c>
      <c r="X644" s="8" t="s">
        <v>426</v>
      </c>
      <c r="Y644" s="9">
        <v>283</v>
      </c>
      <c r="Z644" s="9">
        <v>108.84616</v>
      </c>
      <c r="AA644" s="9">
        <v>283</v>
      </c>
      <c r="AB644" s="9">
        <v>176.875</v>
      </c>
    </row>
    <row r="645" spans="1:28" x14ac:dyDescent="0.25">
      <c r="A645" s="8" t="s">
        <v>1368</v>
      </c>
      <c r="B645" s="8" t="s">
        <v>1369</v>
      </c>
      <c r="C645" s="8" t="s">
        <v>30</v>
      </c>
      <c r="D645" s="10">
        <v>1.4</v>
      </c>
      <c r="E645" s="10">
        <v>1</v>
      </c>
      <c r="F645" s="10">
        <v>0.40000001000000002</v>
      </c>
      <c r="G645" s="10">
        <v>1</v>
      </c>
      <c r="H645" s="10">
        <v>0.40000001000000002</v>
      </c>
      <c r="I645" s="10">
        <v>0</v>
      </c>
      <c r="J645" s="10">
        <v>0</v>
      </c>
      <c r="K645" s="10">
        <v>0</v>
      </c>
      <c r="L645" s="10">
        <v>0.40000001000000002</v>
      </c>
      <c r="M645" s="10">
        <v>0</v>
      </c>
      <c r="N645" s="10">
        <v>0.40000001000000002</v>
      </c>
      <c r="O645" s="8" t="s">
        <v>57</v>
      </c>
      <c r="P645" s="8" t="s">
        <v>31</v>
      </c>
      <c r="Q645" s="8" t="s">
        <v>31</v>
      </c>
      <c r="R645" s="8" t="s">
        <v>31</v>
      </c>
      <c r="S645" s="8" t="s">
        <v>31</v>
      </c>
      <c r="T645" s="8" t="s">
        <v>31</v>
      </c>
      <c r="U645" s="8" t="s">
        <v>31</v>
      </c>
      <c r="V645" s="8" t="s">
        <v>31</v>
      </c>
      <c r="W645" s="8" t="str">
        <f>_xlfn.IFNA(VLOOKUP(A645,[1]Sheet1!$A$1:$B$101,1,FALSE),"na")</f>
        <v>na</v>
      </c>
      <c r="X645" s="8" t="s">
        <v>35</v>
      </c>
      <c r="Y645" s="9">
        <v>185</v>
      </c>
      <c r="Z645" s="9">
        <v>132.14285000000001</v>
      </c>
      <c r="AA645" s="9">
        <v>185</v>
      </c>
      <c r="AB645" s="9">
        <v>185</v>
      </c>
    </row>
    <row r="646" spans="1:28" x14ac:dyDescent="0.25">
      <c r="A646" s="8" t="s">
        <v>1370</v>
      </c>
      <c r="B646" s="8" t="s">
        <v>1371</v>
      </c>
      <c r="C646" s="8" t="s">
        <v>30</v>
      </c>
      <c r="D646" s="10">
        <v>1.1333299999999999</v>
      </c>
      <c r="E646" s="10">
        <v>1</v>
      </c>
      <c r="F646" s="10">
        <v>0.13333</v>
      </c>
      <c r="G646" s="10">
        <v>1</v>
      </c>
      <c r="H646" s="10">
        <v>0.13333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0.13333</v>
      </c>
      <c r="O646" s="8" t="s">
        <v>31</v>
      </c>
      <c r="P646" s="8" t="s">
        <v>31</v>
      </c>
      <c r="Q646" s="8" t="s">
        <v>31</v>
      </c>
      <c r="R646" s="8" t="s">
        <v>31</v>
      </c>
      <c r="S646" s="8" t="s">
        <v>31</v>
      </c>
      <c r="T646" s="8" t="s">
        <v>31</v>
      </c>
      <c r="U646" s="8" t="s">
        <v>31</v>
      </c>
      <c r="V646" s="8" t="s">
        <v>31</v>
      </c>
      <c r="W646" s="8" t="str">
        <f>_xlfn.IFNA(VLOOKUP(A646,[1]Sheet1!$A$1:$B$101,1,FALSE),"na")</f>
        <v>na</v>
      </c>
      <c r="X646" s="8" t="s">
        <v>35</v>
      </c>
      <c r="Y646" s="9">
        <v>253</v>
      </c>
      <c r="Z646" s="9">
        <v>223.23595</v>
      </c>
      <c r="AA646" s="9">
        <v>253</v>
      </c>
      <c r="AB646" s="9">
        <v>253</v>
      </c>
    </row>
    <row r="647" spans="1:28" x14ac:dyDescent="0.25">
      <c r="A647" s="8" t="s">
        <v>1372</v>
      </c>
      <c r="B647" s="8" t="s">
        <v>1373</v>
      </c>
      <c r="C647" s="8" t="s">
        <v>30</v>
      </c>
      <c r="D647" s="10">
        <v>1</v>
      </c>
      <c r="E647" s="10">
        <v>1</v>
      </c>
      <c r="F647" s="10">
        <v>0</v>
      </c>
      <c r="G647" s="10">
        <v>1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8" t="s">
        <v>31</v>
      </c>
      <c r="P647" s="8" t="s">
        <v>31</v>
      </c>
      <c r="Q647" s="8" t="s">
        <v>31</v>
      </c>
      <c r="R647" s="8" t="s">
        <v>31</v>
      </c>
      <c r="S647" s="8" t="s">
        <v>31</v>
      </c>
      <c r="T647" s="8" t="s">
        <v>31</v>
      </c>
      <c r="U647" s="8" t="s">
        <v>31</v>
      </c>
      <c r="V647" s="8" t="s">
        <v>31</v>
      </c>
      <c r="W647" s="8" t="str">
        <f>_xlfn.IFNA(VLOOKUP(A647,[1]Sheet1!$A$1:$B$101,1,FALSE),"na")</f>
        <v>na</v>
      </c>
      <c r="X647" s="8" t="s">
        <v>426</v>
      </c>
      <c r="Y647" s="9">
        <v>167</v>
      </c>
      <c r="Z647" s="9">
        <v>167</v>
      </c>
      <c r="AA647" s="9">
        <v>167</v>
      </c>
      <c r="AB647" s="9">
        <v>167</v>
      </c>
    </row>
    <row r="648" spans="1:28" x14ac:dyDescent="0.25">
      <c r="A648" s="8" t="s">
        <v>1374</v>
      </c>
      <c r="B648" s="8" t="s">
        <v>1375</v>
      </c>
      <c r="C648" s="8" t="s">
        <v>30</v>
      </c>
      <c r="D648" s="10">
        <v>2.2000000000000002</v>
      </c>
      <c r="E648" s="10">
        <v>1</v>
      </c>
      <c r="F648" s="10">
        <v>1.2</v>
      </c>
      <c r="G648" s="10">
        <v>1</v>
      </c>
      <c r="H648" s="10">
        <v>1.2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0.2</v>
      </c>
      <c r="O648" s="8" t="s">
        <v>57</v>
      </c>
      <c r="P648" s="8" t="s">
        <v>31</v>
      </c>
      <c r="Q648" s="8" t="s">
        <v>31</v>
      </c>
      <c r="R648" s="8" t="s">
        <v>31</v>
      </c>
      <c r="S648" s="8" t="s">
        <v>31</v>
      </c>
      <c r="T648" s="8" t="s">
        <v>31</v>
      </c>
      <c r="U648" s="8" t="s">
        <v>31</v>
      </c>
      <c r="V648" s="8" t="s">
        <v>31</v>
      </c>
      <c r="W648" s="8" t="str">
        <f>_xlfn.IFNA(VLOOKUP(A648,[1]Sheet1!$A$1:$B$101,1,FALSE),"na")</f>
        <v>na</v>
      </c>
      <c r="X648" s="8" t="s">
        <v>35</v>
      </c>
      <c r="Y648" s="9">
        <v>181</v>
      </c>
      <c r="Z648" s="9">
        <v>82.272728000000001</v>
      </c>
      <c r="AA648" s="9">
        <v>181</v>
      </c>
      <c r="AB648" s="9">
        <v>150.83332999999999</v>
      </c>
    </row>
    <row r="649" spans="1:28" x14ac:dyDescent="0.25">
      <c r="A649" s="8" t="s">
        <v>1376</v>
      </c>
      <c r="B649" s="8" t="s">
        <v>1377</v>
      </c>
      <c r="C649" s="8" t="s">
        <v>67</v>
      </c>
      <c r="D649" s="10">
        <v>2.0999998999999998</v>
      </c>
      <c r="E649" s="10">
        <v>1</v>
      </c>
      <c r="F649" s="10">
        <v>1.1000000000000001</v>
      </c>
      <c r="G649" s="10">
        <v>1</v>
      </c>
      <c r="H649" s="10">
        <v>1.1000000000000001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0.1</v>
      </c>
      <c r="O649" s="8" t="s">
        <v>31</v>
      </c>
      <c r="P649" s="8" t="s">
        <v>31</v>
      </c>
      <c r="Q649" s="8" t="s">
        <v>31</v>
      </c>
      <c r="R649" s="8" t="s">
        <v>57</v>
      </c>
      <c r="S649" s="8" t="s">
        <v>31</v>
      </c>
      <c r="T649" s="8" t="s">
        <v>31</v>
      </c>
      <c r="U649" s="8" t="s">
        <v>31</v>
      </c>
      <c r="V649" s="8" t="s">
        <v>31</v>
      </c>
      <c r="W649" s="8" t="str">
        <f>_xlfn.IFNA(VLOOKUP(A649,[1]Sheet1!$A$1:$B$101,1,FALSE),"na")</f>
        <v>na</v>
      </c>
      <c r="X649" s="8" t="s">
        <v>35</v>
      </c>
      <c r="Y649" s="9">
        <v>199</v>
      </c>
      <c r="Z649" s="9">
        <v>94.761909000000003</v>
      </c>
      <c r="AA649" s="9">
        <v>199</v>
      </c>
      <c r="AB649" s="9">
        <v>180.90908999999999</v>
      </c>
    </row>
    <row r="650" spans="1:28" x14ac:dyDescent="0.25">
      <c r="A650" s="8" t="s">
        <v>1378</v>
      </c>
      <c r="B650" s="8" t="s">
        <v>1379</v>
      </c>
      <c r="C650" s="8" t="s">
        <v>30</v>
      </c>
      <c r="D650" s="10">
        <v>2.2000000000000002</v>
      </c>
      <c r="E650" s="10">
        <v>1</v>
      </c>
      <c r="F650" s="10">
        <v>1.2</v>
      </c>
      <c r="G650" s="10">
        <v>1</v>
      </c>
      <c r="H650" s="10">
        <v>1.2</v>
      </c>
      <c r="I650" s="10">
        <v>0</v>
      </c>
      <c r="J650" s="10">
        <v>0</v>
      </c>
      <c r="K650" s="10">
        <v>0</v>
      </c>
      <c r="L650" s="10">
        <v>0.2</v>
      </c>
      <c r="M650" s="10">
        <v>0</v>
      </c>
      <c r="N650" s="10">
        <v>0.2</v>
      </c>
      <c r="O650" s="8" t="s">
        <v>57</v>
      </c>
      <c r="P650" s="8" t="s">
        <v>31</v>
      </c>
      <c r="Q650" s="8" t="s">
        <v>31</v>
      </c>
      <c r="R650" s="8" t="s">
        <v>31</v>
      </c>
      <c r="S650" s="8" t="s">
        <v>31</v>
      </c>
      <c r="T650" s="8" t="s">
        <v>31</v>
      </c>
      <c r="U650" s="8" t="s">
        <v>31</v>
      </c>
      <c r="V650" s="8" t="s">
        <v>31</v>
      </c>
      <c r="W650" s="8" t="str">
        <f>_xlfn.IFNA(VLOOKUP(A650,[1]Sheet1!$A$1:$B$101,1,FALSE),"na")</f>
        <v>na</v>
      </c>
      <c r="X650" s="8" t="s">
        <v>35</v>
      </c>
      <c r="Y650" s="9">
        <v>614</v>
      </c>
      <c r="Z650" s="9">
        <v>279.09091000000001</v>
      </c>
      <c r="AA650" s="9">
        <v>614</v>
      </c>
      <c r="AB650" s="9">
        <v>511.66665999999998</v>
      </c>
    </row>
    <row r="651" spans="1:28" x14ac:dyDescent="0.25">
      <c r="A651" s="8" t="s">
        <v>1380</v>
      </c>
      <c r="B651" s="8" t="s">
        <v>1381</v>
      </c>
      <c r="C651" s="8" t="s">
        <v>30</v>
      </c>
      <c r="D651" s="10">
        <v>1.2</v>
      </c>
      <c r="E651" s="10">
        <v>1</v>
      </c>
      <c r="F651" s="10">
        <v>0.2</v>
      </c>
      <c r="G651" s="10">
        <v>1</v>
      </c>
      <c r="H651" s="10">
        <v>0.2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0.2</v>
      </c>
      <c r="O651" s="8" t="s">
        <v>31</v>
      </c>
      <c r="P651" s="8" t="s">
        <v>31</v>
      </c>
      <c r="Q651" s="8" t="s">
        <v>31</v>
      </c>
      <c r="R651" s="8" t="s">
        <v>31</v>
      </c>
      <c r="S651" s="8" t="s">
        <v>31</v>
      </c>
      <c r="T651" s="8" t="s">
        <v>31</v>
      </c>
      <c r="U651" s="8" t="s">
        <v>31</v>
      </c>
      <c r="V651" s="8" t="s">
        <v>31</v>
      </c>
      <c r="W651" s="8" t="str">
        <f>_xlfn.IFNA(VLOOKUP(A651,[1]Sheet1!$A$1:$B$101,1,FALSE),"na")</f>
        <v>na</v>
      </c>
      <c r="X651" s="8" t="s">
        <v>35</v>
      </c>
      <c r="Y651" s="9">
        <v>180</v>
      </c>
      <c r="Z651" s="9">
        <v>150</v>
      </c>
      <c r="AA651" s="9">
        <v>180</v>
      </c>
      <c r="AB651" s="9">
        <v>180</v>
      </c>
    </row>
    <row r="652" spans="1:28" x14ac:dyDescent="0.25">
      <c r="A652" s="8" t="s">
        <v>1382</v>
      </c>
      <c r="B652" s="8" t="s">
        <v>1383</v>
      </c>
      <c r="C652" s="8" t="s">
        <v>62</v>
      </c>
      <c r="D652" s="10">
        <v>2</v>
      </c>
      <c r="E652" s="10">
        <v>1</v>
      </c>
      <c r="F652" s="10">
        <v>1</v>
      </c>
      <c r="G652" s="10">
        <v>1</v>
      </c>
      <c r="H652" s="10">
        <v>1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8" t="s">
        <v>57</v>
      </c>
      <c r="P652" s="8" t="s">
        <v>31</v>
      </c>
      <c r="Q652" s="8" t="s">
        <v>31</v>
      </c>
      <c r="R652" s="8" t="s">
        <v>31</v>
      </c>
      <c r="S652" s="8" t="s">
        <v>31</v>
      </c>
      <c r="T652" s="8" t="s">
        <v>31</v>
      </c>
      <c r="U652" s="8" t="s">
        <v>31</v>
      </c>
      <c r="V652" s="8" t="s">
        <v>31</v>
      </c>
      <c r="W652" s="8" t="str">
        <f>_xlfn.IFNA(VLOOKUP(A652,[1]Sheet1!$A$1:$B$101,1,FALSE),"na")</f>
        <v>na</v>
      </c>
      <c r="X652" s="8" t="s">
        <v>35</v>
      </c>
      <c r="Y652" s="9">
        <v>130</v>
      </c>
      <c r="Z652" s="9">
        <v>65</v>
      </c>
      <c r="AA652" s="9">
        <v>130</v>
      </c>
      <c r="AB652" s="9">
        <v>130</v>
      </c>
    </row>
    <row r="653" spans="1:28" x14ac:dyDescent="0.25">
      <c r="A653" s="8" t="s">
        <v>1384</v>
      </c>
      <c r="B653" s="8" t="s">
        <v>1385</v>
      </c>
      <c r="C653" s="8" t="s">
        <v>67</v>
      </c>
      <c r="D653" s="10">
        <v>1</v>
      </c>
      <c r="E653" s="10">
        <v>1</v>
      </c>
      <c r="F653" s="10">
        <v>0</v>
      </c>
      <c r="G653" s="10">
        <v>1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8" t="s">
        <v>31</v>
      </c>
      <c r="P653" s="8" t="s">
        <v>57</v>
      </c>
      <c r="Q653" s="8" t="s">
        <v>31</v>
      </c>
      <c r="R653" s="8" t="s">
        <v>31</v>
      </c>
      <c r="S653" s="8" t="s">
        <v>31</v>
      </c>
      <c r="T653" s="8" t="s">
        <v>31</v>
      </c>
      <c r="U653" s="8" t="s">
        <v>31</v>
      </c>
      <c r="V653" s="8" t="s">
        <v>31</v>
      </c>
      <c r="W653" s="8" t="str">
        <f>_xlfn.IFNA(VLOOKUP(A653,[1]Sheet1!$A$1:$B$101,1,FALSE),"na")</f>
        <v>na</v>
      </c>
      <c r="X653" s="8" t="s">
        <v>35</v>
      </c>
      <c r="Y653" s="9">
        <v>77</v>
      </c>
      <c r="Z653" s="9">
        <v>77</v>
      </c>
      <c r="AA653" s="9">
        <v>77</v>
      </c>
      <c r="AB653" s="9">
        <v>77</v>
      </c>
    </row>
    <row r="654" spans="1:28" x14ac:dyDescent="0.25">
      <c r="A654" s="8" t="s">
        <v>1386</v>
      </c>
      <c r="B654" s="8" t="s">
        <v>1387</v>
      </c>
      <c r="C654" s="8" t="s">
        <v>30</v>
      </c>
      <c r="D654" s="10">
        <v>2.2000000000000002</v>
      </c>
      <c r="E654" s="10">
        <v>1</v>
      </c>
      <c r="F654" s="10">
        <v>1.2</v>
      </c>
      <c r="G654" s="10">
        <v>1</v>
      </c>
      <c r="H654" s="10">
        <v>1.2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0.2</v>
      </c>
      <c r="O654" s="8" t="s">
        <v>57</v>
      </c>
      <c r="P654" s="8" t="s">
        <v>31</v>
      </c>
      <c r="Q654" s="8" t="s">
        <v>31</v>
      </c>
      <c r="R654" s="8" t="s">
        <v>31</v>
      </c>
      <c r="S654" s="8" t="s">
        <v>31</v>
      </c>
      <c r="T654" s="8" t="s">
        <v>31</v>
      </c>
      <c r="U654" s="8" t="s">
        <v>31</v>
      </c>
      <c r="V654" s="8" t="s">
        <v>31</v>
      </c>
      <c r="W654" s="8" t="str">
        <f>_xlfn.IFNA(VLOOKUP(A654,[1]Sheet1!$A$1:$B$101,1,FALSE),"na")</f>
        <v>na</v>
      </c>
      <c r="X654" s="8" t="s">
        <v>35</v>
      </c>
      <c r="Y654" s="9">
        <v>136</v>
      </c>
      <c r="Z654" s="9">
        <v>61.818179999999998</v>
      </c>
      <c r="AA654" s="9">
        <v>136</v>
      </c>
      <c r="AB654" s="9">
        <v>113.33333</v>
      </c>
    </row>
    <row r="655" spans="1:28" x14ac:dyDescent="0.25">
      <c r="A655" s="8" t="s">
        <v>1388</v>
      </c>
      <c r="B655" s="8" t="s">
        <v>1389</v>
      </c>
      <c r="C655" s="8" t="s">
        <v>30</v>
      </c>
      <c r="D655" s="10">
        <v>2.5999998999999998</v>
      </c>
      <c r="E655" s="10">
        <v>2</v>
      </c>
      <c r="F655" s="10">
        <v>0.60000001999999997</v>
      </c>
      <c r="G655" s="10">
        <v>2</v>
      </c>
      <c r="H655" s="10">
        <v>0.60000001999999997</v>
      </c>
      <c r="I655" s="10">
        <v>0</v>
      </c>
      <c r="J655" s="10">
        <v>0</v>
      </c>
      <c r="K655" s="10">
        <v>0</v>
      </c>
      <c r="L655" s="10">
        <v>0.60000001999999997</v>
      </c>
      <c r="M655" s="10">
        <v>0</v>
      </c>
      <c r="N655" s="10">
        <v>0.60000001999999997</v>
      </c>
      <c r="O655" s="8" t="s">
        <v>31</v>
      </c>
      <c r="P655" s="8" t="s">
        <v>31</v>
      </c>
      <c r="Q655" s="8" t="s">
        <v>31</v>
      </c>
      <c r="R655" s="8" t="s">
        <v>31</v>
      </c>
      <c r="S655" s="8" t="s">
        <v>31</v>
      </c>
      <c r="T655" s="8" t="s">
        <v>31</v>
      </c>
      <c r="U655" s="8" t="s">
        <v>31</v>
      </c>
      <c r="V655" s="8" t="s">
        <v>31</v>
      </c>
      <c r="W655" s="8" t="str">
        <f>_xlfn.IFNA(VLOOKUP(A655,[1]Sheet1!$A$1:$B$101,1,FALSE),"na")</f>
        <v>na</v>
      </c>
      <c r="X655" s="8" t="s">
        <v>35</v>
      </c>
      <c r="Y655" s="9">
        <v>573</v>
      </c>
      <c r="Z655" s="9">
        <v>220.38462999999999</v>
      </c>
      <c r="AA655" s="9">
        <v>286.5</v>
      </c>
      <c r="AB655" s="9">
        <v>573</v>
      </c>
    </row>
    <row r="656" spans="1:28" x14ac:dyDescent="0.25">
      <c r="A656" s="8" t="s">
        <v>1390</v>
      </c>
      <c r="B656" s="8" t="s">
        <v>1391</v>
      </c>
      <c r="C656" s="8" t="s">
        <v>30</v>
      </c>
      <c r="D656" s="10">
        <v>1.4</v>
      </c>
      <c r="E656" s="10">
        <v>0</v>
      </c>
      <c r="F656" s="10">
        <v>1.4</v>
      </c>
      <c r="G656" s="10">
        <v>0</v>
      </c>
      <c r="H656" s="10">
        <v>1.4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0">
        <v>0.40000001000000002</v>
      </c>
      <c r="O656" s="8" t="s">
        <v>57</v>
      </c>
      <c r="P656" s="8" t="s">
        <v>31</v>
      </c>
      <c r="Q656" s="8" t="s">
        <v>31</v>
      </c>
      <c r="R656" s="8" t="s">
        <v>31</v>
      </c>
      <c r="S656" s="8" t="s">
        <v>31</v>
      </c>
      <c r="T656" s="8" t="s">
        <v>31</v>
      </c>
      <c r="U656" s="8" t="s">
        <v>31</v>
      </c>
      <c r="V656" s="8" t="s">
        <v>31</v>
      </c>
      <c r="W656" s="8" t="str">
        <f>_xlfn.IFNA(VLOOKUP(A656,[1]Sheet1!$A$1:$B$101,1,FALSE),"na")</f>
        <v>na</v>
      </c>
      <c r="X656" s="8" t="s">
        <v>35</v>
      </c>
      <c r="Y656" s="9">
        <v>114</v>
      </c>
      <c r="Z656" s="9">
        <v>81.428573999999998</v>
      </c>
      <c r="AA656" s="9">
        <v>114</v>
      </c>
      <c r="AB656" s="9">
        <v>81.428573999999998</v>
      </c>
    </row>
    <row r="657" spans="1:28" x14ac:dyDescent="0.25">
      <c r="A657" s="8" t="s">
        <v>1392</v>
      </c>
      <c r="B657" s="8" t="s">
        <v>1393</v>
      </c>
      <c r="C657" s="8" t="s">
        <v>67</v>
      </c>
      <c r="D657" s="10">
        <v>2.2000000000000002</v>
      </c>
      <c r="E657" s="10">
        <v>1</v>
      </c>
      <c r="F657" s="10">
        <v>1.2</v>
      </c>
      <c r="G657" s="10">
        <v>1</v>
      </c>
      <c r="H657" s="10">
        <v>1.2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0.2</v>
      </c>
      <c r="O657" s="8" t="s">
        <v>31</v>
      </c>
      <c r="P657" s="8" t="s">
        <v>57</v>
      </c>
      <c r="Q657" s="8" t="s">
        <v>31</v>
      </c>
      <c r="R657" s="8" t="s">
        <v>57</v>
      </c>
      <c r="S657" s="8" t="s">
        <v>31</v>
      </c>
      <c r="T657" s="8" t="s">
        <v>31</v>
      </c>
      <c r="U657" s="8" t="s">
        <v>31</v>
      </c>
      <c r="V657" s="8" t="s">
        <v>31</v>
      </c>
      <c r="W657" s="8" t="str">
        <f>_xlfn.IFNA(VLOOKUP(A657,[1]Sheet1!$A$1:$B$101,1,FALSE),"na")</f>
        <v>na</v>
      </c>
      <c r="X657" s="8" t="s">
        <v>35</v>
      </c>
      <c r="Y657" s="9">
        <v>94</v>
      </c>
      <c r="Z657" s="9">
        <v>42.727271999999999</v>
      </c>
      <c r="AA657" s="9">
        <v>94</v>
      </c>
      <c r="AB657" s="9">
        <v>78.333327999999995</v>
      </c>
    </row>
    <row r="658" spans="1:28" x14ac:dyDescent="0.25">
      <c r="A658" s="8" t="s">
        <v>1394</v>
      </c>
      <c r="B658" s="8" t="s">
        <v>1395</v>
      </c>
      <c r="C658" s="8" t="s">
        <v>30</v>
      </c>
      <c r="D658" s="10">
        <v>2</v>
      </c>
      <c r="E658" s="10">
        <v>1</v>
      </c>
      <c r="F658" s="10">
        <v>1</v>
      </c>
      <c r="G658" s="10">
        <v>1</v>
      </c>
      <c r="H658" s="10">
        <v>1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8" t="s">
        <v>31</v>
      </c>
      <c r="P658" s="8" t="s">
        <v>31</v>
      </c>
      <c r="Q658" s="8" t="s">
        <v>57</v>
      </c>
      <c r="R658" s="8" t="s">
        <v>31</v>
      </c>
      <c r="S658" s="8" t="s">
        <v>31</v>
      </c>
      <c r="T658" s="8" t="s">
        <v>31</v>
      </c>
      <c r="U658" s="8" t="s">
        <v>31</v>
      </c>
      <c r="V658" s="8" t="s">
        <v>31</v>
      </c>
      <c r="W658" s="8" t="str">
        <f>_xlfn.IFNA(VLOOKUP(A658,[1]Sheet1!$A$1:$B$101,1,FALSE),"na")</f>
        <v>na</v>
      </c>
      <c r="X658" s="8" t="s">
        <v>35</v>
      </c>
      <c r="Y658" s="9">
        <v>271</v>
      </c>
      <c r="Z658" s="9">
        <v>135.5</v>
      </c>
      <c r="AA658" s="9">
        <v>271</v>
      </c>
      <c r="AB658" s="9">
        <v>271</v>
      </c>
    </row>
    <row r="659" spans="1:28" x14ac:dyDescent="0.25">
      <c r="A659" s="8" t="s">
        <v>1396</v>
      </c>
      <c r="B659" s="8" t="s">
        <v>1397</v>
      </c>
      <c r="C659" s="8" t="s">
        <v>67</v>
      </c>
      <c r="D659" s="10">
        <v>2.5</v>
      </c>
      <c r="E659" s="10">
        <v>2.5</v>
      </c>
      <c r="F659" s="10">
        <v>0</v>
      </c>
      <c r="G659" s="10">
        <v>2</v>
      </c>
      <c r="H659" s="10">
        <v>0</v>
      </c>
      <c r="I659" s="10">
        <v>0.5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8" t="s">
        <v>31</v>
      </c>
      <c r="P659" s="8" t="s">
        <v>57</v>
      </c>
      <c r="Q659" s="8" t="s">
        <v>31</v>
      </c>
      <c r="R659" s="8" t="s">
        <v>31</v>
      </c>
      <c r="S659" s="8" t="s">
        <v>31</v>
      </c>
      <c r="T659" s="8" t="s">
        <v>31</v>
      </c>
      <c r="U659" s="8" t="s">
        <v>31</v>
      </c>
      <c r="V659" s="8" t="s">
        <v>31</v>
      </c>
      <c r="W659" s="8" t="str">
        <f>_xlfn.IFNA(VLOOKUP(A659,[1]Sheet1!$A$1:$B$101,1,FALSE),"na")</f>
        <v>na</v>
      </c>
      <c r="X659" s="8" t="s">
        <v>35</v>
      </c>
      <c r="Y659" s="9">
        <v>219</v>
      </c>
      <c r="Z659" s="9">
        <v>87.599997999999999</v>
      </c>
      <c r="AA659" s="9">
        <v>87.599997999999999</v>
      </c>
      <c r="AB659" s="9">
        <v>219</v>
      </c>
    </row>
    <row r="660" spans="1:28" x14ac:dyDescent="0.25">
      <c r="A660" s="8" t="s">
        <v>1398</v>
      </c>
      <c r="B660" s="8" t="s">
        <v>1399</v>
      </c>
      <c r="C660" s="8" t="s">
        <v>62</v>
      </c>
      <c r="D660" s="10">
        <v>1.26667</v>
      </c>
      <c r="E660" s="10">
        <v>1</v>
      </c>
      <c r="F660" s="10">
        <v>0.26666999000000002</v>
      </c>
      <c r="G660" s="10">
        <v>1</v>
      </c>
      <c r="H660" s="10">
        <v>0.26666999000000002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0.26666999000000002</v>
      </c>
      <c r="O660" s="8" t="s">
        <v>31</v>
      </c>
      <c r="P660" s="8" t="s">
        <v>31</v>
      </c>
      <c r="Q660" s="8" t="s">
        <v>31</v>
      </c>
      <c r="R660" s="8" t="s">
        <v>31</v>
      </c>
      <c r="S660" s="8" t="s">
        <v>31</v>
      </c>
      <c r="T660" s="8" t="s">
        <v>31</v>
      </c>
      <c r="U660" s="8" t="s">
        <v>31</v>
      </c>
      <c r="V660" s="8" t="s">
        <v>31</v>
      </c>
      <c r="W660" s="8" t="str">
        <f>_xlfn.IFNA(VLOOKUP(A660,[1]Sheet1!$A$1:$B$101,1,FALSE),"na")</f>
        <v>na</v>
      </c>
      <c r="X660" s="8" t="s">
        <v>35</v>
      </c>
      <c r="Y660" s="9">
        <v>139</v>
      </c>
      <c r="Z660" s="9">
        <v>109.73656</v>
      </c>
      <c r="AA660" s="9">
        <v>139</v>
      </c>
      <c r="AB660" s="9">
        <v>139</v>
      </c>
    </row>
    <row r="661" spans="1:28" x14ac:dyDescent="0.25">
      <c r="A661" s="8" t="s">
        <v>1400</v>
      </c>
      <c r="B661" s="8" t="s">
        <v>1401</v>
      </c>
      <c r="C661" s="8" t="s">
        <v>67</v>
      </c>
      <c r="D661" s="10">
        <v>2.1333300999999998</v>
      </c>
      <c r="E661" s="10">
        <v>1</v>
      </c>
      <c r="F661" s="10">
        <v>1.1333299999999999</v>
      </c>
      <c r="G661" s="10">
        <v>1</v>
      </c>
      <c r="H661" s="10">
        <v>1.1333299999999999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0.13333</v>
      </c>
      <c r="O661" s="8" t="s">
        <v>31</v>
      </c>
      <c r="P661" s="8" t="s">
        <v>31</v>
      </c>
      <c r="Q661" s="8" t="s">
        <v>31</v>
      </c>
      <c r="R661" s="8" t="s">
        <v>31</v>
      </c>
      <c r="S661" s="8" t="s">
        <v>31</v>
      </c>
      <c r="T661" s="8" t="s">
        <v>31</v>
      </c>
      <c r="U661" s="8" t="s">
        <v>31</v>
      </c>
      <c r="V661" s="8" t="s">
        <v>31</v>
      </c>
      <c r="W661" s="8" t="str">
        <f>_xlfn.IFNA(VLOOKUP(A661,[1]Sheet1!$A$1:$B$101,1,FALSE),"na")</f>
        <v>na</v>
      </c>
      <c r="X661" s="8" t="s">
        <v>35</v>
      </c>
      <c r="Y661" s="9">
        <v>174</v>
      </c>
      <c r="Z661" s="9">
        <v>81.562622000000005</v>
      </c>
      <c r="AA661" s="9">
        <v>174</v>
      </c>
      <c r="AB661" s="9">
        <v>153.52986000000001</v>
      </c>
    </row>
    <row r="662" spans="1:28" x14ac:dyDescent="0.25">
      <c r="A662" s="8" t="s">
        <v>1402</v>
      </c>
      <c r="B662" s="8" t="s">
        <v>1403</v>
      </c>
      <c r="C662" s="8" t="s">
        <v>62</v>
      </c>
      <c r="D662" s="10">
        <v>3.0999998999999998</v>
      </c>
      <c r="E662" s="10">
        <v>1</v>
      </c>
      <c r="F662" s="10">
        <v>2.0999998999999998</v>
      </c>
      <c r="G662" s="10">
        <v>1</v>
      </c>
      <c r="H662" s="10">
        <v>2.0999998999999998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0.1</v>
      </c>
      <c r="O662" s="8" t="s">
        <v>31</v>
      </c>
      <c r="P662" s="8" t="s">
        <v>31</v>
      </c>
      <c r="Q662" s="8" t="s">
        <v>31</v>
      </c>
      <c r="R662" s="8" t="s">
        <v>31</v>
      </c>
      <c r="S662" s="8" t="s">
        <v>31</v>
      </c>
      <c r="T662" s="8" t="s">
        <v>31</v>
      </c>
      <c r="U662" s="8" t="s">
        <v>31</v>
      </c>
      <c r="V662" s="8" t="s">
        <v>31</v>
      </c>
      <c r="W662" s="8" t="str">
        <f>_xlfn.IFNA(VLOOKUP(A662,[1]Sheet1!$A$1:$B$101,1,FALSE),"na")</f>
        <v>na</v>
      </c>
      <c r="X662" s="8" t="s">
        <v>86</v>
      </c>
      <c r="Y662" s="9">
        <v>356</v>
      </c>
      <c r="Z662" s="9">
        <v>114.83871000000001</v>
      </c>
      <c r="AA662" s="9">
        <v>356</v>
      </c>
      <c r="AB662" s="9">
        <v>169.52382</v>
      </c>
    </row>
    <row r="663" spans="1:28" x14ac:dyDescent="0.25">
      <c r="A663" s="8" t="s">
        <v>1404</v>
      </c>
      <c r="B663" s="8" t="s">
        <v>1405</v>
      </c>
      <c r="C663" s="8" t="s">
        <v>62</v>
      </c>
      <c r="D663" s="10">
        <v>3.26667</v>
      </c>
      <c r="E663" s="10">
        <v>3</v>
      </c>
      <c r="F663" s="10">
        <v>0.26666999000000002</v>
      </c>
      <c r="G663" s="10">
        <v>3</v>
      </c>
      <c r="H663" s="10">
        <v>0.26666999000000002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0.26666999000000002</v>
      </c>
      <c r="O663" s="8" t="s">
        <v>31</v>
      </c>
      <c r="P663" s="8" t="s">
        <v>31</v>
      </c>
      <c r="Q663" s="8" t="s">
        <v>31</v>
      </c>
      <c r="R663" s="8" t="s">
        <v>31</v>
      </c>
      <c r="S663" s="8" t="s">
        <v>31</v>
      </c>
      <c r="T663" s="8" t="s">
        <v>31</v>
      </c>
      <c r="U663" s="8" t="s">
        <v>31</v>
      </c>
      <c r="V663" s="8" t="s">
        <v>31</v>
      </c>
      <c r="W663" s="8" t="str">
        <f>_xlfn.IFNA(VLOOKUP(A663,[1]Sheet1!$A$1:$B$101,1,FALSE),"na")</f>
        <v>na</v>
      </c>
      <c r="X663" s="8" t="s">
        <v>844</v>
      </c>
      <c r="Y663" s="9">
        <v>447</v>
      </c>
      <c r="Z663" s="9">
        <v>136.83659</v>
      </c>
      <c r="AA663" s="9">
        <v>149</v>
      </c>
      <c r="AB663" s="9">
        <v>447</v>
      </c>
    </row>
    <row r="664" spans="1:28" x14ac:dyDescent="0.25">
      <c r="A664" s="8" t="s">
        <v>1406</v>
      </c>
      <c r="B664" s="8" t="s">
        <v>1407</v>
      </c>
      <c r="C664" s="8" t="s">
        <v>62</v>
      </c>
      <c r="D664" s="10">
        <v>31.799999</v>
      </c>
      <c r="E664" s="10">
        <v>25</v>
      </c>
      <c r="F664" s="10">
        <v>6.8000002000000004</v>
      </c>
      <c r="G664" s="10">
        <v>25</v>
      </c>
      <c r="H664" s="10">
        <v>6.8000002000000004</v>
      </c>
      <c r="I664" s="10">
        <v>0</v>
      </c>
      <c r="J664" s="10">
        <v>0</v>
      </c>
      <c r="K664" s="10">
        <v>1</v>
      </c>
      <c r="L664" s="10">
        <v>0</v>
      </c>
      <c r="M664" s="10">
        <v>0</v>
      </c>
      <c r="N664" s="10">
        <v>0.80000000999999998</v>
      </c>
      <c r="O664" s="8" t="s">
        <v>31</v>
      </c>
      <c r="P664" s="8" t="s">
        <v>31</v>
      </c>
      <c r="Q664" s="8" t="s">
        <v>31</v>
      </c>
      <c r="R664" s="8" t="s">
        <v>31</v>
      </c>
      <c r="S664" s="8" t="s">
        <v>31</v>
      </c>
      <c r="T664" s="8" t="s">
        <v>31</v>
      </c>
      <c r="U664" s="8" t="s">
        <v>31</v>
      </c>
      <c r="V664" s="8" t="s">
        <v>31</v>
      </c>
      <c r="W664" s="8" t="str">
        <f>_xlfn.IFNA(VLOOKUP(A664,[1]Sheet1!$A$1:$B$101,1,FALSE),"na")</f>
        <v>na</v>
      </c>
      <c r="X664" s="8" t="s">
        <v>35</v>
      </c>
      <c r="Y664" s="9">
        <v>5848</v>
      </c>
      <c r="Z664" s="9">
        <v>183.89937</v>
      </c>
      <c r="AA664" s="9">
        <v>233.92</v>
      </c>
      <c r="AB664" s="9">
        <v>860</v>
      </c>
    </row>
    <row r="665" spans="1:28" x14ac:dyDescent="0.25">
      <c r="A665" s="8" t="s">
        <v>1408</v>
      </c>
      <c r="B665" s="8" t="s">
        <v>1409</v>
      </c>
      <c r="C665" s="8" t="s">
        <v>62</v>
      </c>
      <c r="D665" s="10">
        <v>2.26667</v>
      </c>
      <c r="E665" s="10">
        <v>1</v>
      </c>
      <c r="F665" s="10">
        <v>1.26667</v>
      </c>
      <c r="G665" s="10">
        <v>1</v>
      </c>
      <c r="H665" s="10">
        <v>1.26667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0.26666999000000002</v>
      </c>
      <c r="O665" s="8" t="s">
        <v>31</v>
      </c>
      <c r="P665" s="8" t="s">
        <v>31</v>
      </c>
      <c r="Q665" s="8" t="s">
        <v>31</v>
      </c>
      <c r="R665" s="8" t="s">
        <v>31</v>
      </c>
      <c r="S665" s="8" t="s">
        <v>31</v>
      </c>
      <c r="T665" s="8" t="s">
        <v>57</v>
      </c>
      <c r="U665" s="8" t="s">
        <v>31</v>
      </c>
      <c r="V665" s="8" t="s">
        <v>31</v>
      </c>
      <c r="W665" s="8" t="str">
        <f>_xlfn.IFNA(VLOOKUP(A665,[1]Sheet1!$A$1:$B$101,1,FALSE),"na")</f>
        <v>na</v>
      </c>
      <c r="X665" s="8" t="s">
        <v>35</v>
      </c>
      <c r="Y665" s="9">
        <v>308</v>
      </c>
      <c r="Z665" s="9">
        <v>135.88216</v>
      </c>
      <c r="AA665" s="9">
        <v>308</v>
      </c>
      <c r="AB665" s="9">
        <v>243.15726000000001</v>
      </c>
    </row>
    <row r="666" spans="1:28" x14ac:dyDescent="0.25">
      <c r="A666" s="8" t="s">
        <v>1410</v>
      </c>
      <c r="B666" s="8" t="s">
        <v>1411</v>
      </c>
      <c r="C666" s="8" t="s">
        <v>30</v>
      </c>
      <c r="D666" s="10">
        <v>0</v>
      </c>
      <c r="E666" s="10">
        <v>0</v>
      </c>
      <c r="F666" s="10">
        <v>0</v>
      </c>
      <c r="G666" s="10">
        <v>0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8" t="s">
        <v>31</v>
      </c>
      <c r="P666" s="8" t="s">
        <v>31</v>
      </c>
      <c r="Q666" s="8" t="s">
        <v>31</v>
      </c>
      <c r="R666" s="8" t="s">
        <v>31</v>
      </c>
      <c r="S666" s="8" t="s">
        <v>31</v>
      </c>
      <c r="T666" s="8" t="s">
        <v>31</v>
      </c>
      <c r="U666" s="8" t="s">
        <v>31</v>
      </c>
      <c r="V666" s="8" t="s">
        <v>31</v>
      </c>
      <c r="W666" s="8" t="str">
        <f>_xlfn.IFNA(VLOOKUP(A666,[1]Sheet1!$A$1:$B$101,1,FALSE),"na")</f>
        <v>na</v>
      </c>
      <c r="X666" s="8" t="s">
        <v>35</v>
      </c>
      <c r="Y666" s="9">
        <v>63</v>
      </c>
      <c r="Z666" s="9"/>
      <c r="AA666" s="9"/>
      <c r="AB666" s="9"/>
    </row>
    <row r="667" spans="1:28" x14ac:dyDescent="0.25">
      <c r="A667" s="8" t="s">
        <v>1412</v>
      </c>
      <c r="B667" s="8" t="s">
        <v>1413</v>
      </c>
      <c r="C667" s="8" t="s">
        <v>62</v>
      </c>
      <c r="D667" s="10">
        <v>2</v>
      </c>
      <c r="E667" s="10">
        <v>0</v>
      </c>
      <c r="F667" s="10">
        <v>2</v>
      </c>
      <c r="G667" s="10">
        <v>0</v>
      </c>
      <c r="H667" s="10">
        <v>2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8" t="s">
        <v>31</v>
      </c>
      <c r="P667" s="8" t="s">
        <v>31</v>
      </c>
      <c r="Q667" s="8" t="s">
        <v>31</v>
      </c>
      <c r="R667" s="8" t="s">
        <v>31</v>
      </c>
      <c r="S667" s="8" t="s">
        <v>31</v>
      </c>
      <c r="T667" s="8" t="s">
        <v>57</v>
      </c>
      <c r="U667" s="8" t="s">
        <v>31</v>
      </c>
      <c r="V667" s="8" t="s">
        <v>31</v>
      </c>
      <c r="W667" s="8" t="str">
        <f>_xlfn.IFNA(VLOOKUP(A667,[1]Sheet1!$A$1:$B$101,1,FALSE),"na")</f>
        <v>na</v>
      </c>
      <c r="X667" s="8" t="s">
        <v>35</v>
      </c>
      <c r="Y667" s="9">
        <v>410</v>
      </c>
      <c r="Z667" s="9">
        <v>205</v>
      </c>
      <c r="AA667" s="9">
        <v>410</v>
      </c>
      <c r="AB667" s="9">
        <v>205</v>
      </c>
    </row>
    <row r="668" spans="1:28" x14ac:dyDescent="0.25">
      <c r="A668" s="8" t="s">
        <v>1414</v>
      </c>
      <c r="B668" s="8" t="s">
        <v>1415</v>
      </c>
      <c r="C668" s="8" t="s">
        <v>38</v>
      </c>
      <c r="D668" s="10">
        <v>3.5999998999999998</v>
      </c>
      <c r="E668" s="10">
        <v>2</v>
      </c>
      <c r="F668" s="10">
        <v>1.6</v>
      </c>
      <c r="G668" s="10">
        <v>2</v>
      </c>
      <c r="H668" s="10">
        <v>1.6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0.60000001999999997</v>
      </c>
      <c r="O668" s="8" t="s">
        <v>31</v>
      </c>
      <c r="P668" s="8" t="s">
        <v>57</v>
      </c>
      <c r="Q668" s="8" t="s">
        <v>31</v>
      </c>
      <c r="R668" s="8" t="s">
        <v>31</v>
      </c>
      <c r="S668" s="8" t="s">
        <v>31</v>
      </c>
      <c r="T668" s="8" t="s">
        <v>31</v>
      </c>
      <c r="U668" s="8" t="s">
        <v>31</v>
      </c>
      <c r="V668" s="8" t="s">
        <v>31</v>
      </c>
      <c r="W668" s="8" t="str">
        <f>_xlfn.IFNA(VLOOKUP(A668,[1]Sheet1!$A$1:$B$101,1,FALSE),"na")</f>
        <v>na</v>
      </c>
      <c r="X668" s="8" t="s">
        <v>35</v>
      </c>
      <c r="Y668" s="9">
        <v>763</v>
      </c>
      <c r="Z668" s="9">
        <v>211.94443999999999</v>
      </c>
      <c r="AA668" s="9">
        <v>381.5</v>
      </c>
      <c r="AB668" s="9">
        <v>476.875</v>
      </c>
    </row>
    <row r="669" spans="1:28" x14ac:dyDescent="0.25">
      <c r="A669" s="8" t="s">
        <v>1416</v>
      </c>
      <c r="B669" s="8" t="s">
        <v>1417</v>
      </c>
      <c r="C669" s="8" t="s">
        <v>80</v>
      </c>
      <c r="D669" s="10">
        <v>3</v>
      </c>
      <c r="E669" s="10">
        <v>2</v>
      </c>
      <c r="F669" s="10">
        <v>1</v>
      </c>
      <c r="G669" s="10">
        <v>2</v>
      </c>
      <c r="H669" s="10">
        <v>1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8" t="s">
        <v>31</v>
      </c>
      <c r="P669" s="8" t="s">
        <v>31</v>
      </c>
      <c r="Q669" s="8" t="s">
        <v>31</v>
      </c>
      <c r="R669" s="8" t="s">
        <v>31</v>
      </c>
      <c r="S669" s="8" t="s">
        <v>31</v>
      </c>
      <c r="T669" s="8" t="s">
        <v>57</v>
      </c>
      <c r="U669" s="8" t="s">
        <v>31</v>
      </c>
      <c r="V669" s="8" t="s">
        <v>31</v>
      </c>
      <c r="W669" s="8" t="str">
        <f>_xlfn.IFNA(VLOOKUP(A669,[1]Sheet1!$A$1:$B$101,1,FALSE),"na")</f>
        <v>na</v>
      </c>
      <c r="X669" s="8" t="s">
        <v>35</v>
      </c>
      <c r="Y669" s="9">
        <v>354</v>
      </c>
      <c r="Z669" s="9">
        <v>118</v>
      </c>
      <c r="AA669" s="9">
        <v>177</v>
      </c>
      <c r="AB669" s="9">
        <v>354</v>
      </c>
    </row>
    <row r="670" spans="1:28" x14ac:dyDescent="0.25">
      <c r="A670" s="8" t="s">
        <v>1418</v>
      </c>
      <c r="B670" s="8" t="s">
        <v>1419</v>
      </c>
      <c r="C670" s="8" t="s">
        <v>62</v>
      </c>
      <c r="D670" s="10">
        <v>3</v>
      </c>
      <c r="E670" s="10">
        <v>2</v>
      </c>
      <c r="F670" s="10">
        <v>1</v>
      </c>
      <c r="G670" s="10">
        <v>2</v>
      </c>
      <c r="H670" s="10">
        <v>1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8" t="s">
        <v>31</v>
      </c>
      <c r="P670" s="8" t="s">
        <v>31</v>
      </c>
      <c r="Q670" s="8" t="s">
        <v>31</v>
      </c>
      <c r="R670" s="8" t="s">
        <v>31</v>
      </c>
      <c r="S670" s="8" t="s">
        <v>31</v>
      </c>
      <c r="T670" s="8" t="s">
        <v>31</v>
      </c>
      <c r="U670" s="8" t="s">
        <v>31</v>
      </c>
      <c r="V670" s="8" t="s">
        <v>31</v>
      </c>
      <c r="W670" s="8" t="str">
        <f>_xlfn.IFNA(VLOOKUP(A670,[1]Sheet1!$A$1:$B$101,1,FALSE),"na")</f>
        <v>na</v>
      </c>
      <c r="X670" s="8" t="s">
        <v>35</v>
      </c>
      <c r="Y670" s="9">
        <v>125</v>
      </c>
      <c r="Z670" s="9">
        <v>41.666668000000001</v>
      </c>
      <c r="AA670" s="9">
        <v>62.5</v>
      </c>
      <c r="AB670" s="9">
        <v>125</v>
      </c>
    </row>
    <row r="671" spans="1:28" x14ac:dyDescent="0.25">
      <c r="A671" s="8" t="s">
        <v>1420</v>
      </c>
      <c r="B671" s="8" t="s">
        <v>1421</v>
      </c>
      <c r="C671" s="8" t="s">
        <v>62</v>
      </c>
      <c r="D671" s="10">
        <v>3</v>
      </c>
      <c r="E671" s="10">
        <v>1</v>
      </c>
      <c r="F671" s="10">
        <v>2</v>
      </c>
      <c r="G671" s="10">
        <v>1</v>
      </c>
      <c r="H671" s="10">
        <v>2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8" t="s">
        <v>31</v>
      </c>
      <c r="P671" s="8" t="s">
        <v>57</v>
      </c>
      <c r="Q671" s="8" t="s">
        <v>31</v>
      </c>
      <c r="R671" s="8" t="s">
        <v>31</v>
      </c>
      <c r="S671" s="8" t="s">
        <v>31</v>
      </c>
      <c r="T671" s="8" t="s">
        <v>31</v>
      </c>
      <c r="U671" s="8" t="s">
        <v>31</v>
      </c>
      <c r="V671" s="8" t="s">
        <v>31</v>
      </c>
      <c r="W671" s="8" t="str">
        <f>_xlfn.IFNA(VLOOKUP(A671,[1]Sheet1!$A$1:$B$101,1,FALSE),"na")</f>
        <v>na</v>
      </c>
      <c r="X671" s="8" t="s">
        <v>35</v>
      </c>
      <c r="Y671" s="9">
        <v>223</v>
      </c>
      <c r="Z671" s="9">
        <v>74.333336000000003</v>
      </c>
      <c r="AA671" s="9">
        <v>223</v>
      </c>
      <c r="AB671" s="9">
        <v>111.5</v>
      </c>
    </row>
    <row r="672" spans="1:28" x14ac:dyDescent="0.25">
      <c r="A672" s="8" t="s">
        <v>1422</v>
      </c>
      <c r="B672" s="8" t="s">
        <v>1423</v>
      </c>
      <c r="C672" s="8" t="s">
        <v>62</v>
      </c>
      <c r="D672" s="10">
        <v>2</v>
      </c>
      <c r="E672" s="10">
        <v>1</v>
      </c>
      <c r="F672" s="10">
        <v>1</v>
      </c>
      <c r="G672" s="10">
        <v>1</v>
      </c>
      <c r="H672" s="10">
        <v>1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8" t="s">
        <v>31</v>
      </c>
      <c r="P672" s="8" t="s">
        <v>31</v>
      </c>
      <c r="Q672" s="8" t="s">
        <v>31</v>
      </c>
      <c r="R672" s="8" t="s">
        <v>57</v>
      </c>
      <c r="S672" s="8" t="s">
        <v>31</v>
      </c>
      <c r="T672" s="8" t="s">
        <v>31</v>
      </c>
      <c r="U672" s="8" t="s">
        <v>31</v>
      </c>
      <c r="V672" s="8" t="s">
        <v>31</v>
      </c>
      <c r="W672" s="8" t="str">
        <f>_xlfn.IFNA(VLOOKUP(A672,[1]Sheet1!$A$1:$B$101,1,FALSE),"na")</f>
        <v>na</v>
      </c>
      <c r="X672" s="8" t="s">
        <v>35</v>
      </c>
      <c r="Y672" s="9">
        <v>338</v>
      </c>
      <c r="Z672" s="9">
        <v>169</v>
      </c>
      <c r="AA672" s="9">
        <v>338</v>
      </c>
      <c r="AB672" s="9">
        <v>338</v>
      </c>
    </row>
    <row r="673" spans="1:28" x14ac:dyDescent="0.25">
      <c r="A673" s="8" t="s">
        <v>1424</v>
      </c>
      <c r="B673" s="8" t="s">
        <v>1425</v>
      </c>
      <c r="C673" s="8" t="s">
        <v>62</v>
      </c>
      <c r="D673" s="10">
        <v>6.1999997999999996</v>
      </c>
      <c r="E673" s="10">
        <v>4</v>
      </c>
      <c r="F673" s="10">
        <v>2.2000000000000002</v>
      </c>
      <c r="G673" s="10">
        <v>4</v>
      </c>
      <c r="H673" s="10">
        <v>2.2000000000000002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0.2</v>
      </c>
      <c r="O673" s="8" t="s">
        <v>31</v>
      </c>
      <c r="P673" s="8" t="s">
        <v>31</v>
      </c>
      <c r="Q673" s="8" t="s">
        <v>31</v>
      </c>
      <c r="R673" s="8" t="s">
        <v>31</v>
      </c>
      <c r="S673" s="8" t="s">
        <v>31</v>
      </c>
      <c r="T673" s="8" t="s">
        <v>31</v>
      </c>
      <c r="U673" s="8" t="s">
        <v>31</v>
      </c>
      <c r="V673" s="8" t="s">
        <v>31</v>
      </c>
      <c r="W673" s="8" t="str">
        <f>_xlfn.IFNA(VLOOKUP(A673,[1]Sheet1!$A$1:$B$101,1,FALSE),"na")</f>
        <v>na</v>
      </c>
      <c r="X673" s="8" t="s">
        <v>35</v>
      </c>
      <c r="Y673" s="9">
        <v>558</v>
      </c>
      <c r="Z673" s="9">
        <v>90</v>
      </c>
      <c r="AA673" s="9">
        <v>139.5</v>
      </c>
      <c r="AB673" s="9">
        <v>253.63634999999999</v>
      </c>
    </row>
    <row r="674" spans="1:28" x14ac:dyDescent="0.25">
      <c r="A674" s="8" t="s">
        <v>1426</v>
      </c>
      <c r="B674" s="8" t="s">
        <v>1427</v>
      </c>
      <c r="C674" s="8" t="s">
        <v>62</v>
      </c>
      <c r="D674" s="10">
        <v>2.0999998999999998</v>
      </c>
      <c r="E674" s="10">
        <v>1</v>
      </c>
      <c r="F674" s="10">
        <v>1.1000000000000001</v>
      </c>
      <c r="G674" s="10">
        <v>1</v>
      </c>
      <c r="H674" s="10">
        <v>1.1000000000000001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0">
        <v>0.1</v>
      </c>
      <c r="O674" s="8" t="s">
        <v>57</v>
      </c>
      <c r="P674" s="8" t="s">
        <v>31</v>
      </c>
      <c r="Q674" s="8" t="s">
        <v>31</v>
      </c>
      <c r="R674" s="8" t="s">
        <v>31</v>
      </c>
      <c r="S674" s="8" t="s">
        <v>31</v>
      </c>
      <c r="T674" s="8" t="s">
        <v>31</v>
      </c>
      <c r="U674" s="8" t="s">
        <v>31</v>
      </c>
      <c r="V674" s="8" t="s">
        <v>31</v>
      </c>
      <c r="W674" s="8" t="str">
        <f>_xlfn.IFNA(VLOOKUP(A674,[1]Sheet1!$A$1:$B$101,1,FALSE),"na")</f>
        <v>na</v>
      </c>
      <c r="X674" s="8" t="s">
        <v>35</v>
      </c>
      <c r="Y674" s="9">
        <v>170</v>
      </c>
      <c r="Z674" s="9">
        <v>80.952385000000007</v>
      </c>
      <c r="AA674" s="9">
        <v>170</v>
      </c>
      <c r="AB674" s="9">
        <v>154.54545999999999</v>
      </c>
    </row>
    <row r="675" spans="1:28" x14ac:dyDescent="0.25">
      <c r="A675" s="8" t="s">
        <v>1428</v>
      </c>
      <c r="B675" s="8" t="s">
        <v>1429</v>
      </c>
      <c r="C675" s="8" t="s">
        <v>62</v>
      </c>
      <c r="D675" s="10">
        <v>6.1999997999999996</v>
      </c>
      <c r="E675" s="10">
        <v>5</v>
      </c>
      <c r="F675" s="10">
        <v>1.2</v>
      </c>
      <c r="G675" s="10">
        <v>5</v>
      </c>
      <c r="H675" s="10">
        <v>1.2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0.2</v>
      </c>
      <c r="O675" s="8" t="s">
        <v>57</v>
      </c>
      <c r="P675" s="8" t="s">
        <v>31</v>
      </c>
      <c r="Q675" s="8" t="s">
        <v>31</v>
      </c>
      <c r="R675" s="8" t="s">
        <v>31</v>
      </c>
      <c r="S675" s="8" t="s">
        <v>31</v>
      </c>
      <c r="T675" s="8" t="s">
        <v>31</v>
      </c>
      <c r="U675" s="8" t="s">
        <v>31</v>
      </c>
      <c r="V675" s="8" t="s">
        <v>31</v>
      </c>
      <c r="W675" s="8" t="str">
        <f>_xlfn.IFNA(VLOOKUP(A675,[1]Sheet1!$A$1:$B$101,1,FALSE),"na")</f>
        <v>na</v>
      </c>
      <c r="X675" s="8" t="s">
        <v>35</v>
      </c>
      <c r="Y675" s="9">
        <v>852</v>
      </c>
      <c r="Z675" s="9">
        <v>137.41936000000001</v>
      </c>
      <c r="AA675" s="9">
        <v>170.39999</v>
      </c>
      <c r="AB675" s="9">
        <v>710</v>
      </c>
    </row>
    <row r="676" spans="1:28" x14ac:dyDescent="0.25">
      <c r="A676" s="8" t="s">
        <v>1430</v>
      </c>
      <c r="B676" s="8" t="s">
        <v>1431</v>
      </c>
      <c r="C676" s="8" t="s">
        <v>62</v>
      </c>
      <c r="D676" s="10">
        <v>5.1999997999999996</v>
      </c>
      <c r="E676" s="10">
        <v>4</v>
      </c>
      <c r="F676" s="10">
        <v>1.2</v>
      </c>
      <c r="G676" s="10">
        <v>4</v>
      </c>
      <c r="H676" s="10">
        <v>1.2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0.2</v>
      </c>
      <c r="O676" s="8" t="s">
        <v>31</v>
      </c>
      <c r="P676" s="8" t="s">
        <v>31</v>
      </c>
      <c r="Q676" s="8" t="s">
        <v>31</v>
      </c>
      <c r="R676" s="8" t="s">
        <v>57</v>
      </c>
      <c r="S676" s="8" t="s">
        <v>31</v>
      </c>
      <c r="T676" s="8" t="s">
        <v>31</v>
      </c>
      <c r="U676" s="8" t="s">
        <v>31</v>
      </c>
      <c r="V676" s="8" t="s">
        <v>31</v>
      </c>
      <c r="W676" s="8" t="str">
        <f>_xlfn.IFNA(VLOOKUP(A676,[1]Sheet1!$A$1:$B$101,1,FALSE),"na")</f>
        <v>na</v>
      </c>
      <c r="X676" s="8" t="s">
        <v>35</v>
      </c>
      <c r="Y676" s="9">
        <v>442</v>
      </c>
      <c r="Z676" s="9">
        <v>85</v>
      </c>
      <c r="AA676" s="9">
        <v>110.5</v>
      </c>
      <c r="AB676" s="9">
        <v>368.33330999999998</v>
      </c>
    </row>
    <row r="677" spans="1:28" x14ac:dyDescent="0.25">
      <c r="A677" s="8" t="s">
        <v>1432</v>
      </c>
      <c r="B677" s="8" t="s">
        <v>1433</v>
      </c>
      <c r="C677" s="8" t="s">
        <v>67</v>
      </c>
      <c r="D677" s="10">
        <v>2</v>
      </c>
      <c r="E677" s="10">
        <v>1</v>
      </c>
      <c r="F677" s="10">
        <v>1</v>
      </c>
      <c r="G677" s="10">
        <v>1</v>
      </c>
      <c r="H677" s="10">
        <v>1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8" t="s">
        <v>57</v>
      </c>
      <c r="P677" s="8" t="s">
        <v>31</v>
      </c>
      <c r="Q677" s="8" t="s">
        <v>31</v>
      </c>
      <c r="R677" s="8" t="s">
        <v>31</v>
      </c>
      <c r="S677" s="8" t="s">
        <v>31</v>
      </c>
      <c r="T677" s="8" t="s">
        <v>31</v>
      </c>
      <c r="U677" s="8" t="s">
        <v>31</v>
      </c>
      <c r="V677" s="8" t="s">
        <v>31</v>
      </c>
      <c r="W677" s="8" t="str">
        <f>_xlfn.IFNA(VLOOKUP(A677,[1]Sheet1!$A$1:$B$101,1,FALSE),"na")</f>
        <v>na</v>
      </c>
      <c r="X677" s="8" t="s">
        <v>35</v>
      </c>
      <c r="Y677" s="9">
        <v>229</v>
      </c>
      <c r="Z677" s="9">
        <v>114.5</v>
      </c>
      <c r="AA677" s="9">
        <v>229</v>
      </c>
      <c r="AB677" s="9">
        <v>229</v>
      </c>
    </row>
    <row r="678" spans="1:28" x14ac:dyDescent="0.25">
      <c r="A678" s="8" t="s">
        <v>1434</v>
      </c>
      <c r="B678" s="8" t="s">
        <v>1435</v>
      </c>
      <c r="C678" s="8" t="s">
        <v>67</v>
      </c>
      <c r="D678" s="10">
        <v>2.0999998999999998</v>
      </c>
      <c r="E678" s="10">
        <v>1</v>
      </c>
      <c r="F678" s="10">
        <v>1.1000000000000001</v>
      </c>
      <c r="G678" s="10">
        <v>1</v>
      </c>
      <c r="H678" s="10">
        <v>1.1000000000000001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0.1</v>
      </c>
      <c r="O678" s="8" t="s">
        <v>57</v>
      </c>
      <c r="P678" s="8" t="s">
        <v>31</v>
      </c>
      <c r="Q678" s="8" t="s">
        <v>31</v>
      </c>
      <c r="R678" s="8" t="s">
        <v>31</v>
      </c>
      <c r="S678" s="8" t="s">
        <v>31</v>
      </c>
      <c r="T678" s="8" t="s">
        <v>31</v>
      </c>
      <c r="U678" s="8" t="s">
        <v>31</v>
      </c>
      <c r="V678" s="8" t="s">
        <v>31</v>
      </c>
      <c r="W678" s="8" t="str">
        <f>_xlfn.IFNA(VLOOKUP(A678,[1]Sheet1!$A$1:$B$101,1,FALSE),"na")</f>
        <v>na</v>
      </c>
      <c r="X678" s="8" t="s">
        <v>35</v>
      </c>
      <c r="Y678" s="9">
        <v>300</v>
      </c>
      <c r="Z678" s="9">
        <v>142.85714999999999</v>
      </c>
      <c r="AA678" s="9">
        <v>300</v>
      </c>
      <c r="AB678" s="9">
        <v>272.72726</v>
      </c>
    </row>
    <row r="679" spans="1:28" x14ac:dyDescent="0.25">
      <c r="A679" s="8" t="s">
        <v>1436</v>
      </c>
      <c r="B679" s="8" t="s">
        <v>1437</v>
      </c>
      <c r="C679" s="8" t="s">
        <v>62</v>
      </c>
      <c r="D679" s="10">
        <v>2</v>
      </c>
      <c r="E679" s="10">
        <v>1</v>
      </c>
      <c r="F679" s="10">
        <v>1</v>
      </c>
      <c r="G679" s="10">
        <v>1</v>
      </c>
      <c r="H679" s="10">
        <v>1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8" t="s">
        <v>31</v>
      </c>
      <c r="P679" s="8" t="s">
        <v>31</v>
      </c>
      <c r="Q679" s="8" t="s">
        <v>31</v>
      </c>
      <c r="R679" s="8" t="s">
        <v>31</v>
      </c>
      <c r="S679" s="8" t="s">
        <v>31</v>
      </c>
      <c r="T679" s="8" t="s">
        <v>57</v>
      </c>
      <c r="U679" s="8" t="s">
        <v>31</v>
      </c>
      <c r="V679" s="8" t="s">
        <v>31</v>
      </c>
      <c r="W679" s="8" t="str">
        <f>_xlfn.IFNA(VLOOKUP(A679,[1]Sheet1!$A$1:$B$101,1,FALSE),"na")</f>
        <v>na</v>
      </c>
      <c r="X679" s="8" t="s">
        <v>35</v>
      </c>
      <c r="Y679" s="9">
        <v>162</v>
      </c>
      <c r="Z679" s="9">
        <v>81</v>
      </c>
      <c r="AA679" s="9">
        <v>162</v>
      </c>
      <c r="AB679" s="9">
        <v>162</v>
      </c>
    </row>
    <row r="680" spans="1:28" x14ac:dyDescent="0.25">
      <c r="A680" s="8" t="s">
        <v>1438</v>
      </c>
      <c r="B680" s="8" t="s">
        <v>1439</v>
      </c>
      <c r="C680" s="8" t="s">
        <v>30</v>
      </c>
      <c r="D680" s="10">
        <v>2.8</v>
      </c>
      <c r="E680" s="10">
        <v>2</v>
      </c>
      <c r="F680" s="10">
        <v>0.80000000999999998</v>
      </c>
      <c r="G680" s="10">
        <v>2</v>
      </c>
      <c r="H680" s="10">
        <v>0.80000000999999998</v>
      </c>
      <c r="I680" s="10">
        <v>0</v>
      </c>
      <c r="J680" s="10">
        <v>0</v>
      </c>
      <c r="K680" s="10">
        <v>0</v>
      </c>
      <c r="L680" s="10">
        <v>0.80000000999999998</v>
      </c>
      <c r="M680" s="10">
        <v>0</v>
      </c>
      <c r="N680" s="10">
        <v>0.80000000999999998</v>
      </c>
      <c r="O680" s="8" t="s">
        <v>31</v>
      </c>
      <c r="P680" s="8" t="s">
        <v>57</v>
      </c>
      <c r="Q680" s="8" t="s">
        <v>31</v>
      </c>
      <c r="R680" s="8" t="s">
        <v>31</v>
      </c>
      <c r="S680" s="8" t="s">
        <v>31</v>
      </c>
      <c r="T680" s="8" t="s">
        <v>31</v>
      </c>
      <c r="U680" s="8" t="s">
        <v>31</v>
      </c>
      <c r="V680" s="8" t="s">
        <v>31</v>
      </c>
      <c r="W680" s="8" t="str">
        <f>_xlfn.IFNA(VLOOKUP(A680,[1]Sheet1!$A$1:$B$101,1,FALSE),"na")</f>
        <v>na</v>
      </c>
      <c r="X680" s="8" t="s">
        <v>35</v>
      </c>
      <c r="Y680" s="9">
        <v>175</v>
      </c>
      <c r="Z680" s="9">
        <v>62.5</v>
      </c>
      <c r="AA680" s="9">
        <v>87.5</v>
      </c>
      <c r="AB680" s="9">
        <v>175</v>
      </c>
    </row>
    <row r="681" spans="1:28" x14ac:dyDescent="0.25">
      <c r="A681" s="8" t="s">
        <v>1440</v>
      </c>
      <c r="B681" s="8" t="s">
        <v>1441</v>
      </c>
      <c r="C681" s="8" t="s">
        <v>30</v>
      </c>
      <c r="D681" s="10">
        <v>2.2999999999999998</v>
      </c>
      <c r="E681" s="10">
        <v>0</v>
      </c>
      <c r="F681" s="10">
        <v>2.2999999999999998</v>
      </c>
      <c r="G681" s="10">
        <v>0</v>
      </c>
      <c r="H681" s="10">
        <v>2.2999999999999998</v>
      </c>
      <c r="I681" s="10">
        <v>0</v>
      </c>
      <c r="J681" s="10">
        <v>0</v>
      </c>
      <c r="K681" s="10">
        <v>0</v>
      </c>
      <c r="L681" s="10">
        <v>0.30000000999999998</v>
      </c>
      <c r="M681" s="10">
        <v>0</v>
      </c>
      <c r="N681" s="10">
        <v>0.30000000999999998</v>
      </c>
      <c r="O681" s="8" t="s">
        <v>31</v>
      </c>
      <c r="P681" s="8" t="s">
        <v>31</v>
      </c>
      <c r="Q681" s="8" t="s">
        <v>31</v>
      </c>
      <c r="R681" s="8" t="s">
        <v>31</v>
      </c>
      <c r="S681" s="8" t="s">
        <v>31</v>
      </c>
      <c r="T681" s="8" t="s">
        <v>31</v>
      </c>
      <c r="U681" s="8" t="s">
        <v>31</v>
      </c>
      <c r="V681" s="8" t="s">
        <v>31</v>
      </c>
      <c r="W681" s="8" t="str">
        <f>_xlfn.IFNA(VLOOKUP(A681,[1]Sheet1!$A$1:$B$101,1,FALSE),"na")</f>
        <v>na</v>
      </c>
      <c r="X681" s="8" t="s">
        <v>35</v>
      </c>
      <c r="Y681" s="9">
        <v>199</v>
      </c>
      <c r="Z681" s="9">
        <v>86.521743999999998</v>
      </c>
      <c r="AA681" s="9">
        <v>199</v>
      </c>
      <c r="AB681" s="9">
        <v>86.521743999999998</v>
      </c>
    </row>
    <row r="682" spans="1:28" x14ac:dyDescent="0.25">
      <c r="A682" s="8" t="s">
        <v>1442</v>
      </c>
      <c r="B682" s="8" t="s">
        <v>1443</v>
      </c>
      <c r="C682" s="8" t="s">
        <v>30</v>
      </c>
      <c r="D682" s="10">
        <v>2.4000001000000002</v>
      </c>
      <c r="E682" s="10">
        <v>1</v>
      </c>
      <c r="F682" s="10">
        <v>1.4</v>
      </c>
      <c r="G682" s="10">
        <v>1</v>
      </c>
      <c r="H682" s="10">
        <v>1.4</v>
      </c>
      <c r="I682" s="10">
        <v>0</v>
      </c>
      <c r="J682" s="10">
        <v>0</v>
      </c>
      <c r="K682" s="10">
        <v>0</v>
      </c>
      <c r="L682" s="10">
        <v>0.40000001000000002</v>
      </c>
      <c r="M682" s="10">
        <v>0</v>
      </c>
      <c r="N682" s="10">
        <v>0.40000001000000002</v>
      </c>
      <c r="O682" s="8" t="s">
        <v>57</v>
      </c>
      <c r="P682" s="8" t="s">
        <v>31</v>
      </c>
      <c r="Q682" s="8" t="s">
        <v>31</v>
      </c>
      <c r="R682" s="8" t="s">
        <v>31</v>
      </c>
      <c r="S682" s="8" t="s">
        <v>31</v>
      </c>
      <c r="T682" s="8" t="s">
        <v>31</v>
      </c>
      <c r="U682" s="8" t="s">
        <v>31</v>
      </c>
      <c r="V682" s="8" t="s">
        <v>31</v>
      </c>
      <c r="W682" s="8" t="str">
        <f>_xlfn.IFNA(VLOOKUP(A682,[1]Sheet1!$A$1:$B$101,1,FALSE),"na")</f>
        <v>na</v>
      </c>
      <c r="X682" s="8" t="s">
        <v>35</v>
      </c>
      <c r="Y682" s="9">
        <v>151</v>
      </c>
      <c r="Z682" s="9">
        <v>62.916663999999997</v>
      </c>
      <c r="AA682" s="9">
        <v>151</v>
      </c>
      <c r="AB682" s="9">
        <v>107.85715</v>
      </c>
    </row>
    <row r="683" spans="1:28" x14ac:dyDescent="0.25">
      <c r="A683" s="8" t="s">
        <v>1444</v>
      </c>
      <c r="B683" s="8" t="s">
        <v>1445</v>
      </c>
      <c r="C683" s="8" t="s">
        <v>30</v>
      </c>
      <c r="D683" s="10">
        <v>1.6</v>
      </c>
      <c r="E683" s="10">
        <v>1</v>
      </c>
      <c r="F683" s="10">
        <v>0.60000001999999997</v>
      </c>
      <c r="G683" s="10">
        <v>1</v>
      </c>
      <c r="H683" s="10">
        <v>0.60000001999999997</v>
      </c>
      <c r="I683" s="10">
        <v>0</v>
      </c>
      <c r="J683" s="10">
        <v>0</v>
      </c>
      <c r="K683" s="10">
        <v>0</v>
      </c>
      <c r="L683" s="10">
        <v>0.60000001999999997</v>
      </c>
      <c r="M683" s="10">
        <v>0</v>
      </c>
      <c r="N683" s="10">
        <v>0.60000001999999997</v>
      </c>
      <c r="O683" s="8" t="s">
        <v>31</v>
      </c>
      <c r="P683" s="8" t="s">
        <v>31</v>
      </c>
      <c r="Q683" s="8" t="s">
        <v>31</v>
      </c>
      <c r="R683" s="8" t="s">
        <v>31</v>
      </c>
      <c r="S683" s="8" t="s">
        <v>31</v>
      </c>
      <c r="T683" s="8" t="s">
        <v>31</v>
      </c>
      <c r="U683" s="8" t="s">
        <v>31</v>
      </c>
      <c r="V683" s="8" t="s">
        <v>31</v>
      </c>
      <c r="W683" s="8" t="str">
        <f>_xlfn.IFNA(VLOOKUP(A683,[1]Sheet1!$A$1:$B$101,1,FALSE),"na")</f>
        <v>na</v>
      </c>
      <c r="X683" s="8" t="s">
        <v>35</v>
      </c>
      <c r="Y683" s="9">
        <v>240</v>
      </c>
      <c r="Z683" s="9">
        <v>150</v>
      </c>
      <c r="AA683" s="9">
        <v>240</v>
      </c>
      <c r="AB683" s="9">
        <v>240</v>
      </c>
    </row>
    <row r="684" spans="1:28" x14ac:dyDescent="0.25">
      <c r="A684" s="8" t="s">
        <v>1446</v>
      </c>
      <c r="B684" s="8" t="s">
        <v>1447</v>
      </c>
      <c r="C684" s="8" t="s">
        <v>30</v>
      </c>
      <c r="D684" s="10">
        <v>2.4000001000000002</v>
      </c>
      <c r="E684" s="10">
        <v>1</v>
      </c>
      <c r="F684" s="10">
        <v>1.4</v>
      </c>
      <c r="G684" s="10">
        <v>1</v>
      </c>
      <c r="H684" s="10">
        <v>1.4</v>
      </c>
      <c r="I684" s="10">
        <v>0</v>
      </c>
      <c r="J684" s="10">
        <v>0</v>
      </c>
      <c r="K684" s="10">
        <v>0</v>
      </c>
      <c r="L684" s="10">
        <v>0.40000001000000002</v>
      </c>
      <c r="M684" s="10">
        <v>0</v>
      </c>
      <c r="N684" s="10">
        <v>0.40000001000000002</v>
      </c>
      <c r="O684" s="8" t="s">
        <v>57</v>
      </c>
      <c r="P684" s="8" t="s">
        <v>31</v>
      </c>
      <c r="Q684" s="8" t="s">
        <v>31</v>
      </c>
      <c r="R684" s="8" t="s">
        <v>31</v>
      </c>
      <c r="S684" s="8" t="s">
        <v>31</v>
      </c>
      <c r="T684" s="8" t="s">
        <v>31</v>
      </c>
      <c r="U684" s="8" t="s">
        <v>31</v>
      </c>
      <c r="V684" s="8" t="s">
        <v>31</v>
      </c>
      <c r="W684" s="8" t="str">
        <f>_xlfn.IFNA(VLOOKUP(A684,[1]Sheet1!$A$1:$B$101,1,FALSE),"na")</f>
        <v>na</v>
      </c>
      <c r="X684" s="8" t="s">
        <v>35</v>
      </c>
      <c r="Y684" s="9">
        <v>643</v>
      </c>
      <c r="Z684" s="9">
        <v>267.91665999999998</v>
      </c>
      <c r="AA684" s="9">
        <v>643</v>
      </c>
      <c r="AB684" s="9">
        <v>459.28573999999998</v>
      </c>
    </row>
    <row r="685" spans="1:28" x14ac:dyDescent="0.25">
      <c r="A685" s="8" t="s">
        <v>1448</v>
      </c>
      <c r="B685" s="8" t="s">
        <v>1449</v>
      </c>
      <c r="C685" s="8" t="s">
        <v>30</v>
      </c>
      <c r="D685" s="10">
        <v>2.4000001000000002</v>
      </c>
      <c r="E685" s="10">
        <v>1</v>
      </c>
      <c r="F685" s="10">
        <v>1.4</v>
      </c>
      <c r="G685" s="10">
        <v>1</v>
      </c>
      <c r="H685" s="10">
        <v>1.4</v>
      </c>
      <c r="I685" s="10">
        <v>0</v>
      </c>
      <c r="J685" s="10">
        <v>0</v>
      </c>
      <c r="K685" s="10">
        <v>0</v>
      </c>
      <c r="L685" s="10">
        <v>0.40000001000000002</v>
      </c>
      <c r="M685" s="10">
        <v>0</v>
      </c>
      <c r="N685" s="10">
        <v>0.40000001000000002</v>
      </c>
      <c r="O685" s="8" t="s">
        <v>57</v>
      </c>
      <c r="P685" s="8" t="s">
        <v>31</v>
      </c>
      <c r="Q685" s="8" t="s">
        <v>31</v>
      </c>
      <c r="R685" s="8" t="s">
        <v>31</v>
      </c>
      <c r="S685" s="8" t="s">
        <v>31</v>
      </c>
      <c r="T685" s="8" t="s">
        <v>31</v>
      </c>
      <c r="U685" s="8" t="s">
        <v>31</v>
      </c>
      <c r="V685" s="8" t="s">
        <v>31</v>
      </c>
      <c r="W685" s="8" t="str">
        <f>_xlfn.IFNA(VLOOKUP(A685,[1]Sheet1!$A$1:$B$101,1,FALSE),"na")</f>
        <v>na</v>
      </c>
      <c r="X685" s="8" t="s">
        <v>35</v>
      </c>
      <c r="Y685" s="9">
        <v>435</v>
      </c>
      <c r="Z685" s="9">
        <v>181.25</v>
      </c>
      <c r="AA685" s="9">
        <v>435</v>
      </c>
      <c r="AB685" s="9">
        <v>310.71429000000001</v>
      </c>
    </row>
    <row r="686" spans="1:28" x14ac:dyDescent="0.25">
      <c r="A686" s="8" t="s">
        <v>1450</v>
      </c>
      <c r="B686" s="8" t="s">
        <v>1451</v>
      </c>
      <c r="C686" s="8" t="s">
        <v>67</v>
      </c>
      <c r="D686" s="10">
        <v>2.4000001000000002</v>
      </c>
      <c r="E686" s="10">
        <v>1</v>
      </c>
      <c r="F686" s="10">
        <v>1.4</v>
      </c>
      <c r="G686" s="10">
        <v>1</v>
      </c>
      <c r="H686" s="10">
        <v>1.4</v>
      </c>
      <c r="I686" s="10">
        <v>0</v>
      </c>
      <c r="J686" s="10">
        <v>0</v>
      </c>
      <c r="K686" s="10">
        <v>0</v>
      </c>
      <c r="L686" s="10">
        <v>0.40000001000000002</v>
      </c>
      <c r="M686" s="10">
        <v>0</v>
      </c>
      <c r="N686" s="10">
        <v>0.40000001000000002</v>
      </c>
      <c r="O686" s="8" t="s">
        <v>31</v>
      </c>
      <c r="P686" s="8" t="s">
        <v>31</v>
      </c>
      <c r="Q686" s="8" t="s">
        <v>31</v>
      </c>
      <c r="R686" s="8" t="s">
        <v>57</v>
      </c>
      <c r="S686" s="8" t="s">
        <v>31</v>
      </c>
      <c r="T686" s="8" t="s">
        <v>31</v>
      </c>
      <c r="U686" s="8" t="s">
        <v>31</v>
      </c>
      <c r="V686" s="8" t="s">
        <v>31</v>
      </c>
      <c r="W686" s="8" t="str">
        <f>_xlfn.IFNA(VLOOKUP(A686,[1]Sheet1!$A$1:$B$101,1,FALSE),"na")</f>
        <v>na</v>
      </c>
      <c r="X686" s="8" t="s">
        <v>1452</v>
      </c>
      <c r="Y686" s="9">
        <v>403</v>
      </c>
      <c r="Z686" s="9">
        <v>167.91666000000001</v>
      </c>
      <c r="AA686" s="9">
        <v>403</v>
      </c>
      <c r="AB686" s="9">
        <v>287.85714999999999</v>
      </c>
    </row>
    <row r="687" spans="1:28" x14ac:dyDescent="0.25">
      <c r="A687" s="8" t="s">
        <v>1453</v>
      </c>
      <c r="B687" s="8" t="s">
        <v>1454</v>
      </c>
      <c r="C687" s="8" t="s">
        <v>30</v>
      </c>
      <c r="D687" s="10">
        <v>2.4000001000000002</v>
      </c>
      <c r="E687" s="10">
        <v>1</v>
      </c>
      <c r="F687" s="10">
        <v>1.4</v>
      </c>
      <c r="G687" s="10">
        <v>1</v>
      </c>
      <c r="H687" s="10">
        <v>1.4</v>
      </c>
      <c r="I687" s="10">
        <v>0</v>
      </c>
      <c r="J687" s="10">
        <v>0</v>
      </c>
      <c r="K687" s="10">
        <v>0</v>
      </c>
      <c r="L687" s="10">
        <v>0.40000001000000002</v>
      </c>
      <c r="M687" s="10">
        <v>0</v>
      </c>
      <c r="N687" s="10">
        <v>0.40000001000000002</v>
      </c>
      <c r="O687" s="8" t="s">
        <v>57</v>
      </c>
      <c r="P687" s="8" t="s">
        <v>57</v>
      </c>
      <c r="Q687" s="8" t="s">
        <v>31</v>
      </c>
      <c r="R687" s="8" t="s">
        <v>31</v>
      </c>
      <c r="S687" s="8" t="s">
        <v>31</v>
      </c>
      <c r="T687" s="8" t="s">
        <v>31</v>
      </c>
      <c r="U687" s="8" t="s">
        <v>31</v>
      </c>
      <c r="V687" s="8" t="s">
        <v>31</v>
      </c>
      <c r="W687" s="8" t="str">
        <f>_xlfn.IFNA(VLOOKUP(A687,[1]Sheet1!$A$1:$B$101,1,FALSE),"na")</f>
        <v>na</v>
      </c>
      <c r="X687" s="8" t="s">
        <v>1455</v>
      </c>
      <c r="Y687" s="9">
        <v>287</v>
      </c>
      <c r="Z687" s="9">
        <v>119.58333</v>
      </c>
      <c r="AA687" s="9">
        <v>287</v>
      </c>
      <c r="AB687" s="9">
        <v>205</v>
      </c>
    </row>
    <row r="688" spans="1:28" x14ac:dyDescent="0.25">
      <c r="A688" s="8" t="s">
        <v>1456</v>
      </c>
      <c r="B688" s="8" t="s">
        <v>1457</v>
      </c>
      <c r="C688" s="8" t="s">
        <v>80</v>
      </c>
      <c r="D688" s="10">
        <v>3.0999998999999998</v>
      </c>
      <c r="E688" s="10">
        <v>2</v>
      </c>
      <c r="F688" s="10">
        <v>1.1000000000000001</v>
      </c>
      <c r="G688" s="10">
        <v>2</v>
      </c>
      <c r="H688" s="10">
        <v>1.1000000000000001</v>
      </c>
      <c r="I688" s="10">
        <v>0</v>
      </c>
      <c r="J688" s="10">
        <v>0</v>
      </c>
      <c r="K688" s="10">
        <v>0</v>
      </c>
      <c r="L688" s="10">
        <v>0.1</v>
      </c>
      <c r="M688" s="10">
        <v>0</v>
      </c>
      <c r="N688" s="10">
        <v>0.1</v>
      </c>
      <c r="O688" s="8" t="s">
        <v>31</v>
      </c>
      <c r="P688" s="8" t="s">
        <v>31</v>
      </c>
      <c r="Q688" s="8" t="s">
        <v>31</v>
      </c>
      <c r="R688" s="8" t="s">
        <v>31</v>
      </c>
      <c r="S688" s="8" t="s">
        <v>31</v>
      </c>
      <c r="T688" s="8" t="s">
        <v>31</v>
      </c>
      <c r="U688" s="8" t="s">
        <v>31</v>
      </c>
      <c r="V688" s="8" t="s">
        <v>31</v>
      </c>
      <c r="W688" s="8" t="str">
        <f>_xlfn.IFNA(VLOOKUP(A688,[1]Sheet1!$A$1:$B$101,1,FALSE),"na")</f>
        <v>na</v>
      </c>
      <c r="X688" s="8" t="s">
        <v>86</v>
      </c>
      <c r="Y688" s="9">
        <v>473</v>
      </c>
      <c r="Z688" s="9">
        <v>152.58063999999999</v>
      </c>
      <c r="AA688" s="9">
        <v>236.5</v>
      </c>
      <c r="AB688" s="9">
        <v>430</v>
      </c>
    </row>
    <row r="689" spans="1:28" x14ac:dyDescent="0.25">
      <c r="A689" s="8" t="s">
        <v>1458</v>
      </c>
      <c r="B689" s="8" t="s">
        <v>1459</v>
      </c>
      <c r="C689" s="8" t="s">
        <v>38</v>
      </c>
      <c r="D689" s="10">
        <v>3.5999998999999998</v>
      </c>
      <c r="E689" s="10">
        <v>3</v>
      </c>
      <c r="F689" s="10">
        <v>0.60000001999999997</v>
      </c>
      <c r="G689" s="10">
        <v>3</v>
      </c>
      <c r="H689" s="10">
        <v>0.60000001999999997</v>
      </c>
      <c r="I689" s="10">
        <v>0</v>
      </c>
      <c r="J689" s="10">
        <v>0</v>
      </c>
      <c r="K689" s="10">
        <v>2</v>
      </c>
      <c r="L689" s="10">
        <v>0.60000001999999997</v>
      </c>
      <c r="M689" s="10">
        <v>0</v>
      </c>
      <c r="N689" s="10">
        <v>0.60000001999999997</v>
      </c>
      <c r="O689" s="8" t="s">
        <v>31</v>
      </c>
      <c r="P689" s="8" t="s">
        <v>31</v>
      </c>
      <c r="Q689" s="8" t="s">
        <v>31</v>
      </c>
      <c r="R689" s="8" t="s">
        <v>31</v>
      </c>
      <c r="S689" s="8" t="s">
        <v>31</v>
      </c>
      <c r="T689" s="8" t="s">
        <v>31</v>
      </c>
      <c r="U689" s="8" t="s">
        <v>31</v>
      </c>
      <c r="V689" s="8" t="s">
        <v>31</v>
      </c>
      <c r="W689" s="8" t="str">
        <f>_xlfn.IFNA(VLOOKUP(A689,[1]Sheet1!$A$1:$B$101,1,FALSE),"na")</f>
        <v>na</v>
      </c>
      <c r="X689" s="8" t="s">
        <v>35</v>
      </c>
      <c r="Y689" s="9">
        <v>636</v>
      </c>
      <c r="Z689" s="9">
        <v>176.66667000000001</v>
      </c>
      <c r="AA689" s="9">
        <v>212</v>
      </c>
      <c r="AB689" s="9">
        <v>636</v>
      </c>
    </row>
    <row r="690" spans="1:28" x14ac:dyDescent="0.25">
      <c r="A690" s="8" t="s">
        <v>1460</v>
      </c>
      <c r="B690" s="8" t="s">
        <v>1461</v>
      </c>
      <c r="C690" s="8" t="s">
        <v>30</v>
      </c>
      <c r="D690" s="10">
        <v>2.4000001000000002</v>
      </c>
      <c r="E690" s="10">
        <v>1</v>
      </c>
      <c r="F690" s="10">
        <v>1.4</v>
      </c>
      <c r="G690" s="10">
        <v>1</v>
      </c>
      <c r="H690" s="10">
        <v>1.4</v>
      </c>
      <c r="I690" s="10">
        <v>0</v>
      </c>
      <c r="J690" s="10">
        <v>0</v>
      </c>
      <c r="K690" s="10">
        <v>0</v>
      </c>
      <c r="L690" s="10">
        <v>0.40000001000000002</v>
      </c>
      <c r="M690" s="10">
        <v>0</v>
      </c>
      <c r="N690" s="10">
        <v>0.40000001000000002</v>
      </c>
      <c r="O690" s="8" t="s">
        <v>57</v>
      </c>
      <c r="P690" s="8" t="s">
        <v>31</v>
      </c>
      <c r="Q690" s="8" t="s">
        <v>31</v>
      </c>
      <c r="R690" s="8" t="s">
        <v>31</v>
      </c>
      <c r="S690" s="8" t="s">
        <v>31</v>
      </c>
      <c r="T690" s="8" t="s">
        <v>31</v>
      </c>
      <c r="U690" s="8" t="s">
        <v>31</v>
      </c>
      <c r="V690" s="8" t="s">
        <v>31</v>
      </c>
      <c r="W690" s="8" t="str">
        <f>_xlfn.IFNA(VLOOKUP(A690,[1]Sheet1!$A$1:$B$101,1,FALSE),"na")</f>
        <v>na</v>
      </c>
      <c r="X690" s="8" t="s">
        <v>35</v>
      </c>
      <c r="Y690" s="9">
        <v>493</v>
      </c>
      <c r="Z690" s="9">
        <v>205.41666000000001</v>
      </c>
      <c r="AA690" s="9">
        <v>493</v>
      </c>
      <c r="AB690" s="9">
        <v>352.14285000000001</v>
      </c>
    </row>
    <row r="691" spans="1:28" x14ac:dyDescent="0.25">
      <c r="A691" s="8" t="s">
        <v>1462</v>
      </c>
      <c r="B691" s="8" t="s">
        <v>1463</v>
      </c>
      <c r="C691" s="8" t="s">
        <v>30</v>
      </c>
      <c r="D691" s="10">
        <v>1.2</v>
      </c>
      <c r="E691" s="10">
        <v>1</v>
      </c>
      <c r="F691" s="10">
        <v>0.2</v>
      </c>
      <c r="G691" s="10">
        <v>1</v>
      </c>
      <c r="H691" s="10">
        <v>0.2</v>
      </c>
      <c r="I691" s="10">
        <v>0</v>
      </c>
      <c r="J691" s="10">
        <v>0</v>
      </c>
      <c r="K691" s="10">
        <v>0</v>
      </c>
      <c r="L691" s="10">
        <v>0.2</v>
      </c>
      <c r="M691" s="10">
        <v>0</v>
      </c>
      <c r="N691" s="10">
        <v>0.2</v>
      </c>
      <c r="O691" s="8" t="s">
        <v>31</v>
      </c>
      <c r="P691" s="8" t="s">
        <v>31</v>
      </c>
      <c r="Q691" s="8" t="s">
        <v>31</v>
      </c>
      <c r="R691" s="8" t="s">
        <v>31</v>
      </c>
      <c r="S691" s="8" t="s">
        <v>31</v>
      </c>
      <c r="T691" s="8" t="s">
        <v>31</v>
      </c>
      <c r="U691" s="8" t="s">
        <v>31</v>
      </c>
      <c r="V691" s="8" t="s">
        <v>31</v>
      </c>
      <c r="W691" s="8" t="str">
        <f>_xlfn.IFNA(VLOOKUP(A691,[1]Sheet1!$A$1:$B$101,1,FALSE),"na")</f>
        <v>na</v>
      </c>
      <c r="X691" s="8" t="s">
        <v>35</v>
      </c>
      <c r="Y691" s="9">
        <v>294</v>
      </c>
      <c r="Z691" s="9">
        <v>244.99997999999999</v>
      </c>
      <c r="AA691" s="9">
        <v>294</v>
      </c>
      <c r="AB691" s="9">
        <v>294</v>
      </c>
    </row>
    <row r="692" spans="1:28" x14ac:dyDescent="0.25">
      <c r="A692" s="8" t="s">
        <v>1464</v>
      </c>
      <c r="B692" s="8" t="s">
        <v>1465</v>
      </c>
      <c r="C692" s="8" t="s">
        <v>67</v>
      </c>
      <c r="D692" s="10">
        <v>2</v>
      </c>
      <c r="E692" s="10">
        <v>1</v>
      </c>
      <c r="F692" s="10">
        <v>1</v>
      </c>
      <c r="G692" s="10">
        <v>1</v>
      </c>
      <c r="H692" s="10">
        <v>1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8" t="s">
        <v>57</v>
      </c>
      <c r="P692" s="8" t="s">
        <v>31</v>
      </c>
      <c r="Q692" s="8" t="s">
        <v>31</v>
      </c>
      <c r="R692" s="8" t="s">
        <v>31</v>
      </c>
      <c r="S692" s="8" t="s">
        <v>31</v>
      </c>
      <c r="T692" s="8" t="s">
        <v>31</v>
      </c>
      <c r="U692" s="8" t="s">
        <v>31</v>
      </c>
      <c r="V692" s="8" t="s">
        <v>31</v>
      </c>
      <c r="W692" s="8" t="str">
        <f>_xlfn.IFNA(VLOOKUP(A692,[1]Sheet1!$A$1:$B$101,1,FALSE),"na")</f>
        <v>na</v>
      </c>
      <c r="X692" s="8" t="s">
        <v>1466</v>
      </c>
      <c r="Y692" s="9">
        <v>162</v>
      </c>
      <c r="Z692" s="9">
        <v>81</v>
      </c>
      <c r="AA692" s="9">
        <v>162</v>
      </c>
      <c r="AB692" s="9">
        <v>162</v>
      </c>
    </row>
    <row r="693" spans="1:28" x14ac:dyDescent="0.25">
      <c r="A693" s="8" t="s">
        <v>1467</v>
      </c>
      <c r="B693" s="8" t="s">
        <v>1468</v>
      </c>
      <c r="C693" s="8" t="s">
        <v>30</v>
      </c>
      <c r="D693" s="10">
        <v>1.6</v>
      </c>
      <c r="E693" s="10">
        <v>1</v>
      </c>
      <c r="F693" s="10">
        <v>0.60000001999999997</v>
      </c>
      <c r="G693" s="10">
        <v>1</v>
      </c>
      <c r="H693" s="10">
        <v>0.60000001999999997</v>
      </c>
      <c r="I693" s="10">
        <v>0</v>
      </c>
      <c r="J693" s="10">
        <v>0</v>
      </c>
      <c r="K693" s="10">
        <v>0</v>
      </c>
      <c r="L693" s="10">
        <v>0.60000001999999997</v>
      </c>
      <c r="M693" s="10">
        <v>0</v>
      </c>
      <c r="N693" s="10">
        <v>0.60000001999999997</v>
      </c>
      <c r="O693" s="8" t="s">
        <v>31</v>
      </c>
      <c r="P693" s="8" t="s">
        <v>31</v>
      </c>
      <c r="Q693" s="8" t="s">
        <v>31</v>
      </c>
      <c r="R693" s="8" t="s">
        <v>31</v>
      </c>
      <c r="S693" s="8" t="s">
        <v>31</v>
      </c>
      <c r="T693" s="8" t="s">
        <v>31</v>
      </c>
      <c r="U693" s="8" t="s">
        <v>31</v>
      </c>
      <c r="V693" s="8" t="s">
        <v>31</v>
      </c>
      <c r="W693" s="8" t="str">
        <f>_xlfn.IFNA(VLOOKUP(A693,[1]Sheet1!$A$1:$B$101,1,FALSE),"na")</f>
        <v>na</v>
      </c>
      <c r="X693" s="8" t="s">
        <v>35</v>
      </c>
      <c r="Y693" s="9">
        <v>565</v>
      </c>
      <c r="Z693" s="9">
        <v>353.125</v>
      </c>
      <c r="AA693" s="9">
        <v>565</v>
      </c>
      <c r="AB693" s="9">
        <v>565</v>
      </c>
    </row>
    <row r="694" spans="1:28" x14ac:dyDescent="0.25">
      <c r="A694" s="8" t="s">
        <v>1469</v>
      </c>
      <c r="B694" s="8" t="s">
        <v>1470</v>
      </c>
      <c r="C694" s="8" t="s">
        <v>30</v>
      </c>
      <c r="D694" s="10">
        <v>1.2</v>
      </c>
      <c r="E694" s="10">
        <v>1</v>
      </c>
      <c r="F694" s="10">
        <v>0.2</v>
      </c>
      <c r="G694" s="10">
        <v>1</v>
      </c>
      <c r="H694" s="10">
        <v>0.2</v>
      </c>
      <c r="I694" s="10">
        <v>0</v>
      </c>
      <c r="J694" s="10">
        <v>0</v>
      </c>
      <c r="K694" s="10">
        <v>0</v>
      </c>
      <c r="L694" s="10">
        <v>0.2</v>
      </c>
      <c r="M694" s="10">
        <v>0</v>
      </c>
      <c r="N694" s="10">
        <v>0.2</v>
      </c>
      <c r="O694" s="8" t="s">
        <v>31</v>
      </c>
      <c r="P694" s="8" t="s">
        <v>31</v>
      </c>
      <c r="Q694" s="8" t="s">
        <v>31</v>
      </c>
      <c r="R694" s="8" t="s">
        <v>31</v>
      </c>
      <c r="S694" s="8" t="s">
        <v>31</v>
      </c>
      <c r="T694" s="8" t="s">
        <v>31</v>
      </c>
      <c r="U694" s="8" t="s">
        <v>31</v>
      </c>
      <c r="V694" s="8" t="s">
        <v>31</v>
      </c>
      <c r="W694" s="8" t="str">
        <f>_xlfn.IFNA(VLOOKUP(A694,[1]Sheet1!$A$1:$B$101,1,FALSE),"na")</f>
        <v>na</v>
      </c>
      <c r="X694" s="8" t="s">
        <v>35</v>
      </c>
      <c r="Y694" s="9">
        <v>171</v>
      </c>
      <c r="Z694" s="9">
        <v>142.5</v>
      </c>
      <c r="AA694" s="9">
        <v>171</v>
      </c>
      <c r="AB694" s="9">
        <v>171</v>
      </c>
    </row>
    <row r="695" spans="1:28" x14ac:dyDescent="0.25">
      <c r="A695" s="8" t="s">
        <v>1471</v>
      </c>
      <c r="B695" s="8" t="s">
        <v>1472</v>
      </c>
      <c r="C695" s="8" t="s">
        <v>38</v>
      </c>
      <c r="D695" s="10">
        <v>2.8</v>
      </c>
      <c r="E695" s="10">
        <v>1</v>
      </c>
      <c r="F695" s="10">
        <v>1.8</v>
      </c>
      <c r="G695" s="10">
        <v>1</v>
      </c>
      <c r="H695" s="10">
        <v>1.8</v>
      </c>
      <c r="I695" s="10">
        <v>0</v>
      </c>
      <c r="J695" s="10">
        <v>0</v>
      </c>
      <c r="K695" s="10">
        <v>0</v>
      </c>
      <c r="L695" s="10">
        <v>0.80000000999999998</v>
      </c>
      <c r="M695" s="10">
        <v>0</v>
      </c>
      <c r="N695" s="10">
        <v>0.80000000999999998</v>
      </c>
      <c r="O695" s="8" t="s">
        <v>57</v>
      </c>
      <c r="P695" s="8" t="s">
        <v>31</v>
      </c>
      <c r="Q695" s="8" t="s">
        <v>31</v>
      </c>
      <c r="R695" s="8" t="s">
        <v>31</v>
      </c>
      <c r="S695" s="8" t="s">
        <v>31</v>
      </c>
      <c r="T695" s="8" t="s">
        <v>31</v>
      </c>
      <c r="U695" s="8" t="s">
        <v>31</v>
      </c>
      <c r="V695" s="8" t="s">
        <v>31</v>
      </c>
      <c r="W695" s="8" t="str">
        <f>_xlfn.IFNA(VLOOKUP(A695,[1]Sheet1!$A$1:$B$101,1,FALSE),"na")</f>
        <v>na</v>
      </c>
      <c r="X695" s="8" t="s">
        <v>35</v>
      </c>
      <c r="Y695" s="9">
        <v>393</v>
      </c>
      <c r="Z695" s="9">
        <v>140.35714999999999</v>
      </c>
      <c r="AA695" s="9">
        <v>393</v>
      </c>
      <c r="AB695" s="9">
        <v>218.33333999999999</v>
      </c>
    </row>
    <row r="696" spans="1:28" x14ac:dyDescent="0.25">
      <c r="A696" s="8" t="s">
        <v>1473</v>
      </c>
      <c r="B696" s="8" t="s">
        <v>1474</v>
      </c>
      <c r="C696" s="8" t="s">
        <v>30</v>
      </c>
      <c r="D696" s="10">
        <v>1.3</v>
      </c>
      <c r="E696" s="10">
        <v>1</v>
      </c>
      <c r="F696" s="10">
        <v>0.30000000999999998</v>
      </c>
      <c r="G696" s="10">
        <v>1</v>
      </c>
      <c r="H696" s="10">
        <v>0.30000000999999998</v>
      </c>
      <c r="I696" s="10">
        <v>0</v>
      </c>
      <c r="J696" s="10">
        <v>0</v>
      </c>
      <c r="K696" s="10">
        <v>0</v>
      </c>
      <c r="L696" s="10">
        <v>0.30000000999999998</v>
      </c>
      <c r="M696" s="10">
        <v>0</v>
      </c>
      <c r="N696" s="10">
        <v>0.30000000999999998</v>
      </c>
      <c r="O696" s="8" t="s">
        <v>31</v>
      </c>
      <c r="P696" s="8" t="s">
        <v>31</v>
      </c>
      <c r="Q696" s="8" t="s">
        <v>31</v>
      </c>
      <c r="R696" s="8" t="s">
        <v>31</v>
      </c>
      <c r="S696" s="8" t="s">
        <v>31</v>
      </c>
      <c r="T696" s="8" t="s">
        <v>31</v>
      </c>
      <c r="U696" s="8" t="s">
        <v>31</v>
      </c>
      <c r="V696" s="8" t="s">
        <v>31</v>
      </c>
      <c r="W696" s="8" t="str">
        <f>_xlfn.IFNA(VLOOKUP(A696,[1]Sheet1!$A$1:$B$101,1,FALSE),"na")</f>
        <v>na</v>
      </c>
      <c r="X696" s="8" t="s">
        <v>35</v>
      </c>
      <c r="Y696" s="9">
        <v>290</v>
      </c>
      <c r="Z696" s="9">
        <v>223.07693</v>
      </c>
      <c r="AA696" s="9">
        <v>290</v>
      </c>
      <c r="AB696" s="9">
        <v>290</v>
      </c>
    </row>
    <row r="697" spans="1:28" x14ac:dyDescent="0.25">
      <c r="A697" s="8" t="s">
        <v>1475</v>
      </c>
      <c r="B697" s="8" t="s">
        <v>1476</v>
      </c>
      <c r="C697" s="8" t="s">
        <v>30</v>
      </c>
      <c r="D697" s="10">
        <v>1.4</v>
      </c>
      <c r="E697" s="10">
        <v>1</v>
      </c>
      <c r="F697" s="10">
        <v>0.40000001000000002</v>
      </c>
      <c r="G697" s="10">
        <v>1</v>
      </c>
      <c r="H697" s="10">
        <v>0.40000001000000002</v>
      </c>
      <c r="I697" s="10">
        <v>0</v>
      </c>
      <c r="J697" s="10">
        <v>0</v>
      </c>
      <c r="K697" s="10">
        <v>0</v>
      </c>
      <c r="L697" s="10">
        <v>0.40000001000000002</v>
      </c>
      <c r="M697" s="10">
        <v>0</v>
      </c>
      <c r="N697" s="10">
        <v>0.40000001000000002</v>
      </c>
      <c r="O697" s="8" t="s">
        <v>31</v>
      </c>
      <c r="P697" s="8" t="s">
        <v>31</v>
      </c>
      <c r="Q697" s="8" t="s">
        <v>31</v>
      </c>
      <c r="R697" s="8" t="s">
        <v>31</v>
      </c>
      <c r="S697" s="8" t="s">
        <v>31</v>
      </c>
      <c r="T697" s="8" t="s">
        <v>31</v>
      </c>
      <c r="U697" s="8" t="s">
        <v>31</v>
      </c>
      <c r="V697" s="8" t="s">
        <v>31</v>
      </c>
      <c r="W697" s="8" t="str">
        <f>_xlfn.IFNA(VLOOKUP(A697,[1]Sheet1!$A$1:$B$101,1,FALSE),"na")</f>
        <v>na</v>
      </c>
      <c r="X697" s="8" t="s">
        <v>35</v>
      </c>
      <c r="Y697" s="9">
        <v>262</v>
      </c>
      <c r="Z697" s="9">
        <v>187.14285000000001</v>
      </c>
      <c r="AA697" s="9">
        <v>262</v>
      </c>
      <c r="AB697" s="9">
        <v>262</v>
      </c>
    </row>
    <row r="698" spans="1:28" x14ac:dyDescent="0.25">
      <c r="A698" s="8" t="s">
        <v>1477</v>
      </c>
      <c r="B698" s="8" t="s">
        <v>1478</v>
      </c>
      <c r="C698" s="8" t="s">
        <v>30</v>
      </c>
      <c r="D698" s="10">
        <v>1.8</v>
      </c>
      <c r="E698" s="10">
        <v>1</v>
      </c>
      <c r="F698" s="10">
        <v>0.80000000999999998</v>
      </c>
      <c r="G698" s="10">
        <v>1</v>
      </c>
      <c r="H698" s="10">
        <v>0.80000000999999998</v>
      </c>
      <c r="I698" s="10">
        <v>0</v>
      </c>
      <c r="J698" s="10">
        <v>0</v>
      </c>
      <c r="K698" s="10">
        <v>0</v>
      </c>
      <c r="L698" s="10">
        <v>0.80000000999999998</v>
      </c>
      <c r="M698" s="10">
        <v>0</v>
      </c>
      <c r="N698" s="10">
        <v>0.80000000999999998</v>
      </c>
      <c r="O698" s="8" t="s">
        <v>31</v>
      </c>
      <c r="P698" s="8" t="s">
        <v>31</v>
      </c>
      <c r="Q698" s="8" t="s">
        <v>31</v>
      </c>
      <c r="R698" s="8" t="s">
        <v>31</v>
      </c>
      <c r="S698" s="8" t="s">
        <v>31</v>
      </c>
      <c r="T698" s="8" t="s">
        <v>31</v>
      </c>
      <c r="U698" s="8" t="s">
        <v>31</v>
      </c>
      <c r="V698" s="8" t="s">
        <v>31</v>
      </c>
      <c r="W698" s="8" t="str">
        <f>_xlfn.IFNA(VLOOKUP(A698,[1]Sheet1!$A$1:$B$101,1,FALSE),"na")</f>
        <v>na</v>
      </c>
      <c r="X698" s="8" t="s">
        <v>35</v>
      </c>
      <c r="Y698" s="9">
        <v>447</v>
      </c>
      <c r="Z698" s="9">
        <v>248.33333999999999</v>
      </c>
      <c r="AA698" s="9">
        <v>447</v>
      </c>
      <c r="AB698" s="9">
        <v>447</v>
      </c>
    </row>
    <row r="699" spans="1:28" x14ac:dyDescent="0.25">
      <c r="A699" s="8" t="s">
        <v>1479</v>
      </c>
      <c r="B699" s="8" t="s">
        <v>1480</v>
      </c>
      <c r="C699" s="8" t="s">
        <v>30</v>
      </c>
      <c r="D699" s="10">
        <v>3.5999998999999998</v>
      </c>
      <c r="E699" s="10">
        <v>1</v>
      </c>
      <c r="F699" s="10">
        <v>2.5999998999999998</v>
      </c>
      <c r="G699" s="10">
        <v>1</v>
      </c>
      <c r="H699" s="10">
        <v>2.5999998999999998</v>
      </c>
      <c r="I699" s="10">
        <v>0</v>
      </c>
      <c r="J699" s="10">
        <v>0</v>
      </c>
      <c r="K699" s="10">
        <v>0</v>
      </c>
      <c r="L699" s="10">
        <v>0.60000001999999997</v>
      </c>
      <c r="M699" s="10">
        <v>0</v>
      </c>
      <c r="N699" s="10">
        <v>0.60000001999999997</v>
      </c>
      <c r="O699" s="8" t="s">
        <v>31</v>
      </c>
      <c r="P699" s="8" t="s">
        <v>31</v>
      </c>
      <c r="Q699" s="8" t="s">
        <v>31</v>
      </c>
      <c r="R699" s="8" t="s">
        <v>31</v>
      </c>
      <c r="S699" s="8" t="s">
        <v>31</v>
      </c>
      <c r="T699" s="8" t="s">
        <v>31</v>
      </c>
      <c r="U699" s="8" t="s">
        <v>31</v>
      </c>
      <c r="V699" s="8" t="s">
        <v>31</v>
      </c>
      <c r="W699" s="8" t="str">
        <f>_xlfn.IFNA(VLOOKUP(A699,[1]Sheet1!$A$1:$B$101,1,FALSE),"na")</f>
        <v>na</v>
      </c>
      <c r="X699" s="8" t="s">
        <v>86</v>
      </c>
      <c r="Y699" s="9">
        <v>203</v>
      </c>
      <c r="Z699" s="9">
        <v>56.388888999999999</v>
      </c>
      <c r="AA699" s="9">
        <v>203</v>
      </c>
      <c r="AB699" s="9">
        <v>78.076926999999998</v>
      </c>
    </row>
    <row r="700" spans="1:28" x14ac:dyDescent="0.25">
      <c r="A700" s="8" t="s">
        <v>1481</v>
      </c>
      <c r="B700" s="8" t="s">
        <v>1482</v>
      </c>
      <c r="C700" s="8" t="s">
        <v>67</v>
      </c>
      <c r="D700" s="10">
        <v>4.1999997999999996</v>
      </c>
      <c r="E700" s="10">
        <v>4</v>
      </c>
      <c r="F700" s="10">
        <v>0.2</v>
      </c>
      <c r="G700" s="10">
        <v>4</v>
      </c>
      <c r="H700" s="10">
        <v>0.2</v>
      </c>
      <c r="I700" s="10">
        <v>0</v>
      </c>
      <c r="J700" s="10">
        <v>0</v>
      </c>
      <c r="K700" s="10">
        <v>0</v>
      </c>
      <c r="L700" s="10">
        <v>0.2</v>
      </c>
      <c r="M700" s="10">
        <v>0</v>
      </c>
      <c r="N700" s="10">
        <v>0.2</v>
      </c>
      <c r="O700" s="8" t="s">
        <v>31</v>
      </c>
      <c r="P700" s="8" t="s">
        <v>31</v>
      </c>
      <c r="Q700" s="8" t="s">
        <v>31</v>
      </c>
      <c r="R700" s="8" t="s">
        <v>31</v>
      </c>
      <c r="S700" s="8" t="s">
        <v>31</v>
      </c>
      <c r="T700" s="8" t="s">
        <v>31</v>
      </c>
      <c r="U700" s="8" t="s">
        <v>31</v>
      </c>
      <c r="V700" s="8" t="s">
        <v>31</v>
      </c>
      <c r="W700" s="8" t="str">
        <f>_xlfn.IFNA(VLOOKUP(A700,[1]Sheet1!$A$1:$B$101,1,FALSE),"na")</f>
        <v>na</v>
      </c>
      <c r="X700" s="8" t="s">
        <v>35</v>
      </c>
      <c r="Y700" s="9">
        <v>1028</v>
      </c>
      <c r="Z700" s="9">
        <v>244.76192</v>
      </c>
      <c r="AA700" s="9">
        <v>257</v>
      </c>
      <c r="AB700" s="9">
        <v>1028</v>
      </c>
    </row>
    <row r="701" spans="1:28" x14ac:dyDescent="0.25">
      <c r="A701" s="8" t="s">
        <v>1483</v>
      </c>
      <c r="B701" s="8" t="s">
        <v>1484</v>
      </c>
      <c r="C701" s="8" t="s">
        <v>444</v>
      </c>
      <c r="D701" s="10">
        <v>2.2000000000000002</v>
      </c>
      <c r="E701" s="10">
        <v>1</v>
      </c>
      <c r="F701" s="10">
        <v>1.2</v>
      </c>
      <c r="G701" s="10">
        <v>1</v>
      </c>
      <c r="H701" s="10">
        <v>1.2</v>
      </c>
      <c r="I701" s="10">
        <v>0</v>
      </c>
      <c r="J701" s="10">
        <v>0</v>
      </c>
      <c r="K701" s="10">
        <v>0</v>
      </c>
      <c r="L701" s="10">
        <v>1.2</v>
      </c>
      <c r="M701" s="10">
        <v>0</v>
      </c>
      <c r="N701" s="10">
        <v>0.2</v>
      </c>
      <c r="O701" s="8" t="s">
        <v>57</v>
      </c>
      <c r="P701" s="8" t="s">
        <v>57</v>
      </c>
      <c r="Q701" s="8" t="s">
        <v>31</v>
      </c>
      <c r="R701" s="8" t="s">
        <v>31</v>
      </c>
      <c r="S701" s="8" t="s">
        <v>31</v>
      </c>
      <c r="T701" s="8" t="s">
        <v>31</v>
      </c>
      <c r="U701" s="8" t="s">
        <v>31</v>
      </c>
      <c r="V701" s="8" t="s">
        <v>31</v>
      </c>
      <c r="W701" s="8" t="str">
        <f>_xlfn.IFNA(VLOOKUP(A701,[1]Sheet1!$A$1:$B$101,1,FALSE),"na")</f>
        <v>na</v>
      </c>
      <c r="X701" s="8" t="s">
        <v>35</v>
      </c>
      <c r="Y701" s="9">
        <v>83</v>
      </c>
      <c r="Z701" s="9">
        <v>37.727271999999999</v>
      </c>
      <c r="AA701" s="9">
        <v>83</v>
      </c>
      <c r="AB701" s="9">
        <v>69.166663999999997</v>
      </c>
    </row>
    <row r="702" spans="1:28" x14ac:dyDescent="0.25">
      <c r="A702" s="8" t="s">
        <v>1485</v>
      </c>
      <c r="B702" s="8" t="s">
        <v>1486</v>
      </c>
      <c r="C702" s="8" t="s">
        <v>30</v>
      </c>
      <c r="D702" s="10">
        <v>1.5</v>
      </c>
      <c r="E702" s="10">
        <v>1</v>
      </c>
      <c r="F702" s="10">
        <v>0.5</v>
      </c>
      <c r="G702" s="10">
        <v>1</v>
      </c>
      <c r="H702" s="10">
        <v>0.5</v>
      </c>
      <c r="I702" s="10">
        <v>0</v>
      </c>
      <c r="J702" s="10">
        <v>0</v>
      </c>
      <c r="K702" s="10">
        <v>0</v>
      </c>
      <c r="L702" s="10">
        <v>0.5</v>
      </c>
      <c r="M702" s="10">
        <v>0</v>
      </c>
      <c r="N702" s="10">
        <v>0.5</v>
      </c>
      <c r="O702" s="8" t="s">
        <v>31</v>
      </c>
      <c r="P702" s="8" t="s">
        <v>31</v>
      </c>
      <c r="Q702" s="8" t="s">
        <v>31</v>
      </c>
      <c r="R702" s="8" t="s">
        <v>31</v>
      </c>
      <c r="S702" s="8" t="s">
        <v>31</v>
      </c>
      <c r="T702" s="8" t="s">
        <v>31</v>
      </c>
      <c r="U702" s="8" t="s">
        <v>31</v>
      </c>
      <c r="V702" s="8" t="s">
        <v>31</v>
      </c>
      <c r="W702" s="8" t="str">
        <f>_xlfn.IFNA(VLOOKUP(A702,[1]Sheet1!$A$1:$B$101,1,FALSE),"na")</f>
        <v>na</v>
      </c>
      <c r="X702" s="8" t="s">
        <v>1466</v>
      </c>
      <c r="Y702" s="9">
        <v>393</v>
      </c>
      <c r="Z702" s="9">
        <v>262</v>
      </c>
      <c r="AA702" s="9">
        <v>393</v>
      </c>
      <c r="AB702" s="9">
        <v>393</v>
      </c>
    </row>
    <row r="703" spans="1:28" x14ac:dyDescent="0.25">
      <c r="A703" s="8" t="s">
        <v>1487</v>
      </c>
      <c r="B703" s="8" t="s">
        <v>1488</v>
      </c>
      <c r="C703" s="8" t="s">
        <v>30</v>
      </c>
      <c r="D703" s="10">
        <v>1.6</v>
      </c>
      <c r="E703" s="10">
        <v>1</v>
      </c>
      <c r="F703" s="10">
        <v>0.60000001999999997</v>
      </c>
      <c r="G703" s="10">
        <v>1</v>
      </c>
      <c r="H703" s="10">
        <v>0.60000001999999997</v>
      </c>
      <c r="I703" s="10">
        <v>0</v>
      </c>
      <c r="J703" s="10">
        <v>0</v>
      </c>
      <c r="K703" s="10">
        <v>0</v>
      </c>
      <c r="L703" s="10">
        <v>0.60000001999999997</v>
      </c>
      <c r="M703" s="10">
        <v>0</v>
      </c>
      <c r="N703" s="10">
        <v>0.60000001999999997</v>
      </c>
      <c r="O703" s="8" t="s">
        <v>31</v>
      </c>
      <c r="P703" s="8" t="s">
        <v>31</v>
      </c>
      <c r="Q703" s="8" t="s">
        <v>31</v>
      </c>
      <c r="R703" s="8" t="s">
        <v>31</v>
      </c>
      <c r="S703" s="8" t="s">
        <v>31</v>
      </c>
      <c r="T703" s="8" t="s">
        <v>31</v>
      </c>
      <c r="U703" s="8" t="s">
        <v>31</v>
      </c>
      <c r="V703" s="8" t="s">
        <v>31</v>
      </c>
      <c r="W703" s="8" t="str">
        <f>_xlfn.IFNA(VLOOKUP(A703,[1]Sheet1!$A$1:$B$101,1,FALSE),"na")</f>
        <v>na</v>
      </c>
      <c r="X703" s="8" t="s">
        <v>35</v>
      </c>
      <c r="Y703" s="9">
        <v>556</v>
      </c>
      <c r="Z703" s="9">
        <v>347.5</v>
      </c>
      <c r="AA703" s="9">
        <v>556</v>
      </c>
      <c r="AB703" s="9">
        <v>556</v>
      </c>
    </row>
    <row r="704" spans="1:28" x14ac:dyDescent="0.25">
      <c r="A704" s="8" t="s">
        <v>1489</v>
      </c>
      <c r="B704" s="8" t="s">
        <v>1490</v>
      </c>
      <c r="C704" s="8" t="s">
        <v>62</v>
      </c>
      <c r="D704" s="10">
        <v>5.1999997999999996</v>
      </c>
      <c r="E704" s="10">
        <v>4</v>
      </c>
      <c r="F704" s="10">
        <v>1.2</v>
      </c>
      <c r="G704" s="10">
        <v>4</v>
      </c>
      <c r="H704" s="10">
        <v>1.2</v>
      </c>
      <c r="I704" s="10">
        <v>0</v>
      </c>
      <c r="J704" s="10">
        <v>0</v>
      </c>
      <c r="K704" s="10">
        <v>1</v>
      </c>
      <c r="L704" s="10">
        <v>0</v>
      </c>
      <c r="M704" s="10">
        <v>0</v>
      </c>
      <c r="N704" s="10">
        <v>0.2</v>
      </c>
      <c r="O704" s="8" t="s">
        <v>31</v>
      </c>
      <c r="P704" s="8" t="s">
        <v>31</v>
      </c>
      <c r="Q704" s="8" t="s">
        <v>31</v>
      </c>
      <c r="R704" s="8" t="s">
        <v>31</v>
      </c>
      <c r="S704" s="8" t="s">
        <v>31</v>
      </c>
      <c r="T704" s="8" t="s">
        <v>31</v>
      </c>
      <c r="U704" s="8" t="s">
        <v>31</v>
      </c>
      <c r="V704" s="8" t="s">
        <v>31</v>
      </c>
      <c r="W704" s="8" t="str">
        <f>_xlfn.IFNA(VLOOKUP(A704,[1]Sheet1!$A$1:$B$101,1,FALSE),"na")</f>
        <v>na</v>
      </c>
      <c r="X704" s="8" t="s">
        <v>35</v>
      </c>
      <c r="Y704" s="9">
        <v>773</v>
      </c>
      <c r="Z704" s="9">
        <v>148.65385000000001</v>
      </c>
      <c r="AA704" s="9">
        <v>193.25</v>
      </c>
      <c r="AB704" s="9">
        <v>644.16663000000005</v>
      </c>
    </row>
    <row r="705" spans="1:28" x14ac:dyDescent="0.25">
      <c r="A705" s="8" t="s">
        <v>1491</v>
      </c>
      <c r="B705" s="8" t="s">
        <v>1492</v>
      </c>
      <c r="C705" s="8" t="s">
        <v>62</v>
      </c>
      <c r="D705" s="10">
        <v>2.8</v>
      </c>
      <c r="E705" s="10">
        <v>2.5999998999999998</v>
      </c>
      <c r="F705" s="10">
        <v>0.2</v>
      </c>
      <c r="G705" s="10">
        <v>2</v>
      </c>
      <c r="H705" s="10">
        <v>0.2</v>
      </c>
      <c r="I705" s="10">
        <v>0.60000001999999997</v>
      </c>
      <c r="J705" s="10">
        <v>0</v>
      </c>
      <c r="K705" s="10">
        <v>0</v>
      </c>
      <c r="L705" s="10">
        <v>0</v>
      </c>
      <c r="M705" s="10">
        <v>0</v>
      </c>
      <c r="N705" s="10">
        <v>0.2</v>
      </c>
      <c r="O705" s="8" t="s">
        <v>31</v>
      </c>
      <c r="P705" s="8" t="s">
        <v>31</v>
      </c>
      <c r="Q705" s="8" t="s">
        <v>31</v>
      </c>
      <c r="R705" s="8" t="s">
        <v>31</v>
      </c>
      <c r="S705" s="8" t="s">
        <v>31</v>
      </c>
      <c r="T705" s="8" t="s">
        <v>57</v>
      </c>
      <c r="U705" s="8" t="s">
        <v>57</v>
      </c>
      <c r="V705" s="8" t="s">
        <v>31</v>
      </c>
      <c r="W705" s="8" t="str">
        <f>_xlfn.IFNA(VLOOKUP(A705,[1]Sheet1!$A$1:$B$101,1,FALSE),"na")</f>
        <v>na</v>
      </c>
      <c r="X705" s="8" t="s">
        <v>1466</v>
      </c>
      <c r="Y705" s="9">
        <v>425</v>
      </c>
      <c r="Z705" s="9">
        <v>151.78572</v>
      </c>
      <c r="AA705" s="9">
        <v>163.46154999999999</v>
      </c>
      <c r="AB705" s="9">
        <v>425</v>
      </c>
    </row>
    <row r="706" spans="1:28" x14ac:dyDescent="0.25">
      <c r="A706" s="8" t="s">
        <v>1493</v>
      </c>
      <c r="B706" s="8" t="s">
        <v>1494</v>
      </c>
      <c r="C706" s="8" t="s">
        <v>62</v>
      </c>
      <c r="D706" s="10">
        <v>3.2</v>
      </c>
      <c r="E706" s="10">
        <v>3</v>
      </c>
      <c r="F706" s="10">
        <v>0.2</v>
      </c>
      <c r="G706" s="10">
        <v>3</v>
      </c>
      <c r="H706" s="10">
        <v>0.2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0.2</v>
      </c>
      <c r="O706" s="8" t="s">
        <v>31</v>
      </c>
      <c r="P706" s="8" t="s">
        <v>31</v>
      </c>
      <c r="Q706" s="8" t="s">
        <v>31</v>
      </c>
      <c r="R706" s="8" t="s">
        <v>31</v>
      </c>
      <c r="S706" s="8" t="s">
        <v>31</v>
      </c>
      <c r="T706" s="8" t="s">
        <v>31</v>
      </c>
      <c r="U706" s="8" t="s">
        <v>31</v>
      </c>
      <c r="V706" s="8" t="s">
        <v>31</v>
      </c>
      <c r="W706" s="8" t="str">
        <f>_xlfn.IFNA(VLOOKUP(A706,[1]Sheet1!$A$1:$B$101,1,FALSE),"na")</f>
        <v>na</v>
      </c>
      <c r="X706" s="8" t="s">
        <v>35</v>
      </c>
      <c r="Y706" s="9">
        <v>422</v>
      </c>
      <c r="Z706" s="9">
        <v>131.875</v>
      </c>
      <c r="AA706" s="9">
        <v>140.66667000000001</v>
      </c>
      <c r="AB706" s="9">
        <v>422</v>
      </c>
    </row>
    <row r="707" spans="1:28" x14ac:dyDescent="0.25">
      <c r="A707" s="8" t="s">
        <v>1495</v>
      </c>
      <c r="B707" s="8" t="s">
        <v>1496</v>
      </c>
      <c r="C707" s="8" t="s">
        <v>62</v>
      </c>
      <c r="D707" s="10">
        <v>3.2</v>
      </c>
      <c r="E707" s="10">
        <v>2</v>
      </c>
      <c r="F707" s="10">
        <v>1.2</v>
      </c>
      <c r="G707" s="10">
        <v>2</v>
      </c>
      <c r="H707" s="10">
        <v>1.2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0.2</v>
      </c>
      <c r="O707" s="8" t="s">
        <v>57</v>
      </c>
      <c r="P707" s="8" t="s">
        <v>31</v>
      </c>
      <c r="Q707" s="8" t="s">
        <v>31</v>
      </c>
      <c r="R707" s="8" t="s">
        <v>31</v>
      </c>
      <c r="S707" s="8" t="s">
        <v>31</v>
      </c>
      <c r="T707" s="8" t="s">
        <v>31</v>
      </c>
      <c r="U707" s="8" t="s">
        <v>31</v>
      </c>
      <c r="V707" s="8" t="s">
        <v>31</v>
      </c>
      <c r="W707" s="8" t="str">
        <f>_xlfn.IFNA(VLOOKUP(A707,[1]Sheet1!$A$1:$B$101,1,FALSE),"na")</f>
        <v>na</v>
      </c>
      <c r="X707" s="8" t="s">
        <v>35</v>
      </c>
      <c r="Y707" s="9">
        <v>489</v>
      </c>
      <c r="Z707" s="9">
        <v>152.8125</v>
      </c>
      <c r="AA707" s="9">
        <v>244.5</v>
      </c>
      <c r="AB707" s="9">
        <v>407.49997000000002</v>
      </c>
    </row>
    <row r="708" spans="1:28" x14ac:dyDescent="0.25">
      <c r="A708" s="8" t="s">
        <v>1497</v>
      </c>
      <c r="B708" s="8" t="s">
        <v>1498</v>
      </c>
      <c r="C708" s="8" t="s">
        <v>62</v>
      </c>
      <c r="D708" s="10">
        <v>4.1999997999999996</v>
      </c>
      <c r="E708" s="10">
        <v>2</v>
      </c>
      <c r="F708" s="10">
        <v>2.2000000000000002</v>
      </c>
      <c r="G708" s="10">
        <v>2</v>
      </c>
      <c r="H708" s="10">
        <v>2.2000000000000002</v>
      </c>
      <c r="I708" s="10">
        <v>0</v>
      </c>
      <c r="J708" s="10">
        <v>0</v>
      </c>
      <c r="K708" s="10">
        <v>1</v>
      </c>
      <c r="L708" s="10">
        <v>0</v>
      </c>
      <c r="M708" s="10">
        <v>0</v>
      </c>
      <c r="N708" s="10">
        <v>0.2</v>
      </c>
      <c r="O708" s="8" t="s">
        <v>31</v>
      </c>
      <c r="P708" s="8" t="s">
        <v>31</v>
      </c>
      <c r="Q708" s="8" t="s">
        <v>31</v>
      </c>
      <c r="R708" s="8" t="s">
        <v>57</v>
      </c>
      <c r="S708" s="8" t="s">
        <v>31</v>
      </c>
      <c r="T708" s="8" t="s">
        <v>57</v>
      </c>
      <c r="U708" s="8" t="s">
        <v>31</v>
      </c>
      <c r="V708" s="8" t="s">
        <v>31</v>
      </c>
      <c r="W708" s="8" t="str">
        <f>_xlfn.IFNA(VLOOKUP(A708,[1]Sheet1!$A$1:$B$101,1,FALSE),"na")</f>
        <v>na</v>
      </c>
      <c r="X708" s="8" t="s">
        <v>35</v>
      </c>
      <c r="Y708" s="9">
        <v>527</v>
      </c>
      <c r="Z708" s="9">
        <v>125.47620000000001</v>
      </c>
      <c r="AA708" s="9">
        <v>263.5</v>
      </c>
      <c r="AB708" s="9">
        <v>239.54545999999999</v>
      </c>
    </row>
    <row r="709" spans="1:28" x14ac:dyDescent="0.25">
      <c r="A709" s="8" t="s">
        <v>1499</v>
      </c>
      <c r="B709" s="8" t="s">
        <v>1500</v>
      </c>
      <c r="C709" s="8" t="s">
        <v>62</v>
      </c>
      <c r="D709" s="10">
        <v>4.9000000999999997</v>
      </c>
      <c r="E709" s="10">
        <v>3.7</v>
      </c>
      <c r="F709" s="10">
        <v>1.2</v>
      </c>
      <c r="G709" s="10">
        <v>3</v>
      </c>
      <c r="H709" s="10">
        <v>1.2</v>
      </c>
      <c r="I709" s="10">
        <v>0.69999999000000002</v>
      </c>
      <c r="J709" s="10">
        <v>0</v>
      </c>
      <c r="K709" s="10">
        <v>0</v>
      </c>
      <c r="L709" s="10">
        <v>0.2</v>
      </c>
      <c r="M709" s="10">
        <v>0</v>
      </c>
      <c r="N709" s="10">
        <v>0.2</v>
      </c>
      <c r="O709" s="8" t="s">
        <v>31</v>
      </c>
      <c r="P709" s="8" t="s">
        <v>31</v>
      </c>
      <c r="Q709" s="8" t="s">
        <v>31</v>
      </c>
      <c r="R709" s="8" t="s">
        <v>31</v>
      </c>
      <c r="S709" s="8" t="s">
        <v>31</v>
      </c>
      <c r="T709" s="8" t="s">
        <v>31</v>
      </c>
      <c r="U709" s="8" t="s">
        <v>31</v>
      </c>
      <c r="V709" s="8" t="s">
        <v>31</v>
      </c>
      <c r="W709" s="8" t="str">
        <f>_xlfn.IFNA(VLOOKUP(A709,[1]Sheet1!$A$1:$B$101,1,FALSE),"na")</f>
        <v>na</v>
      </c>
      <c r="X709" s="8" t="s">
        <v>35</v>
      </c>
      <c r="Y709" s="9">
        <v>590</v>
      </c>
      <c r="Z709" s="9">
        <v>120.40816</v>
      </c>
      <c r="AA709" s="9">
        <v>159.45946000000001</v>
      </c>
      <c r="AB709" s="9">
        <v>491.66665999999998</v>
      </c>
    </row>
    <row r="710" spans="1:28" x14ac:dyDescent="0.25">
      <c r="A710" s="8" t="s">
        <v>1501</v>
      </c>
      <c r="B710" s="8" t="s">
        <v>1502</v>
      </c>
      <c r="C710" s="8" t="s">
        <v>62</v>
      </c>
      <c r="D710" s="10">
        <v>3.2</v>
      </c>
      <c r="E710" s="10">
        <v>3</v>
      </c>
      <c r="F710" s="10">
        <v>0.2</v>
      </c>
      <c r="G710" s="10">
        <v>3</v>
      </c>
      <c r="H710" s="10">
        <v>0.2</v>
      </c>
      <c r="I710" s="10">
        <v>0</v>
      </c>
      <c r="J710" s="10">
        <v>0</v>
      </c>
      <c r="K710" s="10">
        <v>0</v>
      </c>
      <c r="L710" s="10">
        <v>0.2</v>
      </c>
      <c r="M710" s="10">
        <v>0</v>
      </c>
      <c r="N710" s="10">
        <v>0.2</v>
      </c>
      <c r="O710" s="8" t="s">
        <v>31</v>
      </c>
      <c r="P710" s="8" t="s">
        <v>31</v>
      </c>
      <c r="Q710" s="8" t="s">
        <v>31</v>
      </c>
      <c r="R710" s="8" t="s">
        <v>31</v>
      </c>
      <c r="S710" s="8" t="s">
        <v>31</v>
      </c>
      <c r="T710" s="8" t="s">
        <v>31</v>
      </c>
      <c r="U710" s="8" t="s">
        <v>31</v>
      </c>
      <c r="V710" s="8" t="s">
        <v>31</v>
      </c>
      <c r="W710" s="8" t="str">
        <f>_xlfn.IFNA(VLOOKUP(A710,[1]Sheet1!$A$1:$B$101,1,FALSE),"na")</f>
        <v>na</v>
      </c>
      <c r="X710" s="8" t="s">
        <v>345</v>
      </c>
      <c r="Y710" s="9">
        <v>624</v>
      </c>
      <c r="Z710" s="9">
        <v>195</v>
      </c>
      <c r="AA710" s="9">
        <v>208</v>
      </c>
      <c r="AB710" s="9">
        <v>624</v>
      </c>
    </row>
    <row r="711" spans="1:28" x14ac:dyDescent="0.25">
      <c r="A711" s="8" t="s">
        <v>1503</v>
      </c>
      <c r="B711" s="8" t="s">
        <v>1504</v>
      </c>
      <c r="C711" s="8" t="s">
        <v>62</v>
      </c>
      <c r="D711" s="10">
        <v>4.1999997999999996</v>
      </c>
      <c r="E711" s="10">
        <v>3</v>
      </c>
      <c r="F711" s="10">
        <v>1.2</v>
      </c>
      <c r="G711" s="10">
        <v>3</v>
      </c>
      <c r="H711" s="10">
        <v>1.2</v>
      </c>
      <c r="I711" s="10">
        <v>0</v>
      </c>
      <c r="J711" s="10">
        <v>0</v>
      </c>
      <c r="K711" s="10">
        <v>0</v>
      </c>
      <c r="L711" s="10">
        <v>0.2</v>
      </c>
      <c r="M711" s="10">
        <v>0</v>
      </c>
      <c r="N711" s="10">
        <v>0.2</v>
      </c>
      <c r="O711" s="8" t="s">
        <v>57</v>
      </c>
      <c r="P711" s="8" t="s">
        <v>31</v>
      </c>
      <c r="Q711" s="8" t="s">
        <v>31</v>
      </c>
      <c r="R711" s="8" t="s">
        <v>31</v>
      </c>
      <c r="S711" s="8" t="s">
        <v>31</v>
      </c>
      <c r="T711" s="8" t="s">
        <v>31</v>
      </c>
      <c r="U711" s="8" t="s">
        <v>31</v>
      </c>
      <c r="V711" s="8" t="s">
        <v>31</v>
      </c>
      <c r="W711" s="8" t="str">
        <f>_xlfn.IFNA(VLOOKUP(A711,[1]Sheet1!$A$1:$B$101,1,FALSE),"na")</f>
        <v>na</v>
      </c>
      <c r="X711" s="8" t="s">
        <v>35</v>
      </c>
      <c r="Y711" s="9">
        <v>668</v>
      </c>
      <c r="Z711" s="9">
        <v>159.04761999999999</v>
      </c>
      <c r="AA711" s="9">
        <v>222.66667000000001</v>
      </c>
      <c r="AB711" s="9">
        <v>556.66663000000005</v>
      </c>
    </row>
    <row r="712" spans="1:28" x14ac:dyDescent="0.25">
      <c r="A712" s="8" t="s">
        <v>1505</v>
      </c>
      <c r="B712" s="8" t="s">
        <v>1506</v>
      </c>
      <c r="C712" s="8" t="s">
        <v>67</v>
      </c>
      <c r="D712" s="10">
        <v>2.2999999999999998</v>
      </c>
      <c r="E712" s="10">
        <v>1</v>
      </c>
      <c r="F712" s="10">
        <v>1.3</v>
      </c>
      <c r="G712" s="10">
        <v>1</v>
      </c>
      <c r="H712" s="10">
        <v>1.3</v>
      </c>
      <c r="I712" s="10">
        <v>0</v>
      </c>
      <c r="J712" s="10">
        <v>0</v>
      </c>
      <c r="K712" s="10">
        <v>0</v>
      </c>
      <c r="L712" s="10">
        <v>0.30000000999999998</v>
      </c>
      <c r="M712" s="10">
        <v>0</v>
      </c>
      <c r="N712" s="10">
        <v>0.30000000999999998</v>
      </c>
      <c r="O712" s="8" t="s">
        <v>31</v>
      </c>
      <c r="P712" s="8" t="s">
        <v>31</v>
      </c>
      <c r="Q712" s="8" t="s">
        <v>31</v>
      </c>
      <c r="R712" s="8" t="s">
        <v>31</v>
      </c>
      <c r="S712" s="8" t="s">
        <v>31</v>
      </c>
      <c r="T712" s="8" t="s">
        <v>31</v>
      </c>
      <c r="U712" s="8" t="s">
        <v>31</v>
      </c>
      <c r="V712" s="8" t="s">
        <v>31</v>
      </c>
      <c r="W712" s="8" t="str">
        <f>_xlfn.IFNA(VLOOKUP(A712,[1]Sheet1!$A$1:$B$101,1,FALSE),"na")</f>
        <v>na</v>
      </c>
      <c r="X712" s="8" t="s">
        <v>35</v>
      </c>
      <c r="Y712" s="9">
        <v>370</v>
      </c>
      <c r="Z712" s="9">
        <v>160.86957000000001</v>
      </c>
      <c r="AA712" s="9">
        <v>370</v>
      </c>
      <c r="AB712" s="9">
        <v>284.61538999999999</v>
      </c>
    </row>
    <row r="713" spans="1:28" x14ac:dyDescent="0.25">
      <c r="A713" s="8" t="s">
        <v>1507</v>
      </c>
      <c r="B713" s="8" t="s">
        <v>1508</v>
      </c>
      <c r="C713" s="8" t="s">
        <v>67</v>
      </c>
      <c r="D713" s="10">
        <v>2.2999999999999998</v>
      </c>
      <c r="E713" s="10">
        <v>1</v>
      </c>
      <c r="F713" s="10">
        <v>1.3</v>
      </c>
      <c r="G713" s="10">
        <v>1</v>
      </c>
      <c r="H713" s="10">
        <v>1.3</v>
      </c>
      <c r="I713" s="10">
        <v>0</v>
      </c>
      <c r="J713" s="10">
        <v>0</v>
      </c>
      <c r="K713" s="10">
        <v>0</v>
      </c>
      <c r="L713" s="10">
        <v>0.30000000999999998</v>
      </c>
      <c r="M713" s="10">
        <v>0</v>
      </c>
      <c r="N713" s="10">
        <v>0.30000000999999998</v>
      </c>
      <c r="O713" s="8" t="s">
        <v>31</v>
      </c>
      <c r="P713" s="8" t="s">
        <v>31</v>
      </c>
      <c r="Q713" s="8" t="s">
        <v>31</v>
      </c>
      <c r="R713" s="8" t="s">
        <v>57</v>
      </c>
      <c r="S713" s="8" t="s">
        <v>31</v>
      </c>
      <c r="T713" s="8" t="s">
        <v>31</v>
      </c>
      <c r="U713" s="8" t="s">
        <v>31</v>
      </c>
      <c r="V713" s="8" t="s">
        <v>31</v>
      </c>
      <c r="W713" s="8" t="str">
        <f>_xlfn.IFNA(VLOOKUP(A713,[1]Sheet1!$A$1:$B$101,1,FALSE),"na")</f>
        <v>na</v>
      </c>
      <c r="X713" s="8" t="s">
        <v>86</v>
      </c>
      <c r="Y713" s="9">
        <v>335</v>
      </c>
      <c r="Z713" s="9">
        <v>145.65217999999999</v>
      </c>
      <c r="AA713" s="9">
        <v>335</v>
      </c>
      <c r="AB713" s="9">
        <v>257.69232</v>
      </c>
    </row>
    <row r="714" spans="1:28" x14ac:dyDescent="0.25">
      <c r="A714" s="8" t="s">
        <v>1509</v>
      </c>
      <c r="B714" s="8" t="s">
        <v>1510</v>
      </c>
      <c r="C714" s="8" t="s">
        <v>80</v>
      </c>
      <c r="D714" s="10">
        <v>3.2</v>
      </c>
      <c r="E714" s="10">
        <v>1</v>
      </c>
      <c r="F714" s="10">
        <v>2.2000000000000002</v>
      </c>
      <c r="G714" s="10">
        <v>1</v>
      </c>
      <c r="H714" s="10">
        <v>2.2000000000000002</v>
      </c>
      <c r="I714" s="10">
        <v>0</v>
      </c>
      <c r="J714" s="10">
        <v>0</v>
      </c>
      <c r="K714" s="10">
        <v>0</v>
      </c>
      <c r="L714" s="10">
        <v>0.2</v>
      </c>
      <c r="M714" s="10">
        <v>0</v>
      </c>
      <c r="N714" s="10">
        <v>0.2</v>
      </c>
      <c r="O714" s="8" t="s">
        <v>31</v>
      </c>
      <c r="P714" s="8" t="s">
        <v>31</v>
      </c>
      <c r="Q714" s="8" t="s">
        <v>31</v>
      </c>
      <c r="R714" s="8" t="s">
        <v>31</v>
      </c>
      <c r="S714" s="8" t="s">
        <v>31</v>
      </c>
      <c r="T714" s="8" t="s">
        <v>57</v>
      </c>
      <c r="U714" s="8" t="s">
        <v>57</v>
      </c>
      <c r="V714" s="8" t="s">
        <v>31</v>
      </c>
      <c r="W714" s="8" t="str">
        <f>_xlfn.IFNA(VLOOKUP(A714,[1]Sheet1!$A$1:$B$101,1,FALSE),"na")</f>
        <v>na</v>
      </c>
      <c r="X714" s="8" t="s">
        <v>86</v>
      </c>
      <c r="Y714" s="9">
        <v>364</v>
      </c>
      <c r="Z714" s="9">
        <v>113.75</v>
      </c>
      <c r="AA714" s="9">
        <v>364</v>
      </c>
      <c r="AB714" s="9">
        <v>165.45454000000001</v>
      </c>
    </row>
    <row r="715" spans="1:28" x14ac:dyDescent="0.25">
      <c r="A715" s="8" t="s">
        <v>1511</v>
      </c>
      <c r="B715" s="8" t="s">
        <v>1512</v>
      </c>
      <c r="C715" s="8" t="s">
        <v>62</v>
      </c>
      <c r="D715" s="10">
        <v>5.4000000999999997</v>
      </c>
      <c r="E715" s="10">
        <v>4</v>
      </c>
      <c r="F715" s="10">
        <v>1.4</v>
      </c>
      <c r="G715" s="10">
        <v>4</v>
      </c>
      <c r="H715" s="10">
        <v>1.4</v>
      </c>
      <c r="I715" s="10">
        <v>0</v>
      </c>
      <c r="J715" s="10">
        <v>0</v>
      </c>
      <c r="K715" s="10">
        <v>0</v>
      </c>
      <c r="L715" s="10">
        <v>0.40000001000000002</v>
      </c>
      <c r="M715" s="10">
        <v>0</v>
      </c>
      <c r="N715" s="10">
        <v>0.40000001000000002</v>
      </c>
      <c r="O715" s="8" t="s">
        <v>31</v>
      </c>
      <c r="P715" s="8" t="s">
        <v>31</v>
      </c>
      <c r="Q715" s="8" t="s">
        <v>31</v>
      </c>
      <c r="R715" s="8" t="s">
        <v>31</v>
      </c>
      <c r="S715" s="8" t="s">
        <v>31</v>
      </c>
      <c r="T715" s="8" t="s">
        <v>57</v>
      </c>
      <c r="U715" s="8" t="s">
        <v>57</v>
      </c>
      <c r="V715" s="8" t="s">
        <v>31</v>
      </c>
      <c r="W715" s="8" t="str">
        <f>_xlfn.IFNA(VLOOKUP(A715,[1]Sheet1!$A$1:$B$101,1,FALSE),"na")</f>
        <v>na</v>
      </c>
      <c r="X715" s="8" t="s">
        <v>419</v>
      </c>
      <c r="Y715" s="9">
        <v>440</v>
      </c>
      <c r="Z715" s="9">
        <v>81.481482999999997</v>
      </c>
      <c r="AA715" s="9">
        <v>110</v>
      </c>
      <c r="AB715" s="9">
        <v>314.28570999999999</v>
      </c>
    </row>
    <row r="716" spans="1:28" x14ac:dyDescent="0.25">
      <c r="A716" s="8" t="s">
        <v>1513</v>
      </c>
      <c r="B716" s="8" t="s">
        <v>1514</v>
      </c>
      <c r="C716" s="8" t="s">
        <v>80</v>
      </c>
      <c r="D716" s="10">
        <v>2.2000000000000002</v>
      </c>
      <c r="E716" s="10">
        <v>1</v>
      </c>
      <c r="F716" s="10">
        <v>1.2</v>
      </c>
      <c r="G716" s="10">
        <v>1</v>
      </c>
      <c r="H716" s="10">
        <v>1.2</v>
      </c>
      <c r="I716" s="10">
        <v>0</v>
      </c>
      <c r="J716" s="10">
        <v>0</v>
      </c>
      <c r="K716" s="10">
        <v>0</v>
      </c>
      <c r="L716" s="10">
        <v>0.2</v>
      </c>
      <c r="M716" s="10">
        <v>0</v>
      </c>
      <c r="N716" s="10">
        <v>0.2</v>
      </c>
      <c r="O716" s="8" t="s">
        <v>31</v>
      </c>
      <c r="P716" s="8" t="s">
        <v>31</v>
      </c>
      <c r="Q716" s="8" t="s">
        <v>31</v>
      </c>
      <c r="R716" s="8" t="s">
        <v>31</v>
      </c>
      <c r="S716" s="8" t="s">
        <v>31</v>
      </c>
      <c r="T716" s="8" t="s">
        <v>31</v>
      </c>
      <c r="U716" s="8" t="s">
        <v>31</v>
      </c>
      <c r="V716" s="8" t="s">
        <v>31</v>
      </c>
      <c r="W716" s="8" t="str">
        <f>_xlfn.IFNA(VLOOKUP(A716,[1]Sheet1!$A$1:$B$101,1,FALSE),"na")</f>
        <v>na</v>
      </c>
      <c r="X716" s="8" t="s">
        <v>35</v>
      </c>
      <c r="Y716" s="9">
        <v>254</v>
      </c>
      <c r="Z716" s="9">
        <v>115.45453999999999</v>
      </c>
      <c r="AA716" s="9">
        <v>254</v>
      </c>
      <c r="AB716" s="9">
        <v>211.66666000000001</v>
      </c>
    </row>
    <row r="717" spans="1:28" x14ac:dyDescent="0.25">
      <c r="A717" s="8" t="s">
        <v>1515</v>
      </c>
      <c r="B717" s="8" t="s">
        <v>1516</v>
      </c>
      <c r="C717" s="8" t="s">
        <v>62</v>
      </c>
      <c r="D717" s="10">
        <v>3.4000001000000002</v>
      </c>
      <c r="E717" s="10">
        <v>2.4000001000000002</v>
      </c>
      <c r="F717" s="10">
        <v>1</v>
      </c>
      <c r="G717" s="10">
        <v>2</v>
      </c>
      <c r="H717" s="10">
        <v>1</v>
      </c>
      <c r="I717" s="10">
        <v>0.40000001000000002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8" t="s">
        <v>31</v>
      </c>
      <c r="P717" s="8" t="s">
        <v>31</v>
      </c>
      <c r="Q717" s="8" t="s">
        <v>31</v>
      </c>
      <c r="R717" s="8" t="s">
        <v>57</v>
      </c>
      <c r="S717" s="8" t="s">
        <v>31</v>
      </c>
      <c r="T717" s="8" t="s">
        <v>31</v>
      </c>
      <c r="U717" s="8" t="s">
        <v>31</v>
      </c>
      <c r="V717" s="8" t="s">
        <v>31</v>
      </c>
      <c r="W717" s="8" t="str">
        <f>_xlfn.IFNA(VLOOKUP(A717,[1]Sheet1!$A$1:$B$101,1,FALSE),"na")</f>
        <v>na</v>
      </c>
      <c r="X717" s="8" t="s">
        <v>35</v>
      </c>
      <c r="Y717" s="9">
        <v>182</v>
      </c>
      <c r="Z717" s="9">
        <v>53.529411000000003</v>
      </c>
      <c r="AA717" s="9">
        <v>75.833327999999995</v>
      </c>
      <c r="AB717" s="9">
        <v>182</v>
      </c>
    </row>
    <row r="718" spans="1:28" x14ac:dyDescent="0.25">
      <c r="A718" s="8" t="s">
        <v>1517</v>
      </c>
      <c r="B718" s="8" t="s">
        <v>1518</v>
      </c>
      <c r="C718" s="8" t="s">
        <v>30</v>
      </c>
      <c r="D718" s="10">
        <v>2.5999998999999998</v>
      </c>
      <c r="E718" s="10">
        <v>1</v>
      </c>
      <c r="F718" s="10">
        <v>1.6</v>
      </c>
      <c r="G718" s="10">
        <v>1</v>
      </c>
      <c r="H718" s="10">
        <v>1.6</v>
      </c>
      <c r="I718" s="10">
        <v>0</v>
      </c>
      <c r="J718" s="10">
        <v>0</v>
      </c>
      <c r="K718" s="10">
        <v>1</v>
      </c>
      <c r="L718" s="10">
        <v>0.60000001999999997</v>
      </c>
      <c r="M718" s="10">
        <v>0</v>
      </c>
      <c r="N718" s="10">
        <v>0.60000001999999997</v>
      </c>
      <c r="O718" s="8" t="s">
        <v>31</v>
      </c>
      <c r="P718" s="8" t="s">
        <v>31</v>
      </c>
      <c r="Q718" s="8" t="s">
        <v>31</v>
      </c>
      <c r="R718" s="8" t="s">
        <v>31</v>
      </c>
      <c r="S718" s="8" t="s">
        <v>31</v>
      </c>
      <c r="T718" s="8" t="s">
        <v>31</v>
      </c>
      <c r="U718" s="8" t="s">
        <v>31</v>
      </c>
      <c r="V718" s="8" t="s">
        <v>31</v>
      </c>
      <c r="W718" s="8" t="str">
        <f>_xlfn.IFNA(VLOOKUP(A718,[1]Sheet1!$A$1:$B$101,1,FALSE),"na")</f>
        <v>na</v>
      </c>
      <c r="X718" s="8" t="s">
        <v>35</v>
      </c>
      <c r="Y718" s="9">
        <v>668</v>
      </c>
      <c r="Z718" s="9">
        <v>256.92309999999998</v>
      </c>
      <c r="AA718" s="9">
        <v>668</v>
      </c>
      <c r="AB718" s="9">
        <v>417.5</v>
      </c>
    </row>
    <row r="719" spans="1:28" x14ac:dyDescent="0.25">
      <c r="A719" s="8" t="s">
        <v>1519</v>
      </c>
      <c r="B719" s="8" t="s">
        <v>1520</v>
      </c>
      <c r="C719" s="8" t="s">
        <v>30</v>
      </c>
      <c r="D719" s="10">
        <v>1.8</v>
      </c>
      <c r="E719" s="10">
        <v>1</v>
      </c>
      <c r="F719" s="10">
        <v>0.80000000999999998</v>
      </c>
      <c r="G719" s="10">
        <v>1</v>
      </c>
      <c r="H719" s="10">
        <v>0.80000000999999998</v>
      </c>
      <c r="I719" s="10">
        <v>0</v>
      </c>
      <c r="J719" s="10">
        <v>0</v>
      </c>
      <c r="K719" s="10">
        <v>0</v>
      </c>
      <c r="L719" s="10">
        <v>0.2</v>
      </c>
      <c r="M719" s="10">
        <v>0</v>
      </c>
      <c r="N719" s="10">
        <v>0.80000000999999998</v>
      </c>
      <c r="O719" s="8" t="s">
        <v>31</v>
      </c>
      <c r="P719" s="8" t="s">
        <v>31</v>
      </c>
      <c r="Q719" s="8" t="s">
        <v>31</v>
      </c>
      <c r="R719" s="8" t="s">
        <v>31</v>
      </c>
      <c r="S719" s="8" t="s">
        <v>31</v>
      </c>
      <c r="T719" s="8" t="s">
        <v>31</v>
      </c>
      <c r="U719" s="8" t="s">
        <v>31</v>
      </c>
      <c r="V719" s="8" t="s">
        <v>31</v>
      </c>
      <c r="W719" s="8" t="str">
        <f>_xlfn.IFNA(VLOOKUP(A719,[1]Sheet1!$A$1:$B$101,1,FALSE),"na")</f>
        <v>na</v>
      </c>
      <c r="X719" s="8" t="s">
        <v>35</v>
      </c>
      <c r="Y719" s="9">
        <v>844</v>
      </c>
      <c r="Z719" s="9">
        <v>468.88891999999998</v>
      </c>
      <c r="AA719" s="9">
        <v>844</v>
      </c>
      <c r="AB719" s="9">
        <v>844</v>
      </c>
    </row>
    <row r="720" spans="1:28" x14ac:dyDescent="0.25">
      <c r="A720" s="8" t="s">
        <v>1521</v>
      </c>
      <c r="B720" s="8" t="s">
        <v>1522</v>
      </c>
      <c r="C720" s="8" t="s">
        <v>30</v>
      </c>
      <c r="D720" s="10">
        <v>2.5999998999999998</v>
      </c>
      <c r="E720" s="10">
        <v>2</v>
      </c>
      <c r="F720" s="10">
        <v>0.60000001999999997</v>
      </c>
      <c r="G720" s="10">
        <v>2</v>
      </c>
      <c r="H720" s="10">
        <v>0.60000001999999997</v>
      </c>
      <c r="I720" s="10">
        <v>0</v>
      </c>
      <c r="J720" s="10">
        <v>0</v>
      </c>
      <c r="K720" s="10">
        <v>0</v>
      </c>
      <c r="L720" s="10">
        <v>0.60000001999999997</v>
      </c>
      <c r="M720" s="10">
        <v>0</v>
      </c>
      <c r="N720" s="10">
        <v>0.60000001999999997</v>
      </c>
      <c r="O720" s="8" t="s">
        <v>31</v>
      </c>
      <c r="P720" s="8" t="s">
        <v>31</v>
      </c>
      <c r="Q720" s="8" t="s">
        <v>31</v>
      </c>
      <c r="R720" s="8" t="s">
        <v>31</v>
      </c>
      <c r="S720" s="8" t="s">
        <v>31</v>
      </c>
      <c r="T720" s="8" t="s">
        <v>31</v>
      </c>
      <c r="U720" s="8" t="s">
        <v>31</v>
      </c>
      <c r="V720" s="8" t="s">
        <v>31</v>
      </c>
      <c r="W720" s="8" t="str">
        <f>_xlfn.IFNA(VLOOKUP(A720,[1]Sheet1!$A$1:$B$101,1,FALSE),"na")</f>
        <v>na</v>
      </c>
      <c r="X720" s="8" t="s">
        <v>35</v>
      </c>
      <c r="Y720" s="9">
        <v>399</v>
      </c>
      <c r="Z720" s="9">
        <v>153.46154999999999</v>
      </c>
      <c r="AA720" s="9">
        <v>199.5</v>
      </c>
      <c r="AB720" s="9">
        <v>399</v>
      </c>
    </row>
    <row r="721" spans="1:28" x14ac:dyDescent="0.25">
      <c r="A721" s="8" t="s">
        <v>1523</v>
      </c>
      <c r="B721" s="8" t="s">
        <v>1524</v>
      </c>
      <c r="C721" s="8" t="s">
        <v>30</v>
      </c>
      <c r="D721" s="10">
        <v>3.8</v>
      </c>
      <c r="E721" s="10">
        <v>3</v>
      </c>
      <c r="F721" s="10">
        <v>0.80000000999999998</v>
      </c>
      <c r="G721" s="10">
        <v>3</v>
      </c>
      <c r="H721" s="10">
        <v>0.80000000999999998</v>
      </c>
      <c r="I721" s="10">
        <v>0</v>
      </c>
      <c r="J721" s="10">
        <v>0</v>
      </c>
      <c r="K721" s="10">
        <v>0</v>
      </c>
      <c r="L721" s="10">
        <v>0.80000000999999998</v>
      </c>
      <c r="M721" s="10">
        <v>0</v>
      </c>
      <c r="N721" s="10">
        <v>0.80000000999999998</v>
      </c>
      <c r="O721" s="8" t="s">
        <v>31</v>
      </c>
      <c r="P721" s="8" t="s">
        <v>57</v>
      </c>
      <c r="Q721" s="8" t="s">
        <v>31</v>
      </c>
      <c r="R721" s="8" t="s">
        <v>31</v>
      </c>
      <c r="S721" s="8" t="s">
        <v>31</v>
      </c>
      <c r="T721" s="8" t="s">
        <v>31</v>
      </c>
      <c r="U721" s="8" t="s">
        <v>31</v>
      </c>
      <c r="V721" s="8" t="s">
        <v>31</v>
      </c>
      <c r="W721" s="8" t="str">
        <f>_xlfn.IFNA(VLOOKUP(A721,[1]Sheet1!$A$1:$B$101,1,FALSE),"na")</f>
        <v>na</v>
      </c>
      <c r="X721" s="8" t="s">
        <v>35</v>
      </c>
      <c r="Y721" s="9">
        <v>545</v>
      </c>
      <c r="Z721" s="9">
        <v>143.42105000000001</v>
      </c>
      <c r="AA721" s="9">
        <v>181.66667000000001</v>
      </c>
      <c r="AB721" s="9">
        <v>545</v>
      </c>
    </row>
    <row r="722" spans="1:28" x14ac:dyDescent="0.25">
      <c r="A722" s="8" t="s">
        <v>1525</v>
      </c>
      <c r="B722" s="8" t="s">
        <v>1526</v>
      </c>
      <c r="C722" s="8" t="s">
        <v>30</v>
      </c>
      <c r="D722" s="10">
        <v>1.6</v>
      </c>
      <c r="E722" s="10">
        <v>1</v>
      </c>
      <c r="F722" s="10">
        <v>0.60000001999999997</v>
      </c>
      <c r="G722" s="10">
        <v>1</v>
      </c>
      <c r="H722" s="10">
        <v>0.60000001999999997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0.60000001999999997</v>
      </c>
      <c r="O722" s="8" t="s">
        <v>31</v>
      </c>
      <c r="P722" s="8" t="s">
        <v>31</v>
      </c>
      <c r="Q722" s="8" t="s">
        <v>31</v>
      </c>
      <c r="R722" s="8" t="s">
        <v>31</v>
      </c>
      <c r="S722" s="8" t="s">
        <v>31</v>
      </c>
      <c r="T722" s="8" t="s">
        <v>31</v>
      </c>
      <c r="U722" s="8" t="s">
        <v>31</v>
      </c>
      <c r="V722" s="8" t="s">
        <v>31</v>
      </c>
      <c r="W722" s="8" t="str">
        <f>_xlfn.IFNA(VLOOKUP(A722,[1]Sheet1!$A$1:$B$101,1,FALSE),"na")</f>
        <v>na</v>
      </c>
      <c r="X722" s="8" t="s">
        <v>35</v>
      </c>
      <c r="Y722" s="9">
        <v>710</v>
      </c>
      <c r="Z722" s="9">
        <v>443.75</v>
      </c>
      <c r="AA722" s="9">
        <v>710</v>
      </c>
      <c r="AB722" s="9">
        <v>710</v>
      </c>
    </row>
    <row r="723" spans="1:28" x14ac:dyDescent="0.25">
      <c r="A723" s="8" t="s">
        <v>1527</v>
      </c>
      <c r="B723" s="8" t="s">
        <v>1528</v>
      </c>
      <c r="C723" s="8" t="s">
        <v>30</v>
      </c>
      <c r="D723" s="10">
        <v>3.4000001000000002</v>
      </c>
      <c r="E723" s="10">
        <v>1</v>
      </c>
      <c r="F723" s="10">
        <v>2.4000001000000002</v>
      </c>
      <c r="G723" s="10">
        <v>1</v>
      </c>
      <c r="H723" s="10">
        <v>2.4000001000000002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0.40000001000000002</v>
      </c>
      <c r="O723" s="8" t="s">
        <v>31</v>
      </c>
      <c r="P723" s="8" t="s">
        <v>31</v>
      </c>
      <c r="Q723" s="8" t="s">
        <v>31</v>
      </c>
      <c r="R723" s="8" t="s">
        <v>31</v>
      </c>
      <c r="S723" s="8" t="s">
        <v>31</v>
      </c>
      <c r="T723" s="8" t="s">
        <v>31</v>
      </c>
      <c r="U723" s="8" t="s">
        <v>31</v>
      </c>
      <c r="V723" s="8" t="s">
        <v>31</v>
      </c>
      <c r="W723" s="8" t="str">
        <f>_xlfn.IFNA(VLOOKUP(A723,[1]Sheet1!$A$1:$B$101,1,FALSE),"na")</f>
        <v>na</v>
      </c>
      <c r="X723" s="8" t="s">
        <v>35</v>
      </c>
      <c r="Y723" s="9">
        <v>485</v>
      </c>
      <c r="Z723" s="9">
        <v>142.64705000000001</v>
      </c>
      <c r="AA723" s="9">
        <v>485</v>
      </c>
      <c r="AB723" s="9">
        <v>202.08332999999999</v>
      </c>
    </row>
    <row r="724" spans="1:28" x14ac:dyDescent="0.25">
      <c r="A724" s="8" t="s">
        <v>1529</v>
      </c>
      <c r="B724" s="8" t="s">
        <v>1530</v>
      </c>
      <c r="C724" s="8" t="s">
        <v>30</v>
      </c>
      <c r="D724" s="10">
        <v>2</v>
      </c>
      <c r="E724" s="10">
        <v>0.60000001999999997</v>
      </c>
      <c r="F724" s="10">
        <v>1.4</v>
      </c>
      <c r="G724" s="10">
        <v>0</v>
      </c>
      <c r="H724" s="10">
        <v>1.4</v>
      </c>
      <c r="I724" s="10">
        <v>0.60000001999999997</v>
      </c>
      <c r="J724" s="10">
        <v>0</v>
      </c>
      <c r="K724" s="10">
        <v>0</v>
      </c>
      <c r="L724" s="10">
        <v>0</v>
      </c>
      <c r="M724" s="10">
        <v>0</v>
      </c>
      <c r="N724" s="10">
        <v>0.40000001000000002</v>
      </c>
      <c r="O724" s="8" t="s">
        <v>57</v>
      </c>
      <c r="P724" s="8" t="s">
        <v>31</v>
      </c>
      <c r="Q724" s="8" t="s">
        <v>31</v>
      </c>
      <c r="R724" s="8" t="s">
        <v>31</v>
      </c>
      <c r="S724" s="8" t="s">
        <v>31</v>
      </c>
      <c r="T724" s="8" t="s">
        <v>31</v>
      </c>
      <c r="U724" s="8" t="s">
        <v>31</v>
      </c>
      <c r="V724" s="8" t="s">
        <v>31</v>
      </c>
      <c r="W724" s="8" t="str">
        <f>_xlfn.IFNA(VLOOKUP(A724,[1]Sheet1!$A$1:$B$101,1,FALSE),"na")</f>
        <v>na</v>
      </c>
      <c r="X724" s="8" t="s">
        <v>35</v>
      </c>
      <c r="Y724" s="9">
        <v>546</v>
      </c>
      <c r="Z724" s="9">
        <v>273</v>
      </c>
      <c r="AA724" s="9">
        <v>546</v>
      </c>
      <c r="AB724" s="9">
        <v>390</v>
      </c>
    </row>
    <row r="725" spans="1:28" x14ac:dyDescent="0.25">
      <c r="A725" s="8" t="s">
        <v>1531</v>
      </c>
      <c r="B725" s="8" t="s">
        <v>1532</v>
      </c>
      <c r="C725" s="8" t="s">
        <v>30</v>
      </c>
      <c r="D725" s="10">
        <v>2.2000000000000002</v>
      </c>
      <c r="E725" s="10">
        <v>1</v>
      </c>
      <c r="F725" s="10">
        <v>1.2</v>
      </c>
      <c r="G725" s="10">
        <v>1</v>
      </c>
      <c r="H725" s="10">
        <v>1.2</v>
      </c>
      <c r="I725" s="10">
        <v>0</v>
      </c>
      <c r="J725" s="10">
        <v>0</v>
      </c>
      <c r="K725" s="10">
        <v>0</v>
      </c>
      <c r="L725" s="10">
        <v>0.2</v>
      </c>
      <c r="M725" s="10">
        <v>0</v>
      </c>
      <c r="N725" s="10">
        <v>0.2</v>
      </c>
      <c r="O725" s="8" t="s">
        <v>57</v>
      </c>
      <c r="P725" s="8" t="s">
        <v>31</v>
      </c>
      <c r="Q725" s="8" t="s">
        <v>31</v>
      </c>
      <c r="R725" s="8" t="s">
        <v>31</v>
      </c>
      <c r="S725" s="8" t="s">
        <v>31</v>
      </c>
      <c r="T725" s="8" t="s">
        <v>31</v>
      </c>
      <c r="U725" s="8" t="s">
        <v>31</v>
      </c>
      <c r="V725" s="8" t="s">
        <v>31</v>
      </c>
      <c r="W725" s="8" t="str">
        <f>_xlfn.IFNA(VLOOKUP(A725,[1]Sheet1!$A$1:$B$101,1,FALSE),"na")</f>
        <v>na</v>
      </c>
      <c r="X725" s="8" t="s">
        <v>35</v>
      </c>
      <c r="Y725" s="9">
        <v>365</v>
      </c>
      <c r="Z725" s="9">
        <v>165.90908999999999</v>
      </c>
      <c r="AA725" s="9">
        <v>365</v>
      </c>
      <c r="AB725" s="9">
        <v>304.16665999999998</v>
      </c>
    </row>
    <row r="726" spans="1:28" x14ac:dyDescent="0.25">
      <c r="A726" s="8" t="s">
        <v>1533</v>
      </c>
      <c r="B726" s="8" t="s">
        <v>1534</v>
      </c>
      <c r="C726" s="8" t="s">
        <v>67</v>
      </c>
      <c r="D726" s="10">
        <v>5.5</v>
      </c>
      <c r="E726" s="10">
        <v>3.3</v>
      </c>
      <c r="F726" s="10">
        <v>2.2000000000000002</v>
      </c>
      <c r="G726" s="10">
        <v>3</v>
      </c>
      <c r="H726" s="10">
        <v>2.2000000000000002</v>
      </c>
      <c r="I726" s="10">
        <v>0.30000000999999998</v>
      </c>
      <c r="J726" s="10">
        <v>0</v>
      </c>
      <c r="K726" s="10">
        <v>0</v>
      </c>
      <c r="L726" s="10">
        <v>0</v>
      </c>
      <c r="M726" s="10">
        <v>0</v>
      </c>
      <c r="N726" s="10">
        <v>0.2</v>
      </c>
      <c r="O726" s="8" t="s">
        <v>31</v>
      </c>
      <c r="P726" s="8" t="s">
        <v>31</v>
      </c>
      <c r="Q726" s="8" t="s">
        <v>31</v>
      </c>
      <c r="R726" s="8" t="s">
        <v>31</v>
      </c>
      <c r="S726" s="8" t="s">
        <v>31</v>
      </c>
      <c r="T726" s="8" t="s">
        <v>31</v>
      </c>
      <c r="U726" s="8" t="s">
        <v>31</v>
      </c>
      <c r="V726" s="8" t="s">
        <v>31</v>
      </c>
      <c r="W726" s="8" t="str">
        <f>_xlfn.IFNA(VLOOKUP(A726,[1]Sheet1!$A$1:$B$101,1,FALSE),"na")</f>
        <v>na</v>
      </c>
      <c r="X726" s="8" t="s">
        <v>35</v>
      </c>
      <c r="Y726" s="9">
        <v>1035</v>
      </c>
      <c r="Z726" s="9">
        <v>188.18181999999999</v>
      </c>
      <c r="AA726" s="9">
        <v>313.63637999999997</v>
      </c>
      <c r="AB726" s="9">
        <v>470.45452999999998</v>
      </c>
    </row>
    <row r="727" spans="1:28" x14ac:dyDescent="0.25">
      <c r="A727" s="8" t="s">
        <v>1535</v>
      </c>
      <c r="B727" s="8" t="s">
        <v>1536</v>
      </c>
      <c r="C727" s="8" t="s">
        <v>30</v>
      </c>
      <c r="D727" s="10">
        <v>1.8</v>
      </c>
      <c r="E727" s="10">
        <v>1</v>
      </c>
      <c r="F727" s="10">
        <v>0.80000000999999998</v>
      </c>
      <c r="G727" s="10">
        <v>1</v>
      </c>
      <c r="H727" s="10">
        <v>0.80000000999999998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0.80000000999999998</v>
      </c>
      <c r="O727" s="8" t="s">
        <v>31</v>
      </c>
      <c r="P727" s="8" t="s">
        <v>31</v>
      </c>
      <c r="Q727" s="8" t="s">
        <v>31</v>
      </c>
      <c r="R727" s="8" t="s">
        <v>31</v>
      </c>
      <c r="S727" s="8" t="s">
        <v>31</v>
      </c>
      <c r="T727" s="8" t="s">
        <v>31</v>
      </c>
      <c r="U727" s="8" t="s">
        <v>31</v>
      </c>
      <c r="V727" s="8" t="s">
        <v>31</v>
      </c>
      <c r="W727" s="8" t="str">
        <f>_xlfn.IFNA(VLOOKUP(A727,[1]Sheet1!$A$1:$B$101,1,FALSE),"na")</f>
        <v>na</v>
      </c>
      <c r="X727" s="8" t="s">
        <v>35</v>
      </c>
      <c r="Y727" s="9">
        <v>756</v>
      </c>
      <c r="Z727" s="9">
        <v>420</v>
      </c>
      <c r="AA727" s="9">
        <v>756</v>
      </c>
      <c r="AB727" s="9">
        <v>756</v>
      </c>
    </row>
    <row r="728" spans="1:28" x14ac:dyDescent="0.25">
      <c r="A728" s="8" t="s">
        <v>1537</v>
      </c>
      <c r="B728" s="8" t="s">
        <v>1538</v>
      </c>
      <c r="C728" s="8" t="s">
        <v>67</v>
      </c>
      <c r="D728" s="10">
        <v>3.3</v>
      </c>
      <c r="E728" s="10">
        <v>3</v>
      </c>
      <c r="F728" s="10">
        <v>0.30000000999999998</v>
      </c>
      <c r="G728" s="10">
        <v>3</v>
      </c>
      <c r="H728" s="10">
        <v>0.30000000999999998</v>
      </c>
      <c r="I728" s="10">
        <v>0</v>
      </c>
      <c r="J728" s="10">
        <v>0</v>
      </c>
      <c r="K728" s="10">
        <v>0</v>
      </c>
      <c r="L728" s="10">
        <v>0.30000000999999998</v>
      </c>
      <c r="M728" s="10">
        <v>0</v>
      </c>
      <c r="N728" s="10">
        <v>0.30000000999999998</v>
      </c>
      <c r="O728" s="8" t="s">
        <v>31</v>
      </c>
      <c r="P728" s="8" t="s">
        <v>31</v>
      </c>
      <c r="Q728" s="8" t="s">
        <v>31</v>
      </c>
      <c r="R728" s="8" t="s">
        <v>31</v>
      </c>
      <c r="S728" s="8" t="s">
        <v>31</v>
      </c>
      <c r="T728" s="8" t="s">
        <v>31</v>
      </c>
      <c r="U728" s="8" t="s">
        <v>31</v>
      </c>
      <c r="V728" s="8" t="s">
        <v>31</v>
      </c>
      <c r="W728" s="8" t="str">
        <f>_xlfn.IFNA(VLOOKUP(A728,[1]Sheet1!$A$1:$B$101,1,FALSE),"na")</f>
        <v>na</v>
      </c>
      <c r="X728" s="8" t="s">
        <v>35</v>
      </c>
      <c r="Y728" s="9">
        <v>841</v>
      </c>
      <c r="Z728" s="9">
        <v>254.8485</v>
      </c>
      <c r="AA728" s="9">
        <v>280.33334000000002</v>
      </c>
      <c r="AB728" s="9">
        <v>841</v>
      </c>
    </row>
    <row r="729" spans="1:28" x14ac:dyDescent="0.25">
      <c r="A729" s="8" t="s">
        <v>1539</v>
      </c>
      <c r="B729" s="8" t="s">
        <v>1540</v>
      </c>
      <c r="C729" s="8" t="s">
        <v>30</v>
      </c>
      <c r="D729" s="10">
        <v>1.8</v>
      </c>
      <c r="E729" s="10">
        <v>1</v>
      </c>
      <c r="F729" s="10">
        <v>0.80000000999999998</v>
      </c>
      <c r="G729" s="10">
        <v>1</v>
      </c>
      <c r="H729" s="10">
        <v>0.80000000999999998</v>
      </c>
      <c r="I729" s="10">
        <v>0</v>
      </c>
      <c r="J729" s="10">
        <v>0</v>
      </c>
      <c r="K729" s="10">
        <v>1</v>
      </c>
      <c r="L729" s="10">
        <v>0.80000000999999998</v>
      </c>
      <c r="M729" s="10">
        <v>0</v>
      </c>
      <c r="N729" s="10">
        <v>0.80000000999999998</v>
      </c>
      <c r="O729" s="8" t="s">
        <v>31</v>
      </c>
      <c r="P729" s="8" t="s">
        <v>31</v>
      </c>
      <c r="Q729" s="8" t="s">
        <v>31</v>
      </c>
      <c r="R729" s="8" t="s">
        <v>31</v>
      </c>
      <c r="S729" s="8" t="s">
        <v>31</v>
      </c>
      <c r="T729" s="8" t="s">
        <v>31</v>
      </c>
      <c r="U729" s="8" t="s">
        <v>31</v>
      </c>
      <c r="V729" s="8" t="s">
        <v>31</v>
      </c>
      <c r="W729" s="8" t="str">
        <f>_xlfn.IFNA(VLOOKUP(A729,[1]Sheet1!$A$1:$B$101,1,FALSE),"na")</f>
        <v>na</v>
      </c>
      <c r="X729" s="8" t="s">
        <v>1541</v>
      </c>
      <c r="Y729" s="9">
        <v>830</v>
      </c>
      <c r="Z729" s="9">
        <v>461.11111</v>
      </c>
      <c r="AA729" s="9">
        <v>830</v>
      </c>
      <c r="AB729" s="9">
        <v>830</v>
      </c>
    </row>
    <row r="730" spans="1:28" x14ac:dyDescent="0.25">
      <c r="A730" s="8" t="s">
        <v>1542</v>
      </c>
      <c r="B730" s="8" t="s">
        <v>1543</v>
      </c>
      <c r="C730" s="8" t="s">
        <v>30</v>
      </c>
      <c r="D730" s="10">
        <v>2.4000001000000002</v>
      </c>
      <c r="E730" s="10">
        <v>1</v>
      </c>
      <c r="F730" s="10">
        <v>1.4</v>
      </c>
      <c r="G730" s="10">
        <v>1</v>
      </c>
      <c r="H730" s="10">
        <v>1.4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0.40000001000000002</v>
      </c>
      <c r="O730" s="8" t="s">
        <v>57</v>
      </c>
      <c r="P730" s="8" t="s">
        <v>31</v>
      </c>
      <c r="Q730" s="8" t="s">
        <v>31</v>
      </c>
      <c r="R730" s="8" t="s">
        <v>31</v>
      </c>
      <c r="S730" s="8" t="s">
        <v>31</v>
      </c>
      <c r="T730" s="8" t="s">
        <v>31</v>
      </c>
      <c r="U730" s="8" t="s">
        <v>31</v>
      </c>
      <c r="V730" s="8" t="s">
        <v>31</v>
      </c>
      <c r="W730" s="8" t="str">
        <f>_xlfn.IFNA(VLOOKUP(A730,[1]Sheet1!$A$1:$B$101,1,FALSE),"na")</f>
        <v>na</v>
      </c>
      <c r="X730" s="8" t="s">
        <v>35</v>
      </c>
      <c r="Y730" s="9">
        <v>538</v>
      </c>
      <c r="Z730" s="9">
        <v>224.16666000000001</v>
      </c>
      <c r="AA730" s="9">
        <v>538</v>
      </c>
      <c r="AB730" s="9">
        <v>384.28573999999998</v>
      </c>
    </row>
    <row r="731" spans="1:28" x14ac:dyDescent="0.25">
      <c r="A731" s="8" t="s">
        <v>1544</v>
      </c>
      <c r="B731" s="8" t="s">
        <v>1545</v>
      </c>
      <c r="C731" s="8" t="s">
        <v>30</v>
      </c>
      <c r="D731" s="10">
        <v>2.2000000000000002</v>
      </c>
      <c r="E731" s="10">
        <v>1</v>
      </c>
      <c r="F731" s="10">
        <v>1.2</v>
      </c>
      <c r="G731" s="10">
        <v>1</v>
      </c>
      <c r="H731" s="10">
        <v>1.2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0.2</v>
      </c>
      <c r="O731" s="8" t="s">
        <v>57</v>
      </c>
      <c r="P731" s="8" t="s">
        <v>31</v>
      </c>
      <c r="Q731" s="8" t="s">
        <v>31</v>
      </c>
      <c r="R731" s="8" t="s">
        <v>31</v>
      </c>
      <c r="S731" s="8" t="s">
        <v>31</v>
      </c>
      <c r="T731" s="8" t="s">
        <v>31</v>
      </c>
      <c r="U731" s="8" t="s">
        <v>31</v>
      </c>
      <c r="V731" s="8" t="s">
        <v>31</v>
      </c>
      <c r="W731" s="8" t="str">
        <f>_xlfn.IFNA(VLOOKUP(A731,[1]Sheet1!$A$1:$B$101,1,FALSE),"na")</f>
        <v>na</v>
      </c>
      <c r="X731" s="8" t="s">
        <v>35</v>
      </c>
      <c r="Y731" s="9">
        <v>202</v>
      </c>
      <c r="Z731" s="9">
        <v>91.818175999999994</v>
      </c>
      <c r="AA731" s="9">
        <v>202</v>
      </c>
      <c r="AB731" s="9">
        <v>168.33332999999999</v>
      </c>
    </row>
    <row r="732" spans="1:28" x14ac:dyDescent="0.25">
      <c r="A732" s="8" t="s">
        <v>1546</v>
      </c>
      <c r="B732" s="8" t="s">
        <v>1547</v>
      </c>
      <c r="C732" s="8" t="s">
        <v>30</v>
      </c>
      <c r="D732" s="10">
        <v>2.2000000000000002</v>
      </c>
      <c r="E732" s="10">
        <v>0.60000001999999997</v>
      </c>
      <c r="F732" s="10">
        <v>1.6</v>
      </c>
      <c r="G732" s="10">
        <v>0</v>
      </c>
      <c r="H732" s="10">
        <v>1.6</v>
      </c>
      <c r="I732" s="10">
        <v>0.60000001999999997</v>
      </c>
      <c r="J732" s="10">
        <v>0</v>
      </c>
      <c r="K732" s="10">
        <v>0</v>
      </c>
      <c r="L732" s="10">
        <v>0.60000001999999997</v>
      </c>
      <c r="M732" s="10">
        <v>0</v>
      </c>
      <c r="N732" s="10">
        <v>0.60000001999999997</v>
      </c>
      <c r="O732" s="8" t="s">
        <v>57</v>
      </c>
      <c r="P732" s="8" t="s">
        <v>31</v>
      </c>
      <c r="Q732" s="8" t="s">
        <v>57</v>
      </c>
      <c r="R732" s="8" t="s">
        <v>31</v>
      </c>
      <c r="S732" s="8" t="s">
        <v>31</v>
      </c>
      <c r="T732" s="8" t="s">
        <v>31</v>
      </c>
      <c r="U732" s="8" t="s">
        <v>31</v>
      </c>
      <c r="V732" s="8" t="s">
        <v>31</v>
      </c>
      <c r="W732" s="8" t="str">
        <f>_xlfn.IFNA(VLOOKUP(A732,[1]Sheet1!$A$1:$B$101,1,FALSE),"na")</f>
        <v>na</v>
      </c>
      <c r="X732" s="8" t="s">
        <v>419</v>
      </c>
      <c r="Y732" s="9">
        <v>307</v>
      </c>
      <c r="Z732" s="9">
        <v>139.54545999999999</v>
      </c>
      <c r="AA732" s="9">
        <v>307</v>
      </c>
      <c r="AB732" s="9">
        <v>191.875</v>
      </c>
    </row>
    <row r="733" spans="1:28" x14ac:dyDescent="0.25">
      <c r="A733" s="8" t="s">
        <v>1548</v>
      </c>
      <c r="B733" s="8" t="s">
        <v>1549</v>
      </c>
      <c r="C733" s="8" t="s">
        <v>30</v>
      </c>
      <c r="D733" s="10">
        <v>2.8</v>
      </c>
      <c r="E733" s="10">
        <v>1</v>
      </c>
      <c r="F733" s="10">
        <v>1.8</v>
      </c>
      <c r="G733" s="10">
        <v>1</v>
      </c>
      <c r="H733" s="10">
        <v>1.8</v>
      </c>
      <c r="I733" s="10">
        <v>0</v>
      </c>
      <c r="J733" s="10">
        <v>0</v>
      </c>
      <c r="K733" s="10">
        <v>0</v>
      </c>
      <c r="L733" s="10">
        <v>0.40000001000000002</v>
      </c>
      <c r="M733" s="10">
        <v>0</v>
      </c>
      <c r="N733" s="10">
        <v>0.80000000999999998</v>
      </c>
      <c r="O733" s="8" t="s">
        <v>57</v>
      </c>
      <c r="P733" s="8" t="s">
        <v>31</v>
      </c>
      <c r="Q733" s="8" t="s">
        <v>31</v>
      </c>
      <c r="R733" s="8" t="s">
        <v>31</v>
      </c>
      <c r="S733" s="8" t="s">
        <v>31</v>
      </c>
      <c r="T733" s="8" t="s">
        <v>31</v>
      </c>
      <c r="U733" s="8" t="s">
        <v>31</v>
      </c>
      <c r="V733" s="8" t="s">
        <v>31</v>
      </c>
      <c r="W733" s="8" t="str">
        <f>_xlfn.IFNA(VLOOKUP(A733,[1]Sheet1!$A$1:$B$101,1,FALSE),"na")</f>
        <v>na</v>
      </c>
      <c r="X733" s="8" t="s">
        <v>35</v>
      </c>
      <c r="Y733" s="9">
        <v>897</v>
      </c>
      <c r="Z733" s="9">
        <v>320.35714999999999</v>
      </c>
      <c r="AA733" s="9">
        <v>897</v>
      </c>
      <c r="AB733" s="9">
        <v>498.33334000000002</v>
      </c>
    </row>
    <row r="734" spans="1:28" x14ac:dyDescent="0.25">
      <c r="A734" s="8" t="s">
        <v>1550</v>
      </c>
      <c r="B734" s="8" t="s">
        <v>1551</v>
      </c>
      <c r="C734" s="8" t="s">
        <v>30</v>
      </c>
      <c r="D734" s="10">
        <v>2.5999998999999998</v>
      </c>
      <c r="E734" s="10">
        <v>2</v>
      </c>
      <c r="F734" s="10">
        <v>0.60000001999999997</v>
      </c>
      <c r="G734" s="10">
        <v>2</v>
      </c>
      <c r="H734" s="10">
        <v>0.60000001999999997</v>
      </c>
      <c r="I734" s="10">
        <v>0</v>
      </c>
      <c r="J734" s="10">
        <v>0</v>
      </c>
      <c r="K734" s="10">
        <v>0</v>
      </c>
      <c r="L734" s="10">
        <v>0.60000001999999997</v>
      </c>
      <c r="M734" s="10">
        <v>0</v>
      </c>
      <c r="N734" s="10">
        <v>0.60000001999999997</v>
      </c>
      <c r="O734" s="8" t="s">
        <v>31</v>
      </c>
      <c r="P734" s="8" t="s">
        <v>31</v>
      </c>
      <c r="Q734" s="8" t="s">
        <v>31</v>
      </c>
      <c r="R734" s="8" t="s">
        <v>31</v>
      </c>
      <c r="S734" s="8" t="s">
        <v>31</v>
      </c>
      <c r="T734" s="8" t="s">
        <v>31</v>
      </c>
      <c r="U734" s="8" t="s">
        <v>31</v>
      </c>
      <c r="V734" s="8" t="s">
        <v>31</v>
      </c>
      <c r="W734" s="8" t="str">
        <f>_xlfn.IFNA(VLOOKUP(A734,[1]Sheet1!$A$1:$B$101,1,FALSE),"na")</f>
        <v>na</v>
      </c>
      <c r="X734" s="8" t="s">
        <v>35</v>
      </c>
      <c r="Y734" s="9">
        <v>500</v>
      </c>
      <c r="Z734" s="9">
        <v>192.30769000000001</v>
      </c>
      <c r="AA734" s="9">
        <v>250</v>
      </c>
      <c r="AB734" s="9">
        <v>500</v>
      </c>
    </row>
    <row r="735" spans="1:28" x14ac:dyDescent="0.25">
      <c r="A735" s="8" t="s">
        <v>1552</v>
      </c>
      <c r="B735" s="8" t="s">
        <v>1553</v>
      </c>
      <c r="C735" s="8" t="s">
        <v>67</v>
      </c>
      <c r="D735" s="10">
        <v>3.0999998999999998</v>
      </c>
      <c r="E735" s="10">
        <v>3</v>
      </c>
      <c r="F735" s="10">
        <v>0.1</v>
      </c>
      <c r="G735" s="10">
        <v>3</v>
      </c>
      <c r="H735" s="10">
        <v>0.1</v>
      </c>
      <c r="I735" s="10">
        <v>0</v>
      </c>
      <c r="J735" s="10">
        <v>0</v>
      </c>
      <c r="K735" s="10">
        <v>1</v>
      </c>
      <c r="L735" s="10">
        <v>0.1</v>
      </c>
      <c r="M735" s="10">
        <v>0</v>
      </c>
      <c r="N735" s="10">
        <v>0.1</v>
      </c>
      <c r="O735" s="8" t="s">
        <v>31</v>
      </c>
      <c r="P735" s="8" t="s">
        <v>31</v>
      </c>
      <c r="Q735" s="8" t="s">
        <v>31</v>
      </c>
      <c r="R735" s="8" t="s">
        <v>31</v>
      </c>
      <c r="S735" s="8" t="s">
        <v>31</v>
      </c>
      <c r="T735" s="8" t="s">
        <v>31</v>
      </c>
      <c r="U735" s="8" t="s">
        <v>31</v>
      </c>
      <c r="V735" s="8" t="s">
        <v>31</v>
      </c>
      <c r="W735" s="8" t="str">
        <f>_xlfn.IFNA(VLOOKUP(A735,[1]Sheet1!$A$1:$B$101,1,FALSE),"na")</f>
        <v>na</v>
      </c>
      <c r="X735" s="8" t="s">
        <v>35</v>
      </c>
      <c r="Y735" s="9">
        <v>478</v>
      </c>
      <c r="Z735" s="9">
        <v>154.19355999999999</v>
      </c>
      <c r="AA735" s="9">
        <v>159.33332999999999</v>
      </c>
      <c r="AB735" s="9">
        <v>478</v>
      </c>
    </row>
    <row r="736" spans="1:28" x14ac:dyDescent="0.25">
      <c r="A736" s="8" t="s">
        <v>1554</v>
      </c>
      <c r="B736" s="8" t="s">
        <v>1555</v>
      </c>
      <c r="C736" s="8" t="s">
        <v>30</v>
      </c>
      <c r="D736" s="10">
        <v>1.6</v>
      </c>
      <c r="E736" s="10">
        <v>1.2</v>
      </c>
      <c r="F736" s="10">
        <v>0.40000001000000002</v>
      </c>
      <c r="G736" s="10">
        <v>1</v>
      </c>
      <c r="H736" s="10">
        <v>0.40000001000000002</v>
      </c>
      <c r="I736" s="10">
        <v>0.2</v>
      </c>
      <c r="J736" s="10">
        <v>0</v>
      </c>
      <c r="K736" s="10">
        <v>0</v>
      </c>
      <c r="L736" s="10">
        <v>0</v>
      </c>
      <c r="M736" s="10">
        <v>1</v>
      </c>
      <c r="N736" s="10">
        <v>0.40000001000000002</v>
      </c>
      <c r="O736" s="8" t="s">
        <v>31</v>
      </c>
      <c r="P736" s="8" t="s">
        <v>31</v>
      </c>
      <c r="Q736" s="8" t="s">
        <v>31</v>
      </c>
      <c r="R736" s="8" t="s">
        <v>31</v>
      </c>
      <c r="S736" s="8" t="s">
        <v>31</v>
      </c>
      <c r="T736" s="8" t="s">
        <v>31</v>
      </c>
      <c r="U736" s="8" t="s">
        <v>31</v>
      </c>
      <c r="V736" s="8" t="s">
        <v>31</v>
      </c>
      <c r="W736" s="8" t="str">
        <f>_xlfn.IFNA(VLOOKUP(A736,[1]Sheet1!$A$1:$B$101,1,FALSE),"na")</f>
        <v>na</v>
      </c>
      <c r="X736" s="8" t="s">
        <v>35</v>
      </c>
      <c r="Y736" s="9">
        <v>638</v>
      </c>
      <c r="Z736" s="9">
        <v>398.75</v>
      </c>
      <c r="AA736" s="9">
        <v>531.66663000000005</v>
      </c>
      <c r="AB736" s="9">
        <v>638</v>
      </c>
    </row>
    <row r="737" spans="1:28" x14ac:dyDescent="0.25">
      <c r="A737" s="8" t="s">
        <v>1556</v>
      </c>
      <c r="B737" s="8" t="s">
        <v>1557</v>
      </c>
      <c r="C737" s="8" t="s">
        <v>30</v>
      </c>
      <c r="D737" s="10">
        <v>1.6</v>
      </c>
      <c r="E737" s="10">
        <v>1</v>
      </c>
      <c r="F737" s="10">
        <v>0.60000001999999997</v>
      </c>
      <c r="G737" s="10">
        <v>1</v>
      </c>
      <c r="H737" s="10">
        <v>0.60000001999999997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0.60000001999999997</v>
      </c>
      <c r="O737" s="8" t="s">
        <v>31</v>
      </c>
      <c r="P737" s="8" t="s">
        <v>31</v>
      </c>
      <c r="Q737" s="8" t="s">
        <v>31</v>
      </c>
      <c r="R737" s="8" t="s">
        <v>31</v>
      </c>
      <c r="S737" s="8" t="s">
        <v>31</v>
      </c>
      <c r="T737" s="8" t="s">
        <v>31</v>
      </c>
      <c r="U737" s="8" t="s">
        <v>31</v>
      </c>
      <c r="V737" s="8" t="s">
        <v>31</v>
      </c>
      <c r="W737" s="8" t="str">
        <f>_xlfn.IFNA(VLOOKUP(A737,[1]Sheet1!$A$1:$B$101,1,FALSE),"na")</f>
        <v>na</v>
      </c>
      <c r="X737" s="8" t="s">
        <v>35</v>
      </c>
      <c r="Y737" s="9">
        <v>400</v>
      </c>
      <c r="Z737" s="9">
        <v>250</v>
      </c>
      <c r="AA737" s="9">
        <v>400</v>
      </c>
      <c r="AB737" s="9">
        <v>400</v>
      </c>
    </row>
    <row r="738" spans="1:28" x14ac:dyDescent="0.25">
      <c r="A738" s="8" t="s">
        <v>1558</v>
      </c>
      <c r="B738" s="8" t="s">
        <v>1559</v>
      </c>
      <c r="C738" s="8" t="s">
        <v>30</v>
      </c>
      <c r="D738" s="10">
        <v>3</v>
      </c>
      <c r="E738" s="10">
        <v>1</v>
      </c>
      <c r="F738" s="10">
        <v>2</v>
      </c>
      <c r="G738" s="10">
        <v>1</v>
      </c>
      <c r="H738" s="10">
        <v>2</v>
      </c>
      <c r="I738" s="10">
        <v>0</v>
      </c>
      <c r="J738" s="10">
        <v>0</v>
      </c>
      <c r="K738" s="10">
        <v>1</v>
      </c>
      <c r="L738" s="10">
        <v>1</v>
      </c>
      <c r="M738" s="10">
        <v>0</v>
      </c>
      <c r="N738" s="10">
        <v>1</v>
      </c>
      <c r="O738" s="8" t="s">
        <v>31</v>
      </c>
      <c r="P738" s="8" t="s">
        <v>31</v>
      </c>
      <c r="Q738" s="8" t="s">
        <v>31</v>
      </c>
      <c r="R738" s="8" t="s">
        <v>31</v>
      </c>
      <c r="S738" s="8" t="s">
        <v>31</v>
      </c>
      <c r="T738" s="8" t="s">
        <v>31</v>
      </c>
      <c r="U738" s="8" t="s">
        <v>31</v>
      </c>
      <c r="V738" s="8" t="s">
        <v>31</v>
      </c>
      <c r="W738" s="8" t="str">
        <f>_xlfn.IFNA(VLOOKUP(A738,[1]Sheet1!$A$1:$B$101,1,FALSE),"na")</f>
        <v>na</v>
      </c>
      <c r="X738" s="8" t="s">
        <v>35</v>
      </c>
      <c r="Y738" s="9">
        <v>763</v>
      </c>
      <c r="Z738" s="9">
        <v>254.33332999999999</v>
      </c>
      <c r="AA738" s="9">
        <v>763</v>
      </c>
      <c r="AB738" s="9">
        <v>381.5</v>
      </c>
    </row>
    <row r="739" spans="1:28" x14ac:dyDescent="0.25">
      <c r="A739" s="8" t="s">
        <v>1560</v>
      </c>
      <c r="B739" s="8" t="s">
        <v>1561</v>
      </c>
      <c r="C739" s="8" t="s">
        <v>30</v>
      </c>
      <c r="D739" s="10">
        <v>1.6</v>
      </c>
      <c r="E739" s="10">
        <v>1</v>
      </c>
      <c r="F739" s="10">
        <v>0.60000001999999997</v>
      </c>
      <c r="G739" s="10">
        <v>1</v>
      </c>
      <c r="H739" s="10">
        <v>0.60000001999999997</v>
      </c>
      <c r="I739" s="10">
        <v>0</v>
      </c>
      <c r="J739" s="10">
        <v>0</v>
      </c>
      <c r="K739" s="10">
        <v>0</v>
      </c>
      <c r="L739" s="10">
        <v>0.60000001999999997</v>
      </c>
      <c r="M739" s="10">
        <v>0</v>
      </c>
      <c r="N739" s="10">
        <v>0.60000001999999997</v>
      </c>
      <c r="O739" s="8" t="s">
        <v>31</v>
      </c>
      <c r="P739" s="8" t="s">
        <v>31</v>
      </c>
      <c r="Q739" s="8" t="s">
        <v>31</v>
      </c>
      <c r="R739" s="8" t="s">
        <v>31</v>
      </c>
      <c r="S739" s="8" t="s">
        <v>31</v>
      </c>
      <c r="T739" s="8" t="s">
        <v>31</v>
      </c>
      <c r="U739" s="8" t="s">
        <v>31</v>
      </c>
      <c r="V739" s="8" t="s">
        <v>31</v>
      </c>
      <c r="W739" s="8" t="str">
        <f>_xlfn.IFNA(VLOOKUP(A739,[1]Sheet1!$A$1:$B$101,1,FALSE),"na")</f>
        <v>na</v>
      </c>
      <c r="X739" s="8" t="s">
        <v>35</v>
      </c>
      <c r="Y739" s="9">
        <v>386</v>
      </c>
      <c r="Z739" s="9">
        <v>241.25</v>
      </c>
      <c r="AA739" s="9">
        <v>386</v>
      </c>
      <c r="AB739" s="9">
        <v>386</v>
      </c>
    </row>
    <row r="740" spans="1:28" x14ac:dyDescent="0.25">
      <c r="A740" s="8" t="s">
        <v>1562</v>
      </c>
      <c r="B740" s="8" t="s">
        <v>1563</v>
      </c>
      <c r="C740" s="8" t="s">
        <v>30</v>
      </c>
      <c r="D740" s="10">
        <v>3</v>
      </c>
      <c r="E740" s="10">
        <v>2</v>
      </c>
      <c r="F740" s="10">
        <v>1</v>
      </c>
      <c r="G740" s="10">
        <v>2</v>
      </c>
      <c r="H740" s="10">
        <v>1</v>
      </c>
      <c r="I740" s="10">
        <v>0</v>
      </c>
      <c r="J740" s="10">
        <v>0</v>
      </c>
      <c r="K740" s="10">
        <v>0</v>
      </c>
      <c r="L740" s="10">
        <v>1</v>
      </c>
      <c r="M740" s="10">
        <v>0</v>
      </c>
      <c r="N740" s="10">
        <v>1</v>
      </c>
      <c r="O740" s="8" t="s">
        <v>31</v>
      </c>
      <c r="P740" s="8" t="s">
        <v>31</v>
      </c>
      <c r="Q740" s="8" t="s">
        <v>31</v>
      </c>
      <c r="R740" s="8" t="s">
        <v>31</v>
      </c>
      <c r="S740" s="8" t="s">
        <v>31</v>
      </c>
      <c r="T740" s="8" t="s">
        <v>31</v>
      </c>
      <c r="U740" s="8" t="s">
        <v>31</v>
      </c>
      <c r="V740" s="8" t="s">
        <v>31</v>
      </c>
      <c r="W740" s="8" t="str">
        <f>_xlfn.IFNA(VLOOKUP(A740,[1]Sheet1!$A$1:$B$101,1,FALSE),"na")</f>
        <v>na</v>
      </c>
      <c r="X740" s="8" t="s">
        <v>35</v>
      </c>
      <c r="Y740" s="9">
        <v>920</v>
      </c>
      <c r="Z740" s="9">
        <v>306.66665999999998</v>
      </c>
      <c r="AA740" s="9">
        <v>460</v>
      </c>
      <c r="AB740" s="9">
        <v>920</v>
      </c>
    </row>
    <row r="741" spans="1:28" x14ac:dyDescent="0.25">
      <c r="A741" s="8" t="s">
        <v>1564</v>
      </c>
      <c r="B741" s="8" t="s">
        <v>1565</v>
      </c>
      <c r="C741" s="8" t="s">
        <v>30</v>
      </c>
      <c r="D741" s="10">
        <v>1.1000000000000001</v>
      </c>
      <c r="E741" s="10">
        <v>0</v>
      </c>
      <c r="F741" s="10">
        <v>1.1000000000000001</v>
      </c>
      <c r="G741" s="10">
        <v>0</v>
      </c>
      <c r="H741" s="10">
        <v>0.30000000999999998</v>
      </c>
      <c r="I741" s="10">
        <v>0</v>
      </c>
      <c r="J741" s="10">
        <v>0.80000000999999998</v>
      </c>
      <c r="K741" s="10">
        <v>0</v>
      </c>
      <c r="L741" s="10">
        <v>0</v>
      </c>
      <c r="M741" s="10">
        <v>0</v>
      </c>
      <c r="N741" s="10">
        <v>0.30000000999999998</v>
      </c>
      <c r="O741" s="8" t="s">
        <v>31</v>
      </c>
      <c r="P741" s="8" t="s">
        <v>31</v>
      </c>
      <c r="Q741" s="8" t="s">
        <v>31</v>
      </c>
      <c r="R741" s="8" t="s">
        <v>31</v>
      </c>
      <c r="S741" s="8" t="s">
        <v>31</v>
      </c>
      <c r="T741" s="8" t="s">
        <v>31</v>
      </c>
      <c r="U741" s="8" t="s">
        <v>31</v>
      </c>
      <c r="V741" s="8" t="s">
        <v>31</v>
      </c>
      <c r="W741" s="8" t="str">
        <f>_xlfn.IFNA(VLOOKUP(A741,[1]Sheet1!$A$1:$B$101,1,FALSE),"na")</f>
        <v>na</v>
      </c>
      <c r="X741" s="8" t="s">
        <v>35</v>
      </c>
      <c r="Y741" s="9">
        <v>569</v>
      </c>
      <c r="Z741" s="9">
        <v>517.27270999999996</v>
      </c>
      <c r="AA741" s="9">
        <v>569</v>
      </c>
      <c r="AB741" s="9">
        <v>517.27270999999996</v>
      </c>
    </row>
    <row r="742" spans="1:28" x14ac:dyDescent="0.25">
      <c r="A742" s="8" t="s">
        <v>1566</v>
      </c>
      <c r="B742" s="8" t="s">
        <v>1567</v>
      </c>
      <c r="C742" s="8" t="s">
        <v>30</v>
      </c>
      <c r="D742" s="10">
        <v>1.3</v>
      </c>
      <c r="E742" s="10">
        <v>0</v>
      </c>
      <c r="F742" s="10">
        <v>1.3</v>
      </c>
      <c r="G742" s="10">
        <v>0</v>
      </c>
      <c r="H742" s="10">
        <v>1.3</v>
      </c>
      <c r="I742" s="10">
        <v>0</v>
      </c>
      <c r="J742" s="10">
        <v>0</v>
      </c>
      <c r="K742" s="10">
        <v>0</v>
      </c>
      <c r="L742" s="10">
        <v>0.30000000999999998</v>
      </c>
      <c r="M742" s="10">
        <v>0</v>
      </c>
      <c r="N742" s="10">
        <v>0.30000000999999998</v>
      </c>
      <c r="O742" s="8" t="s">
        <v>31</v>
      </c>
      <c r="P742" s="8" t="s">
        <v>31</v>
      </c>
      <c r="Q742" s="8" t="s">
        <v>31</v>
      </c>
      <c r="R742" s="8" t="s">
        <v>31</v>
      </c>
      <c r="S742" s="8" t="s">
        <v>31</v>
      </c>
      <c r="T742" s="8" t="s">
        <v>31</v>
      </c>
      <c r="U742" s="8" t="s">
        <v>31</v>
      </c>
      <c r="V742" s="8" t="s">
        <v>31</v>
      </c>
      <c r="W742" s="8" t="str">
        <f>_xlfn.IFNA(VLOOKUP(A742,[1]Sheet1!$A$1:$B$101,1,FALSE),"na")</f>
        <v>na</v>
      </c>
      <c r="X742" s="8" t="s">
        <v>35</v>
      </c>
      <c r="Y742" s="9">
        <v>204</v>
      </c>
      <c r="Z742" s="9">
        <v>156.92308</v>
      </c>
      <c r="AA742" s="9">
        <v>204</v>
      </c>
      <c r="AB742" s="9">
        <v>156.92308</v>
      </c>
    </row>
    <row r="743" spans="1:28" x14ac:dyDescent="0.25">
      <c r="A743" s="8" t="s">
        <v>1568</v>
      </c>
      <c r="B743" s="8" t="s">
        <v>1569</v>
      </c>
      <c r="C743" s="8" t="s">
        <v>30</v>
      </c>
      <c r="D743" s="10">
        <v>4</v>
      </c>
      <c r="E743" s="10">
        <v>3</v>
      </c>
      <c r="F743" s="10">
        <v>1</v>
      </c>
      <c r="G743" s="10">
        <v>3</v>
      </c>
      <c r="H743" s="10">
        <v>1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0">
        <v>1</v>
      </c>
      <c r="O743" s="8" t="s">
        <v>31</v>
      </c>
      <c r="P743" s="8" t="s">
        <v>31</v>
      </c>
      <c r="Q743" s="8" t="s">
        <v>31</v>
      </c>
      <c r="R743" s="8" t="s">
        <v>31</v>
      </c>
      <c r="S743" s="8" t="s">
        <v>31</v>
      </c>
      <c r="T743" s="8" t="s">
        <v>31</v>
      </c>
      <c r="U743" s="8" t="s">
        <v>31</v>
      </c>
      <c r="V743" s="8" t="s">
        <v>31</v>
      </c>
      <c r="W743" s="8" t="str">
        <f>_xlfn.IFNA(VLOOKUP(A743,[1]Sheet1!$A$1:$B$101,1,FALSE),"na")</f>
        <v>na</v>
      </c>
      <c r="X743" s="8" t="s">
        <v>35</v>
      </c>
      <c r="Y743" s="9">
        <v>1309</v>
      </c>
      <c r="Z743" s="9">
        <v>327.25</v>
      </c>
      <c r="AA743" s="9">
        <v>436.33334000000002</v>
      </c>
      <c r="AB743" s="9">
        <v>1309</v>
      </c>
    </row>
    <row r="744" spans="1:28" x14ac:dyDescent="0.25">
      <c r="A744" s="8" t="s">
        <v>1570</v>
      </c>
      <c r="B744" s="8" t="s">
        <v>1571</v>
      </c>
      <c r="C744" s="8" t="s">
        <v>30</v>
      </c>
      <c r="D744" s="10">
        <v>0.2</v>
      </c>
      <c r="E744" s="10">
        <v>0</v>
      </c>
      <c r="F744" s="10">
        <v>0.2</v>
      </c>
      <c r="G744" s="10">
        <v>0</v>
      </c>
      <c r="H744" s="10">
        <v>0.2</v>
      </c>
      <c r="I744" s="10">
        <v>0</v>
      </c>
      <c r="J744" s="10">
        <v>0</v>
      </c>
      <c r="K744" s="10">
        <v>0</v>
      </c>
      <c r="L744" s="10">
        <v>0.2</v>
      </c>
      <c r="M744" s="10">
        <v>0</v>
      </c>
      <c r="N744" s="10">
        <v>0.2</v>
      </c>
      <c r="O744" s="8" t="s">
        <v>31</v>
      </c>
      <c r="P744" s="8" t="s">
        <v>31</v>
      </c>
      <c r="Q744" s="8" t="s">
        <v>31</v>
      </c>
      <c r="R744" s="8" t="s">
        <v>31</v>
      </c>
      <c r="S744" s="8" t="s">
        <v>31</v>
      </c>
      <c r="T744" s="8" t="s">
        <v>31</v>
      </c>
      <c r="U744" s="8" t="s">
        <v>31</v>
      </c>
      <c r="V744" s="8" t="s">
        <v>31</v>
      </c>
      <c r="W744" s="8" t="str">
        <f>_xlfn.IFNA(VLOOKUP(A744,[1]Sheet1!$A$1:$B$101,1,FALSE),"na")</f>
        <v>na</v>
      </c>
      <c r="X744" s="8" t="s">
        <v>35</v>
      </c>
      <c r="Y744" s="9">
        <v>218</v>
      </c>
      <c r="Z744" s="9">
        <v>218</v>
      </c>
      <c r="AA744" s="9">
        <v>218</v>
      </c>
      <c r="AB744" s="9">
        <v>218</v>
      </c>
    </row>
    <row r="745" spans="1:28" x14ac:dyDescent="0.25">
      <c r="A745" s="8" t="s">
        <v>1572</v>
      </c>
      <c r="B745" s="8" t="s">
        <v>1573</v>
      </c>
      <c r="C745" s="8" t="s">
        <v>62</v>
      </c>
      <c r="D745" s="10">
        <v>2.5999998999999998</v>
      </c>
      <c r="E745" s="10">
        <v>2</v>
      </c>
      <c r="F745" s="10">
        <v>0.60000001999999997</v>
      </c>
      <c r="G745" s="10">
        <v>2</v>
      </c>
      <c r="H745" s="10">
        <v>0</v>
      </c>
      <c r="I745" s="10">
        <v>0</v>
      </c>
      <c r="J745" s="10">
        <v>0.60000001999999997</v>
      </c>
      <c r="K745" s="10">
        <v>0</v>
      </c>
      <c r="L745" s="10">
        <v>0</v>
      </c>
      <c r="M745" s="10">
        <v>0</v>
      </c>
      <c r="N745" s="10">
        <v>0</v>
      </c>
      <c r="O745" s="8" t="s">
        <v>31</v>
      </c>
      <c r="P745" s="8" t="s">
        <v>31</v>
      </c>
      <c r="Q745" s="8" t="s">
        <v>31</v>
      </c>
      <c r="R745" s="8" t="s">
        <v>31</v>
      </c>
      <c r="S745" s="8" t="s">
        <v>31</v>
      </c>
      <c r="T745" s="8" t="s">
        <v>57</v>
      </c>
      <c r="U745" s="8" t="s">
        <v>31</v>
      </c>
      <c r="V745" s="8" t="s">
        <v>31</v>
      </c>
      <c r="W745" s="8" t="str">
        <f>_xlfn.IFNA(VLOOKUP(A745,[1]Sheet1!$A$1:$B$101,1,FALSE),"na")</f>
        <v>na</v>
      </c>
      <c r="X745" s="8" t="s">
        <v>35</v>
      </c>
      <c r="Y745" s="9">
        <v>162</v>
      </c>
      <c r="Z745" s="9">
        <v>62.307693</v>
      </c>
      <c r="AA745" s="9">
        <v>81</v>
      </c>
      <c r="AB745" s="9">
        <v>162</v>
      </c>
    </row>
    <row r="746" spans="1:28" x14ac:dyDescent="0.25">
      <c r="A746" s="8" t="s">
        <v>1574</v>
      </c>
      <c r="B746" s="8" t="s">
        <v>1575</v>
      </c>
      <c r="C746" s="8" t="s">
        <v>67</v>
      </c>
      <c r="D746" s="10">
        <v>0.2</v>
      </c>
      <c r="E746" s="10">
        <v>0.2</v>
      </c>
      <c r="F746" s="10">
        <v>0</v>
      </c>
      <c r="G746" s="10">
        <v>0</v>
      </c>
      <c r="H746" s="10">
        <v>0</v>
      </c>
      <c r="I746" s="10">
        <v>0.2</v>
      </c>
      <c r="J746" s="10">
        <v>0</v>
      </c>
      <c r="K746" s="10">
        <v>0</v>
      </c>
      <c r="L746" s="10">
        <v>0</v>
      </c>
      <c r="M746" s="10">
        <v>1</v>
      </c>
      <c r="N746" s="10">
        <v>0</v>
      </c>
      <c r="O746" s="8" t="s">
        <v>31</v>
      </c>
      <c r="P746" s="8" t="s">
        <v>31</v>
      </c>
      <c r="Q746" s="8" t="s">
        <v>31</v>
      </c>
      <c r="R746" s="8" t="s">
        <v>31</v>
      </c>
      <c r="S746" s="8" t="s">
        <v>31</v>
      </c>
      <c r="T746" s="8" t="s">
        <v>31</v>
      </c>
      <c r="U746" s="8" t="s">
        <v>31</v>
      </c>
      <c r="V746" s="8" t="s">
        <v>31</v>
      </c>
      <c r="W746" s="8" t="str">
        <f>_xlfn.IFNA(VLOOKUP(A746,[1]Sheet1!$A$1:$B$101,1,FALSE),"na")</f>
        <v>na</v>
      </c>
      <c r="X746" s="8" t="s">
        <v>35</v>
      </c>
      <c r="Y746" s="9">
        <v>49</v>
      </c>
      <c r="Z746" s="9">
        <v>49</v>
      </c>
      <c r="AA746" s="9">
        <v>49</v>
      </c>
      <c r="AB746" s="9">
        <v>49</v>
      </c>
    </row>
    <row r="747" spans="1:28" x14ac:dyDescent="0.25">
      <c r="A747" s="8" t="s">
        <v>1576</v>
      </c>
      <c r="B747" s="8" t="s">
        <v>1577</v>
      </c>
      <c r="C747" s="8" t="s">
        <v>62</v>
      </c>
      <c r="D747" s="10">
        <v>2</v>
      </c>
      <c r="E747" s="10">
        <v>1</v>
      </c>
      <c r="F747" s="10">
        <v>1</v>
      </c>
      <c r="G747" s="10">
        <v>1</v>
      </c>
      <c r="H747" s="10">
        <v>1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8" t="s">
        <v>31</v>
      </c>
      <c r="P747" s="8" t="s">
        <v>31</v>
      </c>
      <c r="Q747" s="8" t="s">
        <v>31</v>
      </c>
      <c r="R747" s="8" t="s">
        <v>31</v>
      </c>
      <c r="S747" s="8" t="s">
        <v>31</v>
      </c>
      <c r="T747" s="8" t="s">
        <v>31</v>
      </c>
      <c r="U747" s="8" t="s">
        <v>31</v>
      </c>
      <c r="V747" s="8" t="s">
        <v>31</v>
      </c>
      <c r="W747" s="8" t="str">
        <f>_xlfn.IFNA(VLOOKUP(A747,[1]Sheet1!$A$1:$B$101,1,FALSE),"na")</f>
        <v>na</v>
      </c>
      <c r="X747" s="8" t="s">
        <v>35</v>
      </c>
      <c r="Y747" s="9">
        <v>295</v>
      </c>
      <c r="Z747" s="9">
        <v>147.5</v>
      </c>
      <c r="AA747" s="9">
        <v>295</v>
      </c>
      <c r="AB747" s="9">
        <v>295</v>
      </c>
    </row>
    <row r="748" spans="1:28" x14ac:dyDescent="0.25">
      <c r="A748" s="8" t="s">
        <v>1578</v>
      </c>
      <c r="B748" s="8" t="s">
        <v>1579</v>
      </c>
      <c r="C748" s="8" t="s">
        <v>67</v>
      </c>
      <c r="D748" s="10">
        <v>2</v>
      </c>
      <c r="E748" s="10">
        <v>2</v>
      </c>
      <c r="F748" s="10">
        <v>0</v>
      </c>
      <c r="G748" s="10">
        <v>2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8" t="s">
        <v>31</v>
      </c>
      <c r="P748" s="8" t="s">
        <v>31</v>
      </c>
      <c r="Q748" s="8" t="s">
        <v>31</v>
      </c>
      <c r="R748" s="8" t="s">
        <v>31</v>
      </c>
      <c r="S748" s="8" t="s">
        <v>31</v>
      </c>
      <c r="T748" s="8" t="s">
        <v>31</v>
      </c>
      <c r="U748" s="8" t="s">
        <v>31</v>
      </c>
      <c r="V748" s="8" t="s">
        <v>31</v>
      </c>
      <c r="W748" s="8" t="str">
        <f>_xlfn.IFNA(VLOOKUP(A748,[1]Sheet1!$A$1:$B$101,1,FALSE),"na")</f>
        <v>na</v>
      </c>
      <c r="X748" s="8" t="s">
        <v>35</v>
      </c>
      <c r="Y748" s="9">
        <v>339</v>
      </c>
      <c r="Z748" s="9">
        <v>169.5</v>
      </c>
      <c r="AA748" s="9">
        <v>169.5</v>
      </c>
      <c r="AB748" s="9">
        <v>339</v>
      </c>
    </row>
    <row r="749" spans="1:28" x14ac:dyDescent="0.25">
      <c r="A749" s="8" t="s">
        <v>1580</v>
      </c>
      <c r="B749" s="8" t="s">
        <v>1581</v>
      </c>
      <c r="C749" s="8" t="s">
        <v>67</v>
      </c>
      <c r="D749" s="10">
        <v>2.2999999999999998</v>
      </c>
      <c r="E749" s="10">
        <v>1</v>
      </c>
      <c r="F749" s="10">
        <v>1.3</v>
      </c>
      <c r="G749" s="10">
        <v>1</v>
      </c>
      <c r="H749" s="10">
        <v>1.3</v>
      </c>
      <c r="I749" s="10">
        <v>0</v>
      </c>
      <c r="J749" s="10">
        <v>0</v>
      </c>
      <c r="K749" s="10">
        <v>0</v>
      </c>
      <c r="L749" s="10">
        <v>0.30000000999999998</v>
      </c>
      <c r="M749" s="10">
        <v>0</v>
      </c>
      <c r="N749" s="10">
        <v>0.30000000999999998</v>
      </c>
      <c r="O749" s="8" t="s">
        <v>57</v>
      </c>
      <c r="P749" s="8" t="s">
        <v>31</v>
      </c>
      <c r="Q749" s="8" t="s">
        <v>31</v>
      </c>
      <c r="R749" s="8" t="s">
        <v>31</v>
      </c>
      <c r="S749" s="8" t="s">
        <v>31</v>
      </c>
      <c r="T749" s="8" t="s">
        <v>31</v>
      </c>
      <c r="U749" s="8" t="s">
        <v>31</v>
      </c>
      <c r="V749" s="8" t="s">
        <v>31</v>
      </c>
      <c r="W749" s="8" t="str">
        <f>_xlfn.IFNA(VLOOKUP(A749,[1]Sheet1!$A$1:$B$101,1,FALSE),"na")</f>
        <v>na</v>
      </c>
      <c r="X749" s="8" t="s">
        <v>35</v>
      </c>
      <c r="Y749" s="9">
        <v>546</v>
      </c>
      <c r="Z749" s="9">
        <v>237.39131</v>
      </c>
      <c r="AA749" s="9">
        <v>546</v>
      </c>
      <c r="AB749" s="9">
        <v>420.00002999999998</v>
      </c>
    </row>
    <row r="750" spans="1:28" x14ac:dyDescent="0.25">
      <c r="A750" s="8" t="s">
        <v>1582</v>
      </c>
      <c r="B750" s="8" t="s">
        <v>1583</v>
      </c>
      <c r="C750" s="8" t="s">
        <v>67</v>
      </c>
      <c r="D750" s="10">
        <v>3.4000001000000002</v>
      </c>
      <c r="E750" s="10">
        <v>1</v>
      </c>
      <c r="F750" s="10">
        <v>2.4000001000000002</v>
      </c>
      <c r="G750" s="10">
        <v>1</v>
      </c>
      <c r="H750" s="10">
        <v>2.4000001000000002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0.40000001000000002</v>
      </c>
      <c r="O750" s="8" t="s">
        <v>31</v>
      </c>
      <c r="P750" s="8" t="s">
        <v>31</v>
      </c>
      <c r="Q750" s="8" t="s">
        <v>31</v>
      </c>
      <c r="R750" s="8" t="s">
        <v>31</v>
      </c>
      <c r="S750" s="8" t="s">
        <v>31</v>
      </c>
      <c r="T750" s="8" t="s">
        <v>31</v>
      </c>
      <c r="U750" s="8" t="s">
        <v>31</v>
      </c>
      <c r="V750" s="8" t="s">
        <v>31</v>
      </c>
      <c r="W750" s="8" t="str">
        <f>_xlfn.IFNA(VLOOKUP(A750,[1]Sheet1!$A$1:$B$101,1,FALSE),"na")</f>
        <v>na</v>
      </c>
      <c r="X750" s="8" t="s">
        <v>35</v>
      </c>
      <c r="Y750" s="9">
        <v>522</v>
      </c>
      <c r="Z750" s="9">
        <v>153.52940000000001</v>
      </c>
      <c r="AA750" s="9">
        <v>522</v>
      </c>
      <c r="AB750" s="9">
        <v>217.49997999999999</v>
      </c>
    </row>
    <row r="751" spans="1:28" x14ac:dyDescent="0.25">
      <c r="A751" s="8" t="s">
        <v>1584</v>
      </c>
      <c r="B751" s="8" t="s">
        <v>1585</v>
      </c>
      <c r="C751" s="8" t="s">
        <v>80</v>
      </c>
      <c r="D751" s="10">
        <v>4.4000000999999997</v>
      </c>
      <c r="E751" s="10">
        <v>4</v>
      </c>
      <c r="F751" s="10">
        <v>0.40000001000000002</v>
      </c>
      <c r="G751" s="10">
        <v>4</v>
      </c>
      <c r="H751" s="10">
        <v>0.40000001000000002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0.40000001000000002</v>
      </c>
      <c r="O751" s="8" t="s">
        <v>31</v>
      </c>
      <c r="P751" s="8" t="s">
        <v>31</v>
      </c>
      <c r="Q751" s="8" t="s">
        <v>31</v>
      </c>
      <c r="R751" s="8" t="s">
        <v>31</v>
      </c>
      <c r="S751" s="8" t="s">
        <v>31</v>
      </c>
      <c r="T751" s="8" t="s">
        <v>57</v>
      </c>
      <c r="U751" s="8" t="s">
        <v>31</v>
      </c>
      <c r="V751" s="8" t="s">
        <v>31</v>
      </c>
      <c r="W751" s="8" t="str">
        <f>_xlfn.IFNA(VLOOKUP(A751,[1]Sheet1!$A$1:$B$101,1,FALSE),"na")</f>
        <v>na</v>
      </c>
      <c r="X751" s="8" t="s">
        <v>35</v>
      </c>
      <c r="Y751" s="9">
        <v>585</v>
      </c>
      <c r="Z751" s="9">
        <v>132.95454000000001</v>
      </c>
      <c r="AA751" s="9">
        <v>146.25</v>
      </c>
      <c r="AB751" s="9">
        <v>585</v>
      </c>
    </row>
    <row r="752" spans="1:28" x14ac:dyDescent="0.25">
      <c r="A752" s="8" t="s">
        <v>1586</v>
      </c>
      <c r="B752" s="8" t="s">
        <v>1587</v>
      </c>
      <c r="C752" s="8" t="s">
        <v>30</v>
      </c>
      <c r="D752" s="10">
        <v>0.5</v>
      </c>
      <c r="E752" s="10">
        <v>0.5</v>
      </c>
      <c r="F752" s="10">
        <v>0</v>
      </c>
      <c r="G752" s="10">
        <v>0</v>
      </c>
      <c r="H752" s="10">
        <v>0</v>
      </c>
      <c r="I752" s="10">
        <v>0.5</v>
      </c>
      <c r="J752" s="10">
        <v>0</v>
      </c>
      <c r="K752" s="10">
        <v>0</v>
      </c>
      <c r="L752" s="10">
        <v>0</v>
      </c>
      <c r="M752" s="10">
        <v>1</v>
      </c>
      <c r="N752" s="10">
        <v>0</v>
      </c>
      <c r="O752" s="8" t="s">
        <v>31</v>
      </c>
      <c r="P752" s="8" t="s">
        <v>31</v>
      </c>
      <c r="Q752" s="8" t="s">
        <v>31</v>
      </c>
      <c r="R752" s="8" t="s">
        <v>31</v>
      </c>
      <c r="S752" s="8" t="s">
        <v>31</v>
      </c>
      <c r="T752" s="8" t="s">
        <v>31</v>
      </c>
      <c r="U752" s="8" t="s">
        <v>31</v>
      </c>
      <c r="V752" s="8" t="s">
        <v>31</v>
      </c>
      <c r="W752" s="8" t="str">
        <f>_xlfn.IFNA(VLOOKUP(A752,[1]Sheet1!$A$1:$B$101,1,FALSE),"na")</f>
        <v>na</v>
      </c>
      <c r="X752" s="8" t="s">
        <v>35</v>
      </c>
      <c r="Y752" s="9">
        <v>116</v>
      </c>
      <c r="Z752" s="9">
        <v>116</v>
      </c>
      <c r="AA752" s="9">
        <v>116</v>
      </c>
      <c r="AB752" s="9">
        <v>116</v>
      </c>
    </row>
    <row r="753" spans="1:28" x14ac:dyDescent="0.25">
      <c r="A753" s="8" t="s">
        <v>1588</v>
      </c>
      <c r="B753" s="8" t="s">
        <v>1589</v>
      </c>
      <c r="C753" s="8" t="s">
        <v>62</v>
      </c>
      <c r="D753" s="10">
        <v>4.1333298999999997</v>
      </c>
      <c r="E753" s="10">
        <v>3</v>
      </c>
      <c r="F753" s="10">
        <v>1.1333299999999999</v>
      </c>
      <c r="G753" s="10">
        <v>3</v>
      </c>
      <c r="H753" s="10">
        <v>1.1333299999999999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0.13333</v>
      </c>
      <c r="O753" s="8" t="s">
        <v>31</v>
      </c>
      <c r="P753" s="8" t="s">
        <v>31</v>
      </c>
      <c r="Q753" s="8" t="s">
        <v>31</v>
      </c>
      <c r="R753" s="8" t="s">
        <v>57</v>
      </c>
      <c r="S753" s="8" t="s">
        <v>31</v>
      </c>
      <c r="T753" s="8" t="s">
        <v>31</v>
      </c>
      <c r="U753" s="8" t="s">
        <v>31</v>
      </c>
      <c r="V753" s="8" t="s">
        <v>31</v>
      </c>
      <c r="W753" s="8" t="str">
        <f>_xlfn.IFNA(VLOOKUP(A753,[1]Sheet1!$A$1:$B$101,1,FALSE),"na")</f>
        <v>na</v>
      </c>
      <c r="X753" s="8" t="s">
        <v>35</v>
      </c>
      <c r="Y753" s="9">
        <v>451</v>
      </c>
      <c r="Z753" s="9">
        <v>109.11299</v>
      </c>
      <c r="AA753" s="9">
        <v>150.33332999999999</v>
      </c>
      <c r="AB753" s="9">
        <v>397.94234999999998</v>
      </c>
    </row>
    <row r="754" spans="1:28" x14ac:dyDescent="0.25">
      <c r="A754" s="8" t="s">
        <v>1590</v>
      </c>
      <c r="B754" s="8" t="s">
        <v>1591</v>
      </c>
      <c r="C754" s="8" t="s">
        <v>62</v>
      </c>
      <c r="D754" s="10">
        <v>4.1333298999999997</v>
      </c>
      <c r="E754" s="10">
        <v>3</v>
      </c>
      <c r="F754" s="10">
        <v>1.1333299999999999</v>
      </c>
      <c r="G754" s="10">
        <v>3</v>
      </c>
      <c r="H754" s="10">
        <v>1.1333299999999999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0.13333</v>
      </c>
      <c r="O754" s="8" t="s">
        <v>57</v>
      </c>
      <c r="P754" s="8" t="s">
        <v>57</v>
      </c>
      <c r="Q754" s="8" t="s">
        <v>31</v>
      </c>
      <c r="R754" s="8" t="s">
        <v>31</v>
      </c>
      <c r="S754" s="8" t="s">
        <v>31</v>
      </c>
      <c r="T754" s="8" t="s">
        <v>57</v>
      </c>
      <c r="U754" s="8" t="s">
        <v>57</v>
      </c>
      <c r="V754" s="8" t="s">
        <v>31</v>
      </c>
      <c r="W754" s="8" t="str">
        <f>_xlfn.IFNA(VLOOKUP(A754,[1]Sheet1!$A$1:$B$101,1,FALSE),"na")</f>
        <v>na</v>
      </c>
      <c r="X754" s="8" t="s">
        <v>35</v>
      </c>
      <c r="Y754" s="9">
        <v>267</v>
      </c>
      <c r="Z754" s="9">
        <v>64.596824999999995</v>
      </c>
      <c r="AA754" s="9">
        <v>89</v>
      </c>
      <c r="AB754" s="9">
        <v>235.58893</v>
      </c>
    </row>
    <row r="755" spans="1:28" x14ac:dyDescent="0.25">
      <c r="A755" s="8" t="s">
        <v>1592</v>
      </c>
      <c r="B755" s="8" t="s">
        <v>1593</v>
      </c>
      <c r="C755" s="8" t="s">
        <v>80</v>
      </c>
      <c r="D755" s="10">
        <v>2.4000001000000002</v>
      </c>
      <c r="E755" s="10">
        <v>1.2</v>
      </c>
      <c r="F755" s="10">
        <v>1.2</v>
      </c>
      <c r="G755" s="10">
        <v>1</v>
      </c>
      <c r="H755" s="10">
        <v>1.2</v>
      </c>
      <c r="I755" s="10">
        <v>0.2</v>
      </c>
      <c r="J755" s="10">
        <v>0</v>
      </c>
      <c r="K755" s="10">
        <v>0</v>
      </c>
      <c r="L755" s="10">
        <v>0</v>
      </c>
      <c r="M755" s="10">
        <v>0</v>
      </c>
      <c r="N755" s="10">
        <v>0.2</v>
      </c>
      <c r="O755" s="8" t="s">
        <v>57</v>
      </c>
      <c r="P755" s="8" t="s">
        <v>31</v>
      </c>
      <c r="Q755" s="8" t="s">
        <v>31</v>
      </c>
      <c r="R755" s="8" t="s">
        <v>31</v>
      </c>
      <c r="S755" s="8" t="s">
        <v>31</v>
      </c>
      <c r="T755" s="8" t="s">
        <v>31</v>
      </c>
      <c r="U755" s="8" t="s">
        <v>31</v>
      </c>
      <c r="V755" s="8" t="s">
        <v>31</v>
      </c>
      <c r="W755" s="8" t="str">
        <f>_xlfn.IFNA(VLOOKUP(A755,[1]Sheet1!$A$1:$B$101,1,FALSE),"na")</f>
        <v>na</v>
      </c>
      <c r="X755" s="8" t="s">
        <v>35</v>
      </c>
      <c r="Y755" s="9">
        <v>509</v>
      </c>
      <c r="Z755" s="9">
        <v>212.08332999999999</v>
      </c>
      <c r="AA755" s="9">
        <v>424.16665999999998</v>
      </c>
      <c r="AB755" s="9">
        <v>424.16665999999998</v>
      </c>
    </row>
    <row r="756" spans="1:28" x14ac:dyDescent="0.25">
      <c r="A756" s="8" t="s">
        <v>1594</v>
      </c>
      <c r="B756" s="8" t="s">
        <v>1595</v>
      </c>
      <c r="C756" s="8" t="s">
        <v>80</v>
      </c>
      <c r="D756" s="10">
        <v>5.1999997999999996</v>
      </c>
      <c r="E756" s="10">
        <v>4</v>
      </c>
      <c r="F756" s="10">
        <v>1.2</v>
      </c>
      <c r="G756" s="10">
        <v>4</v>
      </c>
      <c r="H756" s="10">
        <v>1.2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0.2</v>
      </c>
      <c r="O756" s="8" t="s">
        <v>57</v>
      </c>
      <c r="P756" s="8" t="s">
        <v>31</v>
      </c>
      <c r="Q756" s="8" t="s">
        <v>31</v>
      </c>
      <c r="R756" s="8" t="s">
        <v>31</v>
      </c>
      <c r="S756" s="8" t="s">
        <v>31</v>
      </c>
      <c r="T756" s="8" t="s">
        <v>31</v>
      </c>
      <c r="U756" s="8" t="s">
        <v>31</v>
      </c>
      <c r="V756" s="8" t="s">
        <v>57</v>
      </c>
      <c r="W756" s="8" t="str">
        <f>_xlfn.IFNA(VLOOKUP(A756,[1]Sheet1!$A$1:$B$101,1,FALSE),"na")</f>
        <v>na</v>
      </c>
      <c r="X756" s="8" t="s">
        <v>35</v>
      </c>
      <c r="Y756" s="9">
        <v>741</v>
      </c>
      <c r="Z756" s="9">
        <v>142.5</v>
      </c>
      <c r="AA756" s="9">
        <v>185.25</v>
      </c>
      <c r="AB756" s="9">
        <v>617.5</v>
      </c>
    </row>
    <row r="757" spans="1:28" x14ac:dyDescent="0.25">
      <c r="A757" s="8" t="s">
        <v>1596</v>
      </c>
      <c r="B757" s="8" t="s">
        <v>1597</v>
      </c>
      <c r="C757" s="8" t="s">
        <v>30</v>
      </c>
      <c r="D757" s="10">
        <v>1.4</v>
      </c>
      <c r="E757" s="10">
        <v>0</v>
      </c>
      <c r="F757" s="10">
        <v>1.4</v>
      </c>
      <c r="G757" s="10">
        <v>0</v>
      </c>
      <c r="H757" s="10">
        <v>1.4</v>
      </c>
      <c r="I757" s="10">
        <v>0</v>
      </c>
      <c r="J757" s="10">
        <v>0</v>
      </c>
      <c r="K757" s="10">
        <v>0</v>
      </c>
      <c r="L757" s="10">
        <v>0.40000001000000002</v>
      </c>
      <c r="M757" s="10">
        <v>0</v>
      </c>
      <c r="N757" s="10">
        <v>0.40000001000000002</v>
      </c>
      <c r="O757" s="8" t="s">
        <v>31</v>
      </c>
      <c r="P757" s="8" t="s">
        <v>31</v>
      </c>
      <c r="Q757" s="8" t="s">
        <v>31</v>
      </c>
      <c r="R757" s="8" t="s">
        <v>31</v>
      </c>
      <c r="S757" s="8" t="s">
        <v>31</v>
      </c>
      <c r="T757" s="8" t="s">
        <v>31</v>
      </c>
      <c r="U757" s="8" t="s">
        <v>31</v>
      </c>
      <c r="V757" s="8" t="s">
        <v>31</v>
      </c>
      <c r="W757" s="8" t="str">
        <f>_xlfn.IFNA(VLOOKUP(A757,[1]Sheet1!$A$1:$B$101,1,FALSE),"na")</f>
        <v>na</v>
      </c>
      <c r="X757" s="8" t="s">
        <v>35</v>
      </c>
      <c r="Y757" s="9">
        <v>332</v>
      </c>
      <c r="Z757" s="9">
        <v>237.14286999999999</v>
      </c>
      <c r="AA757" s="9">
        <v>332</v>
      </c>
      <c r="AB757" s="9">
        <v>237.14286999999999</v>
      </c>
    </row>
    <row r="758" spans="1:28" x14ac:dyDescent="0.25">
      <c r="A758" s="8" t="s">
        <v>1598</v>
      </c>
      <c r="B758" s="8" t="s">
        <v>1599</v>
      </c>
      <c r="C758" s="8" t="s">
        <v>62</v>
      </c>
      <c r="D758" s="10">
        <v>4.0999999000000003</v>
      </c>
      <c r="E758" s="10">
        <v>2</v>
      </c>
      <c r="F758" s="10">
        <v>2.0999998999999998</v>
      </c>
      <c r="G758" s="10">
        <v>2</v>
      </c>
      <c r="H758" s="10">
        <v>2.0999998999999998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0.1</v>
      </c>
      <c r="O758" s="8" t="s">
        <v>31</v>
      </c>
      <c r="P758" s="8" t="s">
        <v>31</v>
      </c>
      <c r="Q758" s="8" t="s">
        <v>31</v>
      </c>
      <c r="R758" s="8" t="s">
        <v>31</v>
      </c>
      <c r="S758" s="8" t="s">
        <v>31</v>
      </c>
      <c r="T758" s="8" t="s">
        <v>31</v>
      </c>
      <c r="U758" s="8" t="s">
        <v>31</v>
      </c>
      <c r="V758" s="8" t="s">
        <v>31</v>
      </c>
      <c r="W758" s="8" t="str">
        <f>_xlfn.IFNA(VLOOKUP(A758,[1]Sheet1!$A$1:$B$101,1,FALSE),"na")</f>
        <v>na</v>
      </c>
      <c r="X758" s="8" t="s">
        <v>449</v>
      </c>
      <c r="Y758" s="9">
        <v>322</v>
      </c>
      <c r="Z758" s="9">
        <v>78.536591000000001</v>
      </c>
      <c r="AA758" s="9">
        <v>161</v>
      </c>
      <c r="AB758" s="9">
        <v>153.33333999999999</v>
      </c>
    </row>
    <row r="759" spans="1:28" x14ac:dyDescent="0.25">
      <c r="A759" s="8" t="s">
        <v>1600</v>
      </c>
      <c r="B759" s="8" t="s">
        <v>1601</v>
      </c>
      <c r="C759" s="8" t="s">
        <v>62</v>
      </c>
      <c r="D759" s="10">
        <v>3</v>
      </c>
      <c r="E759" s="10">
        <v>2</v>
      </c>
      <c r="F759" s="10">
        <v>1</v>
      </c>
      <c r="G759" s="10">
        <v>2</v>
      </c>
      <c r="H759" s="10">
        <v>1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8" t="s">
        <v>57</v>
      </c>
      <c r="P759" s="8" t="s">
        <v>31</v>
      </c>
      <c r="Q759" s="8" t="s">
        <v>31</v>
      </c>
      <c r="R759" s="8" t="s">
        <v>31</v>
      </c>
      <c r="S759" s="8" t="s">
        <v>31</v>
      </c>
      <c r="T759" s="8" t="s">
        <v>31</v>
      </c>
      <c r="U759" s="8" t="s">
        <v>31</v>
      </c>
      <c r="V759" s="8" t="s">
        <v>31</v>
      </c>
      <c r="W759" s="8" t="str">
        <f>_xlfn.IFNA(VLOOKUP(A759,[1]Sheet1!$A$1:$B$101,1,FALSE),"na")</f>
        <v>na</v>
      </c>
      <c r="X759" s="8" t="s">
        <v>35</v>
      </c>
      <c r="Y759" s="9">
        <v>174</v>
      </c>
      <c r="Z759" s="9">
        <v>58</v>
      </c>
      <c r="AA759" s="9">
        <v>87</v>
      </c>
      <c r="AB759" s="9">
        <v>174</v>
      </c>
    </row>
    <row r="760" spans="1:28" x14ac:dyDescent="0.25">
      <c r="A760" s="8" t="s">
        <v>1602</v>
      </c>
      <c r="B760" s="8" t="s">
        <v>1603</v>
      </c>
      <c r="C760" s="8" t="s">
        <v>62</v>
      </c>
      <c r="D760" s="10">
        <v>3</v>
      </c>
      <c r="E760" s="10">
        <v>2</v>
      </c>
      <c r="F760" s="10">
        <v>1</v>
      </c>
      <c r="G760" s="10">
        <v>2</v>
      </c>
      <c r="H760" s="10">
        <v>1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8" t="s">
        <v>57</v>
      </c>
      <c r="P760" s="8" t="s">
        <v>31</v>
      </c>
      <c r="Q760" s="8" t="s">
        <v>31</v>
      </c>
      <c r="R760" s="8" t="s">
        <v>31</v>
      </c>
      <c r="S760" s="8" t="s">
        <v>31</v>
      </c>
      <c r="T760" s="8" t="s">
        <v>31</v>
      </c>
      <c r="U760" s="8" t="s">
        <v>31</v>
      </c>
      <c r="V760" s="8" t="s">
        <v>31</v>
      </c>
      <c r="W760" s="8" t="str">
        <f>_xlfn.IFNA(VLOOKUP(A760,[1]Sheet1!$A$1:$B$101,1,FALSE),"na")</f>
        <v>na</v>
      </c>
      <c r="X760" s="8" t="s">
        <v>35</v>
      </c>
      <c r="Y760" s="9">
        <v>109</v>
      </c>
      <c r="Z760" s="9">
        <v>36.333331999999999</v>
      </c>
      <c r="AA760" s="9">
        <v>54.5</v>
      </c>
      <c r="AB760" s="9">
        <v>109</v>
      </c>
    </row>
    <row r="761" spans="1:28" x14ac:dyDescent="0.25">
      <c r="A761" s="8" t="s">
        <v>1604</v>
      </c>
      <c r="B761" s="8" t="s">
        <v>1605</v>
      </c>
      <c r="C761" s="8" t="s">
        <v>62</v>
      </c>
      <c r="D761" s="10">
        <v>6.1999997999999996</v>
      </c>
      <c r="E761" s="10">
        <v>5</v>
      </c>
      <c r="F761" s="10">
        <v>1.2</v>
      </c>
      <c r="G761" s="10">
        <v>5</v>
      </c>
      <c r="H761" s="10">
        <v>1.2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0.2</v>
      </c>
      <c r="O761" s="8" t="s">
        <v>31</v>
      </c>
      <c r="P761" s="8" t="s">
        <v>31</v>
      </c>
      <c r="Q761" s="8" t="s">
        <v>31</v>
      </c>
      <c r="R761" s="8" t="s">
        <v>31</v>
      </c>
      <c r="S761" s="8" t="s">
        <v>31</v>
      </c>
      <c r="T761" s="8" t="s">
        <v>31</v>
      </c>
      <c r="U761" s="8" t="s">
        <v>31</v>
      </c>
      <c r="V761" s="8" t="s">
        <v>31</v>
      </c>
      <c r="W761" s="8" t="str">
        <f>_xlfn.IFNA(VLOOKUP(A761,[1]Sheet1!$A$1:$B$101,1,FALSE),"na")</f>
        <v>na</v>
      </c>
      <c r="X761" s="8" t="s">
        <v>35</v>
      </c>
      <c r="Y761" s="9">
        <v>889</v>
      </c>
      <c r="Z761" s="9">
        <v>143.3871</v>
      </c>
      <c r="AA761" s="9">
        <v>177.8</v>
      </c>
      <c r="AB761" s="9">
        <v>740.83330999999998</v>
      </c>
    </row>
    <row r="762" spans="1:28" x14ac:dyDescent="0.25">
      <c r="A762" s="8" t="s">
        <v>1606</v>
      </c>
      <c r="B762" s="8" t="s">
        <v>1607</v>
      </c>
      <c r="C762" s="8" t="s">
        <v>62</v>
      </c>
      <c r="D762" s="10">
        <v>7.0999999000000003</v>
      </c>
      <c r="E762" s="10">
        <v>6</v>
      </c>
      <c r="F762" s="10">
        <v>1.1000000000000001</v>
      </c>
      <c r="G762" s="10">
        <v>6</v>
      </c>
      <c r="H762" s="10">
        <v>1.1000000000000001</v>
      </c>
      <c r="I762" s="10">
        <v>0</v>
      </c>
      <c r="J762" s="10">
        <v>0</v>
      </c>
      <c r="K762" s="10">
        <v>0</v>
      </c>
      <c r="L762" s="10">
        <v>0.1</v>
      </c>
      <c r="M762" s="10">
        <v>0</v>
      </c>
      <c r="N762" s="10">
        <v>0.1</v>
      </c>
      <c r="O762" s="8" t="s">
        <v>31</v>
      </c>
      <c r="P762" s="8" t="s">
        <v>31</v>
      </c>
      <c r="Q762" s="8" t="s">
        <v>31</v>
      </c>
      <c r="R762" s="8" t="s">
        <v>31</v>
      </c>
      <c r="S762" s="8" t="s">
        <v>31</v>
      </c>
      <c r="T762" s="8" t="s">
        <v>57</v>
      </c>
      <c r="U762" s="8" t="s">
        <v>31</v>
      </c>
      <c r="V762" s="8" t="s">
        <v>31</v>
      </c>
      <c r="W762" s="8" t="str">
        <f>_xlfn.IFNA(VLOOKUP(A762,[1]Sheet1!$A$1:$B$101,1,FALSE),"na")</f>
        <v>na</v>
      </c>
      <c r="X762" s="8" t="s">
        <v>35</v>
      </c>
      <c r="Y762" s="9">
        <v>1349</v>
      </c>
      <c r="Z762" s="9">
        <v>190</v>
      </c>
      <c r="AA762" s="9">
        <v>224.83332999999999</v>
      </c>
      <c r="AB762" s="9">
        <v>1226.3635999999999</v>
      </c>
    </row>
    <row r="763" spans="1:28" x14ac:dyDescent="0.25">
      <c r="A763" s="8" t="s">
        <v>1608</v>
      </c>
      <c r="B763" s="8" t="s">
        <v>1609</v>
      </c>
      <c r="C763" s="8" t="s">
        <v>67</v>
      </c>
      <c r="D763" s="10">
        <v>3.2</v>
      </c>
      <c r="E763" s="10">
        <v>2</v>
      </c>
      <c r="F763" s="10">
        <v>1.2</v>
      </c>
      <c r="G763" s="10">
        <v>2</v>
      </c>
      <c r="H763" s="10">
        <v>1.2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0.2</v>
      </c>
      <c r="O763" s="8" t="s">
        <v>57</v>
      </c>
      <c r="P763" s="8" t="s">
        <v>31</v>
      </c>
      <c r="Q763" s="8" t="s">
        <v>31</v>
      </c>
      <c r="R763" s="8" t="s">
        <v>31</v>
      </c>
      <c r="S763" s="8" t="s">
        <v>31</v>
      </c>
      <c r="T763" s="8" t="s">
        <v>31</v>
      </c>
      <c r="U763" s="8" t="s">
        <v>31</v>
      </c>
      <c r="V763" s="8" t="s">
        <v>31</v>
      </c>
      <c r="W763" s="8" t="str">
        <f>_xlfn.IFNA(VLOOKUP(A763,[1]Sheet1!$A$1:$B$101,1,FALSE),"na")</f>
        <v>na</v>
      </c>
      <c r="X763" s="8" t="s">
        <v>419</v>
      </c>
      <c r="Y763" s="9">
        <v>169</v>
      </c>
      <c r="Z763" s="9">
        <v>52.8125</v>
      </c>
      <c r="AA763" s="9">
        <v>84.5</v>
      </c>
      <c r="AB763" s="9">
        <v>140.83332999999999</v>
      </c>
    </row>
    <row r="764" spans="1:28" x14ac:dyDescent="0.25">
      <c r="A764" s="8" t="s">
        <v>1610</v>
      </c>
      <c r="B764" s="8" t="s">
        <v>1611</v>
      </c>
      <c r="C764" s="8" t="s">
        <v>62</v>
      </c>
      <c r="D764" s="10">
        <v>4.1333298999999997</v>
      </c>
      <c r="E764" s="10">
        <v>3</v>
      </c>
      <c r="F764" s="10">
        <v>1.1333299999999999</v>
      </c>
      <c r="G764" s="10">
        <v>3</v>
      </c>
      <c r="H764" s="10">
        <v>1.1333299999999999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0.13333</v>
      </c>
      <c r="O764" s="8" t="s">
        <v>31</v>
      </c>
      <c r="P764" s="8" t="s">
        <v>31</v>
      </c>
      <c r="Q764" s="8" t="s">
        <v>31</v>
      </c>
      <c r="R764" s="8" t="s">
        <v>31</v>
      </c>
      <c r="S764" s="8" t="s">
        <v>31</v>
      </c>
      <c r="T764" s="8" t="s">
        <v>31</v>
      </c>
      <c r="U764" s="8" t="s">
        <v>31</v>
      </c>
      <c r="V764" s="8" t="s">
        <v>31</v>
      </c>
      <c r="W764" s="8" t="str">
        <f>_xlfn.IFNA(VLOOKUP(A764,[1]Sheet1!$A$1:$B$101,1,FALSE),"na")</f>
        <v>na</v>
      </c>
      <c r="X764" s="8" t="s">
        <v>35</v>
      </c>
      <c r="Y764" s="9">
        <v>686</v>
      </c>
      <c r="Z764" s="9">
        <v>165.96788000000001</v>
      </c>
      <c r="AA764" s="9">
        <v>228.66667000000001</v>
      </c>
      <c r="AB764" s="9">
        <v>605.29589999999996</v>
      </c>
    </row>
    <row r="765" spans="1:28" x14ac:dyDescent="0.25">
      <c r="A765" s="8" t="s">
        <v>1612</v>
      </c>
      <c r="B765" s="8" t="s">
        <v>1613</v>
      </c>
      <c r="C765" s="8" t="s">
        <v>62</v>
      </c>
      <c r="D765" s="10">
        <v>2</v>
      </c>
      <c r="E765" s="10">
        <v>1</v>
      </c>
      <c r="F765" s="10">
        <v>1</v>
      </c>
      <c r="G765" s="10">
        <v>1</v>
      </c>
      <c r="H765" s="10">
        <v>1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8" t="s">
        <v>57</v>
      </c>
      <c r="P765" s="8" t="s">
        <v>31</v>
      </c>
      <c r="Q765" s="8" t="s">
        <v>31</v>
      </c>
      <c r="R765" s="8" t="s">
        <v>31</v>
      </c>
      <c r="S765" s="8" t="s">
        <v>31</v>
      </c>
      <c r="T765" s="8" t="s">
        <v>31</v>
      </c>
      <c r="U765" s="8" t="s">
        <v>57</v>
      </c>
      <c r="V765" s="8" t="s">
        <v>31</v>
      </c>
      <c r="W765" s="8" t="str">
        <f>_xlfn.IFNA(VLOOKUP(A765,[1]Sheet1!$A$1:$B$101,1,FALSE),"na")</f>
        <v>na</v>
      </c>
      <c r="X765" s="8" t="s">
        <v>35</v>
      </c>
      <c r="Y765" s="9">
        <v>159</v>
      </c>
      <c r="Z765" s="9">
        <v>79.5</v>
      </c>
      <c r="AA765" s="9">
        <v>159</v>
      </c>
      <c r="AB765" s="9">
        <v>159</v>
      </c>
    </row>
    <row r="766" spans="1:28" x14ac:dyDescent="0.25">
      <c r="A766" s="8" t="s">
        <v>1614</v>
      </c>
      <c r="B766" s="8" t="s">
        <v>1615</v>
      </c>
      <c r="C766" s="8" t="s">
        <v>67</v>
      </c>
      <c r="D766" s="10">
        <v>2.0999998999999998</v>
      </c>
      <c r="E766" s="10">
        <v>1</v>
      </c>
      <c r="F766" s="10">
        <v>1.1000000000000001</v>
      </c>
      <c r="G766" s="10">
        <v>1</v>
      </c>
      <c r="H766" s="10">
        <v>1.1000000000000001</v>
      </c>
      <c r="I766" s="10">
        <v>0</v>
      </c>
      <c r="J766" s="10">
        <v>0</v>
      </c>
      <c r="K766" s="10">
        <v>0</v>
      </c>
      <c r="L766" s="10">
        <v>0.1</v>
      </c>
      <c r="M766" s="10">
        <v>0</v>
      </c>
      <c r="N766" s="10">
        <v>0.1</v>
      </c>
      <c r="O766" s="8" t="s">
        <v>31</v>
      </c>
      <c r="P766" s="8" t="s">
        <v>31</v>
      </c>
      <c r="Q766" s="8" t="s">
        <v>31</v>
      </c>
      <c r="R766" s="8" t="s">
        <v>31</v>
      </c>
      <c r="S766" s="8" t="s">
        <v>31</v>
      </c>
      <c r="T766" s="8" t="s">
        <v>31</v>
      </c>
      <c r="U766" s="8" t="s">
        <v>31</v>
      </c>
      <c r="V766" s="8" t="s">
        <v>31</v>
      </c>
      <c r="W766" s="8" t="str">
        <f>_xlfn.IFNA(VLOOKUP(A766,[1]Sheet1!$A$1:$B$101,1,FALSE),"na")</f>
        <v>na</v>
      </c>
      <c r="X766" s="8" t="s">
        <v>35</v>
      </c>
      <c r="Y766" s="9">
        <v>391</v>
      </c>
      <c r="Z766" s="9">
        <v>186.19049000000001</v>
      </c>
      <c r="AA766" s="9">
        <v>391</v>
      </c>
      <c r="AB766" s="9">
        <v>355.45452999999998</v>
      </c>
    </row>
    <row r="767" spans="1:28" x14ac:dyDescent="0.25">
      <c r="A767" s="8" t="s">
        <v>1616</v>
      </c>
      <c r="B767" s="8" t="s">
        <v>1617</v>
      </c>
      <c r="C767" s="8" t="s">
        <v>67</v>
      </c>
      <c r="D767" s="10">
        <v>1</v>
      </c>
      <c r="E767" s="10">
        <v>1</v>
      </c>
      <c r="F767" s="10">
        <v>0</v>
      </c>
      <c r="G767" s="10">
        <v>1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8" t="s">
        <v>57</v>
      </c>
      <c r="P767" s="8" t="s">
        <v>31</v>
      </c>
      <c r="Q767" s="8" t="s">
        <v>31</v>
      </c>
      <c r="R767" s="8" t="s">
        <v>31</v>
      </c>
      <c r="S767" s="8" t="s">
        <v>31</v>
      </c>
      <c r="T767" s="8" t="s">
        <v>31</v>
      </c>
      <c r="U767" s="8" t="s">
        <v>31</v>
      </c>
      <c r="V767" s="8" t="s">
        <v>31</v>
      </c>
      <c r="W767" s="8" t="str">
        <f>_xlfn.IFNA(VLOOKUP(A767,[1]Sheet1!$A$1:$B$101,1,FALSE),"na")</f>
        <v>na</v>
      </c>
      <c r="X767" s="8" t="s">
        <v>35</v>
      </c>
      <c r="Y767" s="9">
        <v>314</v>
      </c>
      <c r="Z767" s="9">
        <v>314</v>
      </c>
      <c r="AA767" s="9">
        <v>314</v>
      </c>
      <c r="AB767" s="9">
        <v>314</v>
      </c>
    </row>
    <row r="768" spans="1:28" x14ac:dyDescent="0.25">
      <c r="A768" s="8" t="s">
        <v>1618</v>
      </c>
      <c r="B768" s="8" t="s">
        <v>1619</v>
      </c>
      <c r="C768" s="8" t="s">
        <v>30</v>
      </c>
      <c r="D768" s="10">
        <v>2.2000000000000002</v>
      </c>
      <c r="E768" s="10">
        <v>2</v>
      </c>
      <c r="F768" s="10">
        <v>0.2</v>
      </c>
      <c r="G768" s="10">
        <v>2</v>
      </c>
      <c r="H768" s="10">
        <v>0.2</v>
      </c>
      <c r="I768" s="10">
        <v>0</v>
      </c>
      <c r="J768" s="10">
        <v>0</v>
      </c>
      <c r="K768" s="10">
        <v>1</v>
      </c>
      <c r="L768" s="10">
        <v>0.2</v>
      </c>
      <c r="M768" s="10">
        <v>0</v>
      </c>
      <c r="N768" s="10">
        <v>0.2</v>
      </c>
      <c r="O768" s="8" t="s">
        <v>57</v>
      </c>
      <c r="P768" s="8" t="s">
        <v>57</v>
      </c>
      <c r="Q768" s="8" t="s">
        <v>31</v>
      </c>
      <c r="R768" s="8" t="s">
        <v>31</v>
      </c>
      <c r="S768" s="8" t="s">
        <v>31</v>
      </c>
      <c r="T768" s="8" t="s">
        <v>31</v>
      </c>
      <c r="U768" s="8" t="s">
        <v>31</v>
      </c>
      <c r="V768" s="8" t="s">
        <v>31</v>
      </c>
      <c r="W768" s="8" t="str">
        <f>_xlfn.IFNA(VLOOKUP(A768,[1]Sheet1!$A$1:$B$101,1,FALSE),"na")</f>
        <v>na</v>
      </c>
      <c r="X768" s="8" t="s">
        <v>35</v>
      </c>
      <c r="Y768" s="9">
        <v>322</v>
      </c>
      <c r="Z768" s="9">
        <v>146.36363</v>
      </c>
      <c r="AA768" s="9">
        <v>161</v>
      </c>
      <c r="AB768" s="9">
        <v>322</v>
      </c>
    </row>
    <row r="769" spans="1:28" x14ac:dyDescent="0.25">
      <c r="A769" s="8" t="s">
        <v>1620</v>
      </c>
      <c r="B769" s="8" t="s">
        <v>1621</v>
      </c>
      <c r="C769" s="8" t="s">
        <v>30</v>
      </c>
      <c r="D769" s="10">
        <v>1.2</v>
      </c>
      <c r="E769" s="10">
        <v>0</v>
      </c>
      <c r="F769" s="10">
        <v>1.2</v>
      </c>
      <c r="G769" s="10">
        <v>0</v>
      </c>
      <c r="H769" s="10">
        <v>1.2</v>
      </c>
      <c r="I769" s="10">
        <v>0</v>
      </c>
      <c r="J769" s="10">
        <v>0</v>
      </c>
      <c r="K769" s="10">
        <v>0</v>
      </c>
      <c r="L769" s="10">
        <v>0.2</v>
      </c>
      <c r="M769" s="10">
        <v>0</v>
      </c>
      <c r="N769" s="10">
        <v>0.2</v>
      </c>
      <c r="O769" s="8" t="s">
        <v>31</v>
      </c>
      <c r="P769" s="8" t="s">
        <v>31</v>
      </c>
      <c r="Q769" s="8" t="s">
        <v>31</v>
      </c>
      <c r="R769" s="8" t="s">
        <v>31</v>
      </c>
      <c r="S769" s="8" t="s">
        <v>31</v>
      </c>
      <c r="T769" s="8" t="s">
        <v>31</v>
      </c>
      <c r="U769" s="8" t="s">
        <v>31</v>
      </c>
      <c r="V769" s="8" t="s">
        <v>31</v>
      </c>
      <c r="W769" s="8" t="str">
        <f>_xlfn.IFNA(VLOOKUP(A769,[1]Sheet1!$A$1:$B$101,1,FALSE),"na")</f>
        <v>na</v>
      </c>
      <c r="X769" s="8" t="s">
        <v>35</v>
      </c>
      <c r="Y769" s="9">
        <v>163</v>
      </c>
      <c r="Z769" s="9">
        <v>135.83332999999999</v>
      </c>
      <c r="AA769" s="9">
        <v>163</v>
      </c>
      <c r="AB769" s="9">
        <v>135.83332999999999</v>
      </c>
    </row>
    <row r="770" spans="1:28" x14ac:dyDescent="0.25">
      <c r="A770" s="8" t="s">
        <v>1622</v>
      </c>
      <c r="B770" s="8" t="s">
        <v>1623</v>
      </c>
      <c r="C770" s="8" t="s">
        <v>30</v>
      </c>
      <c r="D770" s="10">
        <v>1.3</v>
      </c>
      <c r="E770" s="10">
        <v>1</v>
      </c>
      <c r="F770" s="10">
        <v>0.30000000999999998</v>
      </c>
      <c r="G770" s="10">
        <v>1</v>
      </c>
      <c r="H770" s="10">
        <v>0.30000000999999998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0.30000000999999998</v>
      </c>
      <c r="O770" s="8" t="s">
        <v>31</v>
      </c>
      <c r="P770" s="8" t="s">
        <v>31</v>
      </c>
      <c r="Q770" s="8" t="s">
        <v>31</v>
      </c>
      <c r="R770" s="8" t="s">
        <v>31</v>
      </c>
      <c r="S770" s="8" t="s">
        <v>31</v>
      </c>
      <c r="T770" s="8" t="s">
        <v>31</v>
      </c>
      <c r="U770" s="8" t="s">
        <v>31</v>
      </c>
      <c r="V770" s="8" t="s">
        <v>31</v>
      </c>
      <c r="W770" s="8" t="str">
        <f>_xlfn.IFNA(VLOOKUP(A770,[1]Sheet1!$A$1:$B$101,1,FALSE),"na")</f>
        <v>na</v>
      </c>
      <c r="X770" s="8" t="s">
        <v>32</v>
      </c>
      <c r="Y770" s="9">
        <v>217</v>
      </c>
      <c r="Z770" s="9">
        <v>166.92308</v>
      </c>
      <c r="AA770" s="9">
        <v>217</v>
      </c>
      <c r="AB770" s="9">
        <v>217</v>
      </c>
    </row>
    <row r="771" spans="1:28" x14ac:dyDescent="0.25">
      <c r="A771" s="8" t="s">
        <v>1624</v>
      </c>
      <c r="B771" s="8" t="s">
        <v>1625</v>
      </c>
      <c r="C771" s="8" t="s">
        <v>30</v>
      </c>
      <c r="D771" s="10">
        <v>1.8</v>
      </c>
      <c r="E771" s="10">
        <v>0</v>
      </c>
      <c r="F771" s="10">
        <v>1.8</v>
      </c>
      <c r="G771" s="10">
        <v>0</v>
      </c>
      <c r="H771" s="10">
        <v>1.8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0.80000000999999998</v>
      </c>
      <c r="O771" s="8" t="s">
        <v>31</v>
      </c>
      <c r="P771" s="8" t="s">
        <v>31</v>
      </c>
      <c r="Q771" s="8" t="s">
        <v>57</v>
      </c>
      <c r="R771" s="8" t="s">
        <v>31</v>
      </c>
      <c r="S771" s="8" t="s">
        <v>31</v>
      </c>
      <c r="T771" s="8" t="s">
        <v>31</v>
      </c>
      <c r="U771" s="8" t="s">
        <v>31</v>
      </c>
      <c r="V771" s="8" t="s">
        <v>31</v>
      </c>
      <c r="W771" s="8" t="str">
        <f>_xlfn.IFNA(VLOOKUP(A771,[1]Sheet1!$A$1:$B$101,1,FALSE),"na")</f>
        <v>na</v>
      </c>
      <c r="X771" s="8" t="s">
        <v>35</v>
      </c>
      <c r="Y771" s="9">
        <v>441</v>
      </c>
      <c r="Z771" s="9">
        <v>245</v>
      </c>
      <c r="AA771" s="9">
        <v>441</v>
      </c>
      <c r="AB771" s="9">
        <v>245</v>
      </c>
    </row>
    <row r="772" spans="1:28" x14ac:dyDescent="0.25">
      <c r="A772" s="8" t="s">
        <v>1626</v>
      </c>
      <c r="B772" s="8" t="s">
        <v>1627</v>
      </c>
      <c r="C772" s="8" t="s">
        <v>30</v>
      </c>
      <c r="D772" s="10">
        <v>2.1500001000000002</v>
      </c>
      <c r="E772" s="10">
        <v>2</v>
      </c>
      <c r="F772" s="10">
        <v>0.15000000999999999</v>
      </c>
      <c r="G772" s="10">
        <v>2</v>
      </c>
      <c r="H772" s="10">
        <v>0.15000000999999999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0.15000000999999999</v>
      </c>
      <c r="O772" s="8" t="s">
        <v>31</v>
      </c>
      <c r="P772" s="8" t="s">
        <v>31</v>
      </c>
      <c r="Q772" s="8" t="s">
        <v>31</v>
      </c>
      <c r="R772" s="8" t="s">
        <v>31</v>
      </c>
      <c r="S772" s="8" t="s">
        <v>31</v>
      </c>
      <c r="T772" s="8" t="s">
        <v>31</v>
      </c>
      <c r="U772" s="8" t="s">
        <v>31</v>
      </c>
      <c r="V772" s="8" t="s">
        <v>31</v>
      </c>
      <c r="W772" s="8" t="str">
        <f>_xlfn.IFNA(VLOOKUP(A772,[1]Sheet1!$A$1:$B$101,1,FALSE),"na")</f>
        <v>na</v>
      </c>
      <c r="X772" s="8" t="s">
        <v>35</v>
      </c>
      <c r="Y772" s="9">
        <v>214</v>
      </c>
      <c r="Z772" s="9">
        <v>99.534881999999996</v>
      </c>
      <c r="AA772" s="9">
        <v>107</v>
      </c>
      <c r="AB772" s="9">
        <v>214</v>
      </c>
    </row>
    <row r="773" spans="1:28" x14ac:dyDescent="0.25">
      <c r="A773" s="8" t="s">
        <v>1628</v>
      </c>
      <c r="B773" s="8" t="s">
        <v>1629</v>
      </c>
      <c r="C773" s="8" t="s">
        <v>67</v>
      </c>
      <c r="D773" s="10">
        <v>2.2000000000000002</v>
      </c>
      <c r="E773" s="10">
        <v>1</v>
      </c>
      <c r="F773" s="10">
        <v>1.2</v>
      </c>
      <c r="G773" s="10">
        <v>1</v>
      </c>
      <c r="H773" s="10">
        <v>1.2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0.2</v>
      </c>
      <c r="O773" s="8" t="s">
        <v>57</v>
      </c>
      <c r="P773" s="8" t="s">
        <v>57</v>
      </c>
      <c r="Q773" s="8" t="s">
        <v>31</v>
      </c>
      <c r="R773" s="8" t="s">
        <v>31</v>
      </c>
      <c r="S773" s="8" t="s">
        <v>31</v>
      </c>
      <c r="T773" s="8" t="s">
        <v>31</v>
      </c>
      <c r="U773" s="8" t="s">
        <v>31</v>
      </c>
      <c r="V773" s="8" t="s">
        <v>31</v>
      </c>
      <c r="W773" s="8" t="str">
        <f>_xlfn.IFNA(VLOOKUP(A773,[1]Sheet1!$A$1:$B$101,1,FALSE),"na")</f>
        <v>na</v>
      </c>
      <c r="X773" s="8" t="s">
        <v>35</v>
      </c>
      <c r="Y773" s="9">
        <v>177</v>
      </c>
      <c r="Z773" s="9">
        <v>80.454543999999999</v>
      </c>
      <c r="AA773" s="9">
        <v>177</v>
      </c>
      <c r="AB773" s="9">
        <v>147.5</v>
      </c>
    </row>
    <row r="774" spans="1:28" x14ac:dyDescent="0.25">
      <c r="A774" s="8" t="s">
        <v>1630</v>
      </c>
      <c r="B774" s="8" t="s">
        <v>1631</v>
      </c>
      <c r="C774" s="8" t="s">
        <v>30</v>
      </c>
      <c r="D774" s="10">
        <v>2.8</v>
      </c>
      <c r="E774" s="10">
        <v>1</v>
      </c>
      <c r="F774" s="10">
        <v>1.8</v>
      </c>
      <c r="G774" s="10">
        <v>1</v>
      </c>
      <c r="H774" s="10">
        <v>1.8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0.80000000999999998</v>
      </c>
      <c r="O774" s="8" t="s">
        <v>57</v>
      </c>
      <c r="P774" s="8" t="s">
        <v>31</v>
      </c>
      <c r="Q774" s="8" t="s">
        <v>31</v>
      </c>
      <c r="R774" s="8" t="s">
        <v>31</v>
      </c>
      <c r="S774" s="8" t="s">
        <v>31</v>
      </c>
      <c r="T774" s="8" t="s">
        <v>31</v>
      </c>
      <c r="U774" s="8" t="s">
        <v>31</v>
      </c>
      <c r="V774" s="8" t="s">
        <v>31</v>
      </c>
      <c r="W774" s="8" t="str">
        <f>_xlfn.IFNA(VLOOKUP(A774,[1]Sheet1!$A$1:$B$101,1,FALSE),"na")</f>
        <v>na</v>
      </c>
      <c r="X774" s="8" t="s">
        <v>35</v>
      </c>
      <c r="Y774" s="9">
        <v>469</v>
      </c>
      <c r="Z774" s="9">
        <v>167.5</v>
      </c>
      <c r="AA774" s="9">
        <v>469</v>
      </c>
      <c r="AB774" s="9">
        <v>260.55556999999999</v>
      </c>
    </row>
    <row r="775" spans="1:28" x14ac:dyDescent="0.25">
      <c r="A775" s="8" t="s">
        <v>1632</v>
      </c>
      <c r="B775" s="8" t="s">
        <v>1633</v>
      </c>
      <c r="C775" s="8" t="s">
        <v>67</v>
      </c>
      <c r="D775" s="10">
        <v>1</v>
      </c>
      <c r="E775" s="10">
        <v>1</v>
      </c>
      <c r="F775" s="10">
        <v>0</v>
      </c>
      <c r="G775" s="10">
        <v>1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8" t="s">
        <v>31</v>
      </c>
      <c r="P775" s="8" t="s">
        <v>57</v>
      </c>
      <c r="Q775" s="8" t="s">
        <v>31</v>
      </c>
      <c r="R775" s="8" t="s">
        <v>31</v>
      </c>
      <c r="S775" s="8" t="s">
        <v>31</v>
      </c>
      <c r="T775" s="8" t="s">
        <v>31</v>
      </c>
      <c r="U775" s="8" t="s">
        <v>31</v>
      </c>
      <c r="V775" s="8" t="s">
        <v>31</v>
      </c>
      <c r="W775" s="8" t="str">
        <f>_xlfn.IFNA(VLOOKUP(A775,[1]Sheet1!$A$1:$B$101,1,FALSE),"na")</f>
        <v>na</v>
      </c>
      <c r="X775" s="8" t="s">
        <v>35</v>
      </c>
      <c r="Y775" s="9">
        <v>78</v>
      </c>
      <c r="Z775" s="9">
        <v>78</v>
      </c>
      <c r="AA775" s="9">
        <v>78</v>
      </c>
      <c r="AB775" s="9">
        <v>78</v>
      </c>
    </row>
    <row r="776" spans="1:28" x14ac:dyDescent="0.25">
      <c r="A776" s="8" t="s">
        <v>1634</v>
      </c>
      <c r="B776" s="8" t="s">
        <v>1635</v>
      </c>
      <c r="C776" s="8" t="s">
        <v>30</v>
      </c>
      <c r="D776" s="10">
        <v>1.5</v>
      </c>
      <c r="E776" s="10">
        <v>1</v>
      </c>
      <c r="F776" s="10">
        <v>0.5</v>
      </c>
      <c r="G776" s="10">
        <v>1</v>
      </c>
      <c r="H776" s="10">
        <v>0.5</v>
      </c>
      <c r="I776" s="10">
        <v>0</v>
      </c>
      <c r="J776" s="10">
        <v>0</v>
      </c>
      <c r="K776" s="10">
        <v>0</v>
      </c>
      <c r="L776" s="10">
        <v>0.30000000999999998</v>
      </c>
      <c r="M776" s="10">
        <v>0</v>
      </c>
      <c r="N776" s="10">
        <v>0.5</v>
      </c>
      <c r="O776" s="8" t="s">
        <v>31</v>
      </c>
      <c r="P776" s="8" t="s">
        <v>31</v>
      </c>
      <c r="Q776" s="8" t="s">
        <v>31</v>
      </c>
      <c r="R776" s="8" t="s">
        <v>31</v>
      </c>
      <c r="S776" s="8" t="s">
        <v>31</v>
      </c>
      <c r="T776" s="8" t="s">
        <v>31</v>
      </c>
      <c r="U776" s="8" t="s">
        <v>31</v>
      </c>
      <c r="V776" s="8" t="s">
        <v>31</v>
      </c>
      <c r="W776" s="8" t="str">
        <f>_xlfn.IFNA(VLOOKUP(A776,[1]Sheet1!$A$1:$B$101,1,FALSE),"na")</f>
        <v>na</v>
      </c>
      <c r="X776" s="8" t="s">
        <v>1636</v>
      </c>
      <c r="Y776" s="9">
        <v>183</v>
      </c>
      <c r="Z776" s="9">
        <v>122</v>
      </c>
      <c r="AA776" s="9">
        <v>183</v>
      </c>
      <c r="AB776" s="9">
        <v>183</v>
      </c>
    </row>
    <row r="777" spans="1:28" x14ac:dyDescent="0.25">
      <c r="A777" s="8" t="s">
        <v>1637</v>
      </c>
      <c r="B777" s="8" t="s">
        <v>1638</v>
      </c>
      <c r="C777" s="8" t="s">
        <v>30</v>
      </c>
      <c r="D777" s="10">
        <v>1.6</v>
      </c>
      <c r="E777" s="10">
        <v>1</v>
      </c>
      <c r="F777" s="10">
        <v>0.60000001999999997</v>
      </c>
      <c r="G777" s="10">
        <v>1</v>
      </c>
      <c r="H777" s="10">
        <v>0.60000001999999997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0.60000001999999997</v>
      </c>
      <c r="O777" s="8" t="s">
        <v>31</v>
      </c>
      <c r="P777" s="8" t="s">
        <v>31</v>
      </c>
      <c r="Q777" s="8" t="s">
        <v>31</v>
      </c>
      <c r="R777" s="8" t="s">
        <v>31</v>
      </c>
      <c r="S777" s="8" t="s">
        <v>31</v>
      </c>
      <c r="T777" s="8" t="s">
        <v>31</v>
      </c>
      <c r="U777" s="8" t="s">
        <v>31</v>
      </c>
      <c r="V777" s="8" t="s">
        <v>31</v>
      </c>
      <c r="W777" s="8" t="str">
        <f>_xlfn.IFNA(VLOOKUP(A777,[1]Sheet1!$A$1:$B$101,1,FALSE),"na")</f>
        <v>na</v>
      </c>
      <c r="X777" s="8" t="s">
        <v>35</v>
      </c>
      <c r="Y777" s="9">
        <v>200</v>
      </c>
      <c r="Z777" s="9">
        <v>125</v>
      </c>
      <c r="AA777" s="9">
        <v>200</v>
      </c>
      <c r="AB777" s="9">
        <v>200</v>
      </c>
    </row>
    <row r="778" spans="1:28" x14ac:dyDescent="0.25">
      <c r="A778" s="8" t="s">
        <v>1639</v>
      </c>
      <c r="B778" s="8" t="s">
        <v>1640</v>
      </c>
      <c r="C778" s="8" t="s">
        <v>30</v>
      </c>
      <c r="D778" s="10">
        <v>2.4000001000000002</v>
      </c>
      <c r="E778" s="10">
        <v>1</v>
      </c>
      <c r="F778" s="10">
        <v>1.4</v>
      </c>
      <c r="G778" s="10">
        <v>1</v>
      </c>
      <c r="H778" s="10">
        <v>1.4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0.40000001000000002</v>
      </c>
      <c r="O778" s="8" t="s">
        <v>57</v>
      </c>
      <c r="P778" s="8" t="s">
        <v>31</v>
      </c>
      <c r="Q778" s="8" t="s">
        <v>31</v>
      </c>
      <c r="R778" s="8" t="s">
        <v>31</v>
      </c>
      <c r="S778" s="8" t="s">
        <v>31</v>
      </c>
      <c r="T778" s="8" t="s">
        <v>31</v>
      </c>
      <c r="U778" s="8" t="s">
        <v>31</v>
      </c>
      <c r="V778" s="8" t="s">
        <v>31</v>
      </c>
      <c r="W778" s="8" t="str">
        <f>_xlfn.IFNA(VLOOKUP(A778,[1]Sheet1!$A$1:$B$101,1,FALSE),"na")</f>
        <v>na</v>
      </c>
      <c r="X778" s="8" t="s">
        <v>35</v>
      </c>
      <c r="Y778" s="9">
        <v>162</v>
      </c>
      <c r="Z778" s="9">
        <v>67.5</v>
      </c>
      <c r="AA778" s="9">
        <v>162</v>
      </c>
      <c r="AB778" s="9">
        <v>115.71429000000001</v>
      </c>
    </row>
    <row r="779" spans="1:28" x14ac:dyDescent="0.25">
      <c r="A779" s="8" t="s">
        <v>1641</v>
      </c>
      <c r="B779" s="8" t="s">
        <v>1642</v>
      </c>
      <c r="C779" s="8" t="s">
        <v>67</v>
      </c>
      <c r="D779" s="10">
        <v>1</v>
      </c>
      <c r="E779" s="10">
        <v>0</v>
      </c>
      <c r="F779" s="10">
        <v>1</v>
      </c>
      <c r="G779" s="10">
        <v>0</v>
      </c>
      <c r="H779" s="10">
        <v>1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8" t="s">
        <v>57</v>
      </c>
      <c r="P779" s="8" t="s">
        <v>31</v>
      </c>
      <c r="Q779" s="8" t="s">
        <v>31</v>
      </c>
      <c r="R779" s="8" t="s">
        <v>31</v>
      </c>
      <c r="S779" s="8" t="s">
        <v>31</v>
      </c>
      <c r="T779" s="8" t="s">
        <v>31</v>
      </c>
      <c r="U779" s="8" t="s">
        <v>31</v>
      </c>
      <c r="V779" s="8" t="s">
        <v>31</v>
      </c>
      <c r="W779" s="8" t="str">
        <f>_xlfn.IFNA(VLOOKUP(A779,[1]Sheet1!$A$1:$B$101,1,FALSE),"na")</f>
        <v>na</v>
      </c>
      <c r="X779" s="8" t="s">
        <v>35</v>
      </c>
      <c r="Y779" s="9">
        <v>142</v>
      </c>
      <c r="Z779" s="9">
        <v>142</v>
      </c>
      <c r="AA779" s="9">
        <v>142</v>
      </c>
      <c r="AB779" s="9">
        <v>142</v>
      </c>
    </row>
    <row r="780" spans="1:28" x14ac:dyDescent="0.25">
      <c r="A780" s="8" t="s">
        <v>1643</v>
      </c>
      <c r="B780" s="8" t="s">
        <v>1644</v>
      </c>
      <c r="C780" s="8" t="s">
        <v>38</v>
      </c>
      <c r="D780" s="10">
        <v>2.4000001000000002</v>
      </c>
      <c r="E780" s="10">
        <v>1</v>
      </c>
      <c r="F780" s="10">
        <v>1.4</v>
      </c>
      <c r="G780" s="10">
        <v>1</v>
      </c>
      <c r="H780" s="10">
        <v>1.4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0.40000001000000002</v>
      </c>
      <c r="O780" s="8" t="s">
        <v>31</v>
      </c>
      <c r="P780" s="8" t="s">
        <v>31</v>
      </c>
      <c r="Q780" s="8" t="s">
        <v>31</v>
      </c>
      <c r="R780" s="8" t="s">
        <v>31</v>
      </c>
      <c r="S780" s="8" t="s">
        <v>31</v>
      </c>
      <c r="T780" s="8" t="s">
        <v>31</v>
      </c>
      <c r="U780" s="8" t="s">
        <v>31</v>
      </c>
      <c r="V780" s="8" t="s">
        <v>31</v>
      </c>
      <c r="W780" s="8" t="str">
        <f>_xlfn.IFNA(VLOOKUP(A780,[1]Sheet1!$A$1:$B$101,1,FALSE),"na")</f>
        <v>na</v>
      </c>
      <c r="X780" s="8" t="s">
        <v>426</v>
      </c>
      <c r="Y780" s="9">
        <v>197</v>
      </c>
      <c r="Z780" s="9">
        <v>82.083327999999995</v>
      </c>
      <c r="AA780" s="9">
        <v>197</v>
      </c>
      <c r="AB780" s="9">
        <v>140.71429000000001</v>
      </c>
    </row>
    <row r="781" spans="1:28" x14ac:dyDescent="0.25">
      <c r="A781" s="8" t="s">
        <v>1645</v>
      </c>
      <c r="B781" s="8" t="s">
        <v>1646</v>
      </c>
      <c r="C781" s="8" t="s">
        <v>30</v>
      </c>
      <c r="D781" s="10">
        <v>2.4000001000000002</v>
      </c>
      <c r="E781" s="10">
        <v>1</v>
      </c>
      <c r="F781" s="10">
        <v>1.4</v>
      </c>
      <c r="G781" s="10">
        <v>1</v>
      </c>
      <c r="H781" s="10">
        <v>1.4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0.40000001000000002</v>
      </c>
      <c r="O781" s="8" t="s">
        <v>57</v>
      </c>
      <c r="P781" s="8" t="s">
        <v>31</v>
      </c>
      <c r="Q781" s="8" t="s">
        <v>31</v>
      </c>
      <c r="R781" s="8" t="s">
        <v>31</v>
      </c>
      <c r="S781" s="8" t="s">
        <v>31</v>
      </c>
      <c r="T781" s="8" t="s">
        <v>31</v>
      </c>
      <c r="U781" s="8" t="s">
        <v>31</v>
      </c>
      <c r="V781" s="8" t="s">
        <v>31</v>
      </c>
      <c r="W781" s="8" t="str">
        <f>_xlfn.IFNA(VLOOKUP(A781,[1]Sheet1!$A$1:$B$101,1,FALSE),"na")</f>
        <v>na</v>
      </c>
      <c r="X781" s="8" t="s">
        <v>35</v>
      </c>
      <c r="Y781" s="9">
        <v>202</v>
      </c>
      <c r="Z781" s="9">
        <v>84.166663999999997</v>
      </c>
      <c r="AA781" s="9">
        <v>202</v>
      </c>
      <c r="AB781" s="9">
        <v>144.28572</v>
      </c>
    </row>
    <row r="782" spans="1:28" x14ac:dyDescent="0.25">
      <c r="A782" s="8" t="s">
        <v>1647</v>
      </c>
      <c r="B782" s="8" t="s">
        <v>1648</v>
      </c>
      <c r="C782" s="8" t="s">
        <v>30</v>
      </c>
      <c r="D782" s="10">
        <v>1.3</v>
      </c>
      <c r="E782" s="10">
        <v>1</v>
      </c>
      <c r="F782" s="10">
        <v>0.30000000999999998</v>
      </c>
      <c r="G782" s="10">
        <v>1</v>
      </c>
      <c r="H782" s="10">
        <v>0.30000000999999998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v>0.30000000999999998</v>
      </c>
      <c r="O782" s="8" t="s">
        <v>31</v>
      </c>
      <c r="P782" s="8" t="s">
        <v>31</v>
      </c>
      <c r="Q782" s="8" t="s">
        <v>31</v>
      </c>
      <c r="R782" s="8" t="s">
        <v>31</v>
      </c>
      <c r="S782" s="8" t="s">
        <v>31</v>
      </c>
      <c r="T782" s="8" t="s">
        <v>31</v>
      </c>
      <c r="U782" s="8" t="s">
        <v>31</v>
      </c>
      <c r="V782" s="8" t="s">
        <v>31</v>
      </c>
      <c r="W782" s="8" t="str">
        <f>_xlfn.IFNA(VLOOKUP(A782,[1]Sheet1!$A$1:$B$101,1,FALSE),"na")</f>
        <v>na</v>
      </c>
      <c r="X782" s="8" t="s">
        <v>35</v>
      </c>
      <c r="Y782" s="9">
        <v>171</v>
      </c>
      <c r="Z782" s="9">
        <v>131.53846999999999</v>
      </c>
      <c r="AA782" s="9">
        <v>171</v>
      </c>
      <c r="AB782" s="9">
        <v>171</v>
      </c>
    </row>
    <row r="783" spans="1:28" x14ac:dyDescent="0.25">
      <c r="A783" s="8" t="s">
        <v>1649</v>
      </c>
      <c r="B783" s="8" t="s">
        <v>1650</v>
      </c>
      <c r="C783" s="8" t="s">
        <v>62</v>
      </c>
      <c r="D783" s="10">
        <v>3.1333300999999998</v>
      </c>
      <c r="E783" s="10">
        <v>2</v>
      </c>
      <c r="F783" s="10">
        <v>1.1333299999999999</v>
      </c>
      <c r="G783" s="10">
        <v>2</v>
      </c>
      <c r="H783" s="10">
        <v>1.1333299999999999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0.13333</v>
      </c>
      <c r="O783" s="8" t="s">
        <v>31</v>
      </c>
      <c r="P783" s="8" t="s">
        <v>31</v>
      </c>
      <c r="Q783" s="8" t="s">
        <v>31</v>
      </c>
      <c r="R783" s="8" t="s">
        <v>31</v>
      </c>
      <c r="S783" s="8" t="s">
        <v>31</v>
      </c>
      <c r="T783" s="8" t="s">
        <v>57</v>
      </c>
      <c r="U783" s="8" t="s">
        <v>31</v>
      </c>
      <c r="V783" s="8" t="s">
        <v>31</v>
      </c>
      <c r="W783" s="8" t="str">
        <f>_xlfn.IFNA(VLOOKUP(A783,[1]Sheet1!$A$1:$B$101,1,FALSE),"na")</f>
        <v>na</v>
      </c>
      <c r="X783" s="8" t="s">
        <v>419</v>
      </c>
      <c r="Y783" s="9">
        <v>352</v>
      </c>
      <c r="Z783" s="9">
        <v>112.34054</v>
      </c>
      <c r="AA783" s="9">
        <v>176</v>
      </c>
      <c r="AB783" s="9">
        <v>310.58913999999999</v>
      </c>
    </row>
    <row r="784" spans="1:28" x14ac:dyDescent="0.25">
      <c r="A784" s="8" t="s">
        <v>1651</v>
      </c>
      <c r="B784" s="8" t="s">
        <v>1652</v>
      </c>
      <c r="C784" s="8" t="s">
        <v>62</v>
      </c>
      <c r="D784" s="10">
        <v>3</v>
      </c>
      <c r="E784" s="10">
        <v>2</v>
      </c>
      <c r="F784" s="10">
        <v>1</v>
      </c>
      <c r="G784" s="10">
        <v>2</v>
      </c>
      <c r="H784" s="10">
        <v>1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8" t="s">
        <v>57</v>
      </c>
      <c r="P784" s="8" t="s">
        <v>31</v>
      </c>
      <c r="Q784" s="8" t="s">
        <v>31</v>
      </c>
      <c r="R784" s="8" t="s">
        <v>31</v>
      </c>
      <c r="S784" s="8" t="s">
        <v>31</v>
      </c>
      <c r="T784" s="8" t="s">
        <v>31</v>
      </c>
      <c r="U784" s="8" t="s">
        <v>31</v>
      </c>
      <c r="V784" s="8" t="s">
        <v>31</v>
      </c>
      <c r="W784" s="8" t="str">
        <f>_xlfn.IFNA(VLOOKUP(A784,[1]Sheet1!$A$1:$B$101,1,FALSE),"na")</f>
        <v>na</v>
      </c>
      <c r="X784" s="8" t="s">
        <v>35</v>
      </c>
      <c r="Y784" s="9">
        <v>469</v>
      </c>
      <c r="Z784" s="9">
        <v>156.33332999999999</v>
      </c>
      <c r="AA784" s="9">
        <v>234.5</v>
      </c>
      <c r="AB784" s="9">
        <v>469</v>
      </c>
    </row>
    <row r="785" spans="1:28" x14ac:dyDescent="0.25">
      <c r="A785" s="8" t="s">
        <v>1653</v>
      </c>
      <c r="B785" s="8" t="s">
        <v>1654</v>
      </c>
      <c r="C785" s="8" t="s">
        <v>30</v>
      </c>
      <c r="D785" s="10">
        <v>2.2000000000000002</v>
      </c>
      <c r="E785" s="10">
        <v>1</v>
      </c>
      <c r="F785" s="10">
        <v>1.2</v>
      </c>
      <c r="G785" s="10">
        <v>1</v>
      </c>
      <c r="H785" s="10">
        <v>1.2</v>
      </c>
      <c r="I785" s="10">
        <v>0</v>
      </c>
      <c r="J785" s="10">
        <v>0</v>
      </c>
      <c r="K785" s="10">
        <v>0</v>
      </c>
      <c r="L785" s="10">
        <v>0.2</v>
      </c>
      <c r="M785" s="10">
        <v>0</v>
      </c>
      <c r="N785" s="10">
        <v>0.2</v>
      </c>
      <c r="O785" s="8" t="s">
        <v>31</v>
      </c>
      <c r="P785" s="8" t="s">
        <v>31</v>
      </c>
      <c r="Q785" s="8" t="s">
        <v>57</v>
      </c>
      <c r="R785" s="8" t="s">
        <v>31</v>
      </c>
      <c r="S785" s="8" t="s">
        <v>31</v>
      </c>
      <c r="T785" s="8" t="s">
        <v>31</v>
      </c>
      <c r="U785" s="8" t="s">
        <v>31</v>
      </c>
      <c r="V785" s="8" t="s">
        <v>31</v>
      </c>
      <c r="W785" s="8" t="str">
        <f>_xlfn.IFNA(VLOOKUP(A785,[1]Sheet1!$A$1:$B$101,1,FALSE),"na")</f>
        <v>na</v>
      </c>
      <c r="X785" s="8" t="s">
        <v>35</v>
      </c>
      <c r="Y785" s="9">
        <v>203</v>
      </c>
      <c r="Z785" s="9">
        <v>92.272728000000001</v>
      </c>
      <c r="AA785" s="9">
        <v>203</v>
      </c>
      <c r="AB785" s="9">
        <v>169.16666000000001</v>
      </c>
    </row>
    <row r="786" spans="1:28" x14ac:dyDescent="0.25">
      <c r="A786" s="8" t="s">
        <v>1655</v>
      </c>
      <c r="B786" s="8" t="s">
        <v>1656</v>
      </c>
      <c r="C786" s="8" t="s">
        <v>30</v>
      </c>
      <c r="D786" s="10">
        <v>2.2000000000000002</v>
      </c>
      <c r="E786" s="10">
        <v>1</v>
      </c>
      <c r="F786" s="10">
        <v>1.2</v>
      </c>
      <c r="G786" s="10">
        <v>1</v>
      </c>
      <c r="H786" s="10">
        <v>1.2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0.2</v>
      </c>
      <c r="O786" s="8" t="s">
        <v>57</v>
      </c>
      <c r="P786" s="8" t="s">
        <v>57</v>
      </c>
      <c r="Q786" s="8" t="s">
        <v>31</v>
      </c>
      <c r="R786" s="8" t="s">
        <v>31</v>
      </c>
      <c r="S786" s="8" t="s">
        <v>31</v>
      </c>
      <c r="T786" s="8" t="s">
        <v>31</v>
      </c>
      <c r="U786" s="8" t="s">
        <v>31</v>
      </c>
      <c r="V786" s="8" t="s">
        <v>31</v>
      </c>
      <c r="W786" s="8" t="str">
        <f>_xlfn.IFNA(VLOOKUP(A786,[1]Sheet1!$A$1:$B$101,1,FALSE),"na")</f>
        <v>na</v>
      </c>
      <c r="X786" s="8" t="s">
        <v>35</v>
      </c>
      <c r="Y786" s="9">
        <v>355</v>
      </c>
      <c r="Z786" s="9">
        <v>355</v>
      </c>
      <c r="AA786" s="9">
        <v>355</v>
      </c>
      <c r="AB786" s="9">
        <v>355</v>
      </c>
    </row>
    <row r="787" spans="1:28" x14ac:dyDescent="0.25">
      <c r="A787" s="8" t="s">
        <v>1657</v>
      </c>
      <c r="B787" s="8" t="s">
        <v>1658</v>
      </c>
      <c r="C787" s="8" t="s">
        <v>62</v>
      </c>
      <c r="D787" s="10">
        <v>1.1333299999999999</v>
      </c>
      <c r="E787" s="10">
        <v>0</v>
      </c>
      <c r="F787" s="10">
        <v>1.1333299999999999</v>
      </c>
      <c r="G787" s="10">
        <v>0</v>
      </c>
      <c r="H787" s="10">
        <v>1.1333299999999999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0.13333</v>
      </c>
      <c r="O787" s="8" t="s">
        <v>31</v>
      </c>
      <c r="P787" s="8" t="s">
        <v>31</v>
      </c>
      <c r="Q787" s="8" t="s">
        <v>31</v>
      </c>
      <c r="R787" s="8" t="s">
        <v>31</v>
      </c>
      <c r="S787" s="8" t="s">
        <v>31</v>
      </c>
      <c r="T787" s="8" t="s">
        <v>31</v>
      </c>
      <c r="U787" s="8" t="s">
        <v>31</v>
      </c>
      <c r="V787" s="8" t="s">
        <v>31</v>
      </c>
      <c r="W787" s="8" t="str">
        <f>_xlfn.IFNA(VLOOKUP(A787,[1]Sheet1!$A$1:$B$101,1,FALSE),"na")</f>
        <v>na</v>
      </c>
      <c r="X787" s="8" t="s">
        <v>35</v>
      </c>
      <c r="Y787" s="9">
        <v>190</v>
      </c>
      <c r="Z787" s="9">
        <v>167.64755</v>
      </c>
      <c r="AA787" s="9">
        <v>190</v>
      </c>
      <c r="AB787" s="9">
        <v>167.64755</v>
      </c>
    </row>
    <row r="788" spans="1:28" x14ac:dyDescent="0.25">
      <c r="A788" s="8" t="s">
        <v>1659</v>
      </c>
      <c r="B788" s="8" t="s">
        <v>1660</v>
      </c>
      <c r="C788" s="8" t="s">
        <v>67</v>
      </c>
      <c r="D788" s="10">
        <v>3.1500001000000002</v>
      </c>
      <c r="E788" s="10">
        <v>2</v>
      </c>
      <c r="F788" s="10">
        <v>1.1499999999999999</v>
      </c>
      <c r="G788" s="10">
        <v>2</v>
      </c>
      <c r="H788" s="10">
        <v>1.1499999999999999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0.15000000999999999</v>
      </c>
      <c r="O788" s="8" t="s">
        <v>57</v>
      </c>
      <c r="P788" s="8" t="s">
        <v>31</v>
      </c>
      <c r="Q788" s="8" t="s">
        <v>31</v>
      </c>
      <c r="R788" s="8" t="s">
        <v>31</v>
      </c>
      <c r="S788" s="8" t="s">
        <v>31</v>
      </c>
      <c r="T788" s="8" t="s">
        <v>31</v>
      </c>
      <c r="U788" s="8" t="s">
        <v>31</v>
      </c>
      <c r="V788" s="8" t="s">
        <v>31</v>
      </c>
      <c r="W788" s="8" t="str">
        <f>_xlfn.IFNA(VLOOKUP(A788,[1]Sheet1!$A$1:$B$101,1,FALSE),"na")</f>
        <v>na</v>
      </c>
      <c r="X788" s="8" t="s">
        <v>35</v>
      </c>
      <c r="Y788" s="9">
        <v>181</v>
      </c>
      <c r="Z788" s="9">
        <v>57.460315999999999</v>
      </c>
      <c r="AA788" s="9">
        <v>90.5</v>
      </c>
      <c r="AB788" s="9">
        <v>157.39131</v>
      </c>
    </row>
    <row r="789" spans="1:28" x14ac:dyDescent="0.25">
      <c r="A789" s="8" t="s">
        <v>1661</v>
      </c>
      <c r="B789" s="8" t="s">
        <v>1662</v>
      </c>
      <c r="C789" s="8" t="s">
        <v>62</v>
      </c>
      <c r="D789" s="10">
        <v>2</v>
      </c>
      <c r="E789" s="10">
        <v>2</v>
      </c>
      <c r="F789" s="10">
        <v>0</v>
      </c>
      <c r="G789" s="10">
        <v>2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8" t="s">
        <v>31</v>
      </c>
      <c r="P789" s="8" t="s">
        <v>31</v>
      </c>
      <c r="Q789" s="8" t="s">
        <v>31</v>
      </c>
      <c r="R789" s="8" t="s">
        <v>31</v>
      </c>
      <c r="S789" s="8" t="s">
        <v>31</v>
      </c>
      <c r="T789" s="8" t="s">
        <v>57</v>
      </c>
      <c r="U789" s="8" t="s">
        <v>57</v>
      </c>
      <c r="V789" s="8" t="s">
        <v>31</v>
      </c>
      <c r="W789" s="8" t="str">
        <f>_xlfn.IFNA(VLOOKUP(A789,[1]Sheet1!$A$1:$B$101,1,FALSE),"na")</f>
        <v>na</v>
      </c>
      <c r="X789" s="8" t="s">
        <v>35</v>
      </c>
      <c r="Y789" s="9">
        <v>226</v>
      </c>
      <c r="Z789" s="9">
        <v>113</v>
      </c>
      <c r="AA789" s="9">
        <v>113</v>
      </c>
      <c r="AB789" s="9">
        <v>226</v>
      </c>
    </row>
    <row r="790" spans="1:28" x14ac:dyDescent="0.25">
      <c r="A790" s="8" t="s">
        <v>1663</v>
      </c>
      <c r="B790" s="8" t="s">
        <v>1664</v>
      </c>
      <c r="C790" s="8" t="s">
        <v>62</v>
      </c>
      <c r="D790" s="10">
        <v>2.1333300999999998</v>
      </c>
      <c r="E790" s="10">
        <v>2</v>
      </c>
      <c r="F790" s="10">
        <v>0.13333</v>
      </c>
      <c r="G790" s="10">
        <v>2</v>
      </c>
      <c r="H790" s="10">
        <v>0.13333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0.13333</v>
      </c>
      <c r="O790" s="8" t="s">
        <v>31</v>
      </c>
      <c r="P790" s="8" t="s">
        <v>31</v>
      </c>
      <c r="Q790" s="8" t="s">
        <v>31</v>
      </c>
      <c r="R790" s="8" t="s">
        <v>31</v>
      </c>
      <c r="S790" s="8" t="s">
        <v>31</v>
      </c>
      <c r="T790" s="8" t="s">
        <v>31</v>
      </c>
      <c r="U790" s="8" t="s">
        <v>31</v>
      </c>
      <c r="V790" s="8" t="s">
        <v>31</v>
      </c>
      <c r="W790" s="8" t="str">
        <f>_xlfn.IFNA(VLOOKUP(A790,[1]Sheet1!$A$1:$B$101,1,FALSE),"na")</f>
        <v>na</v>
      </c>
      <c r="X790" s="8" t="s">
        <v>35</v>
      </c>
      <c r="Y790" s="9">
        <v>136</v>
      </c>
      <c r="Z790" s="9">
        <v>63.750095000000002</v>
      </c>
      <c r="AA790" s="9">
        <v>68</v>
      </c>
      <c r="AB790" s="9">
        <v>136</v>
      </c>
    </row>
    <row r="791" spans="1:28" x14ac:dyDescent="0.25">
      <c r="A791" s="8" t="s">
        <v>1665</v>
      </c>
      <c r="B791" s="8" t="s">
        <v>1666</v>
      </c>
      <c r="C791" s="8" t="s">
        <v>67</v>
      </c>
      <c r="D791" s="10">
        <v>2.2999999999999998</v>
      </c>
      <c r="E791" s="10">
        <v>1</v>
      </c>
      <c r="F791" s="10">
        <v>1.3</v>
      </c>
      <c r="G791" s="10">
        <v>1</v>
      </c>
      <c r="H791" s="10">
        <v>1.3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0.30000000999999998</v>
      </c>
      <c r="O791" s="8" t="s">
        <v>57</v>
      </c>
      <c r="P791" s="8" t="s">
        <v>57</v>
      </c>
      <c r="Q791" s="8" t="s">
        <v>31</v>
      </c>
      <c r="R791" s="8" t="s">
        <v>31</v>
      </c>
      <c r="S791" s="8" t="s">
        <v>31</v>
      </c>
      <c r="T791" s="8" t="s">
        <v>31</v>
      </c>
      <c r="U791" s="8" t="s">
        <v>31</v>
      </c>
      <c r="V791" s="8" t="s">
        <v>31</v>
      </c>
      <c r="W791" s="8" t="str">
        <f>_xlfn.IFNA(VLOOKUP(A791,[1]Sheet1!$A$1:$B$101,1,FALSE),"na")</f>
        <v>na</v>
      </c>
      <c r="X791" s="8" t="s">
        <v>35</v>
      </c>
      <c r="Y791" s="9">
        <v>218</v>
      </c>
      <c r="Z791" s="9">
        <v>94.782607999999996</v>
      </c>
      <c r="AA791" s="9">
        <v>218</v>
      </c>
      <c r="AB791" s="9">
        <v>167.69230999999999</v>
      </c>
    </row>
    <row r="792" spans="1:28" x14ac:dyDescent="0.25">
      <c r="A792" s="8" t="s">
        <v>1667</v>
      </c>
      <c r="B792" s="8" t="s">
        <v>1668</v>
      </c>
      <c r="C792" s="8" t="s">
        <v>67</v>
      </c>
      <c r="D792" s="10">
        <v>3.4000001000000002</v>
      </c>
      <c r="E792" s="10">
        <v>2</v>
      </c>
      <c r="F792" s="10">
        <v>1.4</v>
      </c>
      <c r="G792" s="10">
        <v>2</v>
      </c>
      <c r="H792" s="10">
        <v>1.4</v>
      </c>
      <c r="I792" s="10">
        <v>0</v>
      </c>
      <c r="J792" s="10">
        <v>0</v>
      </c>
      <c r="K792" s="10">
        <v>0</v>
      </c>
      <c r="L792" s="10">
        <v>0.40000001000000002</v>
      </c>
      <c r="M792" s="10">
        <v>0</v>
      </c>
      <c r="N792" s="10">
        <v>0.40000001000000002</v>
      </c>
      <c r="O792" s="8" t="s">
        <v>31</v>
      </c>
      <c r="P792" s="8" t="s">
        <v>31</v>
      </c>
      <c r="Q792" s="8" t="s">
        <v>31</v>
      </c>
      <c r="R792" s="8" t="s">
        <v>31</v>
      </c>
      <c r="S792" s="8" t="s">
        <v>31</v>
      </c>
      <c r="T792" s="8" t="s">
        <v>31</v>
      </c>
      <c r="U792" s="8" t="s">
        <v>31</v>
      </c>
      <c r="V792" s="8" t="s">
        <v>31</v>
      </c>
      <c r="W792" s="8" t="str">
        <f>_xlfn.IFNA(VLOOKUP(A792,[1]Sheet1!$A$1:$B$101,1,FALSE),"na")</f>
        <v>na</v>
      </c>
      <c r="X792" s="8" t="s">
        <v>35</v>
      </c>
      <c r="Y792" s="9">
        <v>250</v>
      </c>
      <c r="Z792" s="9">
        <v>73.529410999999996</v>
      </c>
      <c r="AA792" s="9">
        <v>125</v>
      </c>
      <c r="AB792" s="9">
        <v>178.57142999999999</v>
      </c>
    </row>
    <row r="793" spans="1:28" x14ac:dyDescent="0.25">
      <c r="A793" s="8" t="s">
        <v>1669</v>
      </c>
      <c r="B793" s="8" t="s">
        <v>1670</v>
      </c>
      <c r="C793" s="8" t="s">
        <v>30</v>
      </c>
      <c r="D793" s="10">
        <v>3.5999998999999998</v>
      </c>
      <c r="E793" s="10">
        <v>2</v>
      </c>
      <c r="F793" s="10">
        <v>1.6</v>
      </c>
      <c r="G793" s="10">
        <v>2</v>
      </c>
      <c r="H793" s="10">
        <v>1.6</v>
      </c>
      <c r="I793" s="10">
        <v>0</v>
      </c>
      <c r="J793" s="10">
        <v>0</v>
      </c>
      <c r="K793" s="10">
        <v>0</v>
      </c>
      <c r="L793" s="10">
        <v>0.2</v>
      </c>
      <c r="M793" s="10">
        <v>0</v>
      </c>
      <c r="N793" s="10">
        <v>0.60000001999999997</v>
      </c>
      <c r="O793" s="8" t="s">
        <v>31</v>
      </c>
      <c r="P793" s="8" t="s">
        <v>31</v>
      </c>
      <c r="Q793" s="8" t="s">
        <v>57</v>
      </c>
      <c r="R793" s="8" t="s">
        <v>31</v>
      </c>
      <c r="S793" s="8" t="s">
        <v>31</v>
      </c>
      <c r="T793" s="8" t="s">
        <v>31</v>
      </c>
      <c r="U793" s="8" t="s">
        <v>31</v>
      </c>
      <c r="V793" s="8" t="s">
        <v>31</v>
      </c>
      <c r="W793" s="8" t="str">
        <f>_xlfn.IFNA(VLOOKUP(A793,[1]Sheet1!$A$1:$B$101,1,FALSE),"na")</f>
        <v>na</v>
      </c>
      <c r="X793" s="8" t="s">
        <v>35</v>
      </c>
      <c r="Y793" s="9">
        <v>610</v>
      </c>
      <c r="Z793" s="9">
        <v>169.44443999999999</v>
      </c>
      <c r="AA793" s="9">
        <v>305</v>
      </c>
      <c r="AB793" s="9">
        <v>381.25</v>
      </c>
    </row>
    <row r="794" spans="1:28" x14ac:dyDescent="0.25">
      <c r="A794" s="8" t="s">
        <v>1671</v>
      </c>
      <c r="B794" s="8" t="s">
        <v>1672</v>
      </c>
      <c r="C794" s="8" t="s">
        <v>30</v>
      </c>
      <c r="D794" s="10">
        <v>1.4</v>
      </c>
      <c r="E794" s="10">
        <v>1</v>
      </c>
      <c r="F794" s="10">
        <v>0.40000001000000002</v>
      </c>
      <c r="G794" s="10">
        <v>1</v>
      </c>
      <c r="H794" s="10">
        <v>0.40000001000000002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0">
        <v>0.40000001000000002</v>
      </c>
      <c r="O794" s="8" t="s">
        <v>31</v>
      </c>
      <c r="P794" s="8" t="s">
        <v>31</v>
      </c>
      <c r="Q794" s="8" t="s">
        <v>31</v>
      </c>
      <c r="R794" s="8" t="s">
        <v>31</v>
      </c>
      <c r="S794" s="8" t="s">
        <v>31</v>
      </c>
      <c r="T794" s="8" t="s">
        <v>31</v>
      </c>
      <c r="U794" s="8" t="s">
        <v>31</v>
      </c>
      <c r="V794" s="8" t="s">
        <v>31</v>
      </c>
      <c r="W794" s="8" t="str">
        <f>_xlfn.IFNA(VLOOKUP(A794,[1]Sheet1!$A$1:$B$101,1,FALSE),"na")</f>
        <v>na</v>
      </c>
      <c r="X794" s="8"/>
      <c r="Y794" s="9">
        <v>223</v>
      </c>
      <c r="Z794" s="9">
        <v>159.28572</v>
      </c>
      <c r="AA794" s="9">
        <v>223</v>
      </c>
      <c r="AB794" s="9">
        <v>223</v>
      </c>
    </row>
    <row r="795" spans="1:28" x14ac:dyDescent="0.25">
      <c r="A795" s="8" t="s">
        <v>1673</v>
      </c>
      <c r="B795" s="8" t="s">
        <v>1674</v>
      </c>
      <c r="C795" s="8" t="s">
        <v>67</v>
      </c>
      <c r="D795" s="10">
        <v>2.0999998999999998</v>
      </c>
      <c r="E795" s="10">
        <v>1</v>
      </c>
      <c r="F795" s="10">
        <v>1.1000000000000001</v>
      </c>
      <c r="G795" s="10">
        <v>1</v>
      </c>
      <c r="H795" s="10">
        <v>1.1000000000000001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0.1</v>
      </c>
      <c r="O795" s="8" t="s">
        <v>57</v>
      </c>
      <c r="P795" s="8" t="s">
        <v>31</v>
      </c>
      <c r="Q795" s="8" t="s">
        <v>31</v>
      </c>
      <c r="R795" s="8" t="s">
        <v>31</v>
      </c>
      <c r="S795" s="8" t="s">
        <v>31</v>
      </c>
      <c r="T795" s="8" t="s">
        <v>31</v>
      </c>
      <c r="U795" s="8" t="s">
        <v>31</v>
      </c>
      <c r="V795" s="8" t="s">
        <v>31</v>
      </c>
      <c r="W795" s="8" t="str">
        <f>_xlfn.IFNA(VLOOKUP(A795,[1]Sheet1!$A$1:$B$101,1,FALSE),"na")</f>
        <v>na</v>
      </c>
      <c r="X795" s="8" t="s">
        <v>35</v>
      </c>
      <c r="Y795" s="9">
        <v>279</v>
      </c>
      <c r="Z795" s="9">
        <v>132.85714999999999</v>
      </c>
      <c r="AA795" s="9">
        <v>279</v>
      </c>
      <c r="AB795" s="9">
        <v>253.63634999999999</v>
      </c>
    </row>
    <row r="796" spans="1:28" x14ac:dyDescent="0.25">
      <c r="A796" s="8" t="s">
        <v>1675</v>
      </c>
      <c r="B796" s="8" t="s">
        <v>1676</v>
      </c>
      <c r="C796" s="8" t="s">
        <v>30</v>
      </c>
      <c r="D796" s="10">
        <v>1.6</v>
      </c>
      <c r="E796" s="10">
        <v>1</v>
      </c>
      <c r="F796" s="10">
        <v>0.60000001999999997</v>
      </c>
      <c r="G796" s="10">
        <v>1</v>
      </c>
      <c r="H796" s="10">
        <v>0.60000001999999997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0.60000001999999997</v>
      </c>
      <c r="O796" s="8" t="s">
        <v>31</v>
      </c>
      <c r="P796" s="8" t="s">
        <v>31</v>
      </c>
      <c r="Q796" s="8" t="s">
        <v>31</v>
      </c>
      <c r="R796" s="8" t="s">
        <v>31</v>
      </c>
      <c r="S796" s="8" t="s">
        <v>31</v>
      </c>
      <c r="T796" s="8" t="s">
        <v>31</v>
      </c>
      <c r="U796" s="8" t="s">
        <v>31</v>
      </c>
      <c r="V796" s="8" t="s">
        <v>31</v>
      </c>
      <c r="W796" s="8" t="str">
        <f>_xlfn.IFNA(VLOOKUP(A796,[1]Sheet1!$A$1:$B$101,1,FALSE),"na")</f>
        <v>na</v>
      </c>
      <c r="X796" s="8" t="s">
        <v>35</v>
      </c>
      <c r="Y796" s="9">
        <v>149</v>
      </c>
      <c r="Z796" s="9">
        <v>93.125</v>
      </c>
      <c r="AA796" s="9">
        <v>149</v>
      </c>
      <c r="AB796" s="9">
        <v>149</v>
      </c>
    </row>
    <row r="797" spans="1:28" x14ac:dyDescent="0.25">
      <c r="A797" s="8" t="s">
        <v>1677</v>
      </c>
      <c r="B797" s="8" t="s">
        <v>1678</v>
      </c>
      <c r="C797" s="8" t="s">
        <v>30</v>
      </c>
      <c r="D797" s="10">
        <v>2.4000001000000002</v>
      </c>
      <c r="E797" s="10">
        <v>1</v>
      </c>
      <c r="F797" s="10">
        <v>1.4</v>
      </c>
      <c r="G797" s="10">
        <v>1</v>
      </c>
      <c r="H797" s="10">
        <v>1.4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0.40000001000000002</v>
      </c>
      <c r="O797" s="8" t="s">
        <v>31</v>
      </c>
      <c r="P797" s="8" t="s">
        <v>31</v>
      </c>
      <c r="Q797" s="8" t="s">
        <v>57</v>
      </c>
      <c r="R797" s="8" t="s">
        <v>31</v>
      </c>
      <c r="S797" s="8" t="s">
        <v>31</v>
      </c>
      <c r="T797" s="8" t="s">
        <v>31</v>
      </c>
      <c r="U797" s="8" t="s">
        <v>31</v>
      </c>
      <c r="V797" s="8" t="s">
        <v>31</v>
      </c>
      <c r="W797" s="8" t="str">
        <f>_xlfn.IFNA(VLOOKUP(A797,[1]Sheet1!$A$1:$B$101,1,FALSE),"na")</f>
        <v>na</v>
      </c>
      <c r="X797" s="8" t="s">
        <v>35</v>
      </c>
      <c r="Y797" s="9">
        <v>261</v>
      </c>
      <c r="Z797" s="9">
        <v>108.74999</v>
      </c>
      <c r="AA797" s="9">
        <v>261</v>
      </c>
      <c r="AB797" s="9">
        <v>186.42857000000001</v>
      </c>
    </row>
    <row r="798" spans="1:28" x14ac:dyDescent="0.25">
      <c r="A798" s="8" t="s">
        <v>1679</v>
      </c>
      <c r="B798" s="8" t="s">
        <v>1680</v>
      </c>
      <c r="C798" s="8" t="s">
        <v>62</v>
      </c>
      <c r="D798" s="10">
        <v>4.0999999000000003</v>
      </c>
      <c r="E798" s="10">
        <v>3</v>
      </c>
      <c r="F798" s="10">
        <v>1.1000000000000001</v>
      </c>
      <c r="G798" s="10">
        <v>3</v>
      </c>
      <c r="H798" s="10">
        <v>1.1000000000000001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0.1</v>
      </c>
      <c r="O798" s="8" t="s">
        <v>31</v>
      </c>
      <c r="P798" s="8" t="s">
        <v>31</v>
      </c>
      <c r="Q798" s="8" t="s">
        <v>31</v>
      </c>
      <c r="R798" s="8" t="s">
        <v>57</v>
      </c>
      <c r="S798" s="8" t="s">
        <v>31</v>
      </c>
      <c r="T798" s="8" t="s">
        <v>31</v>
      </c>
      <c r="U798" s="8" t="s">
        <v>57</v>
      </c>
      <c r="V798" s="8" t="s">
        <v>31</v>
      </c>
      <c r="W798" s="8" t="str">
        <f>_xlfn.IFNA(VLOOKUP(A798,[1]Sheet1!$A$1:$B$101,1,FALSE),"na")</f>
        <v>na</v>
      </c>
      <c r="X798" s="8" t="s">
        <v>35</v>
      </c>
      <c r="Y798" s="9">
        <v>530</v>
      </c>
      <c r="Z798" s="9">
        <v>129.26830000000001</v>
      </c>
      <c r="AA798" s="9">
        <v>176.66667000000001</v>
      </c>
      <c r="AB798" s="9">
        <v>481.81817999999998</v>
      </c>
    </row>
    <row r="799" spans="1:28" x14ac:dyDescent="0.25">
      <c r="A799" s="8" t="s">
        <v>1681</v>
      </c>
      <c r="B799" s="8" t="s">
        <v>1682</v>
      </c>
      <c r="C799" s="8" t="s">
        <v>38</v>
      </c>
      <c r="D799" s="10">
        <v>1.6</v>
      </c>
      <c r="E799" s="10">
        <v>1</v>
      </c>
      <c r="F799" s="10">
        <v>0.60000001999999997</v>
      </c>
      <c r="G799" s="10">
        <v>1</v>
      </c>
      <c r="H799" s="10">
        <v>0.60000001999999997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0.60000001999999997</v>
      </c>
      <c r="O799" s="8" t="s">
        <v>31</v>
      </c>
      <c r="P799" s="8" t="s">
        <v>31</v>
      </c>
      <c r="Q799" s="8" t="s">
        <v>31</v>
      </c>
      <c r="R799" s="8" t="s">
        <v>31</v>
      </c>
      <c r="S799" s="8" t="s">
        <v>31</v>
      </c>
      <c r="T799" s="8" t="s">
        <v>31</v>
      </c>
      <c r="U799" s="8" t="s">
        <v>31</v>
      </c>
      <c r="V799" s="8" t="s">
        <v>31</v>
      </c>
      <c r="W799" s="8" t="str">
        <f>_xlfn.IFNA(VLOOKUP(A799,[1]Sheet1!$A$1:$B$101,1,FALSE),"na")</f>
        <v>na</v>
      </c>
      <c r="X799" s="8" t="s">
        <v>35</v>
      </c>
      <c r="Y799" s="9">
        <v>365</v>
      </c>
      <c r="Z799" s="9">
        <v>228.125</v>
      </c>
      <c r="AA799" s="9">
        <v>365</v>
      </c>
      <c r="AB799" s="9">
        <v>365</v>
      </c>
    </row>
    <row r="800" spans="1:28" x14ac:dyDescent="0.25">
      <c r="A800" s="8" t="s">
        <v>1683</v>
      </c>
      <c r="B800" s="8" t="s">
        <v>1684</v>
      </c>
      <c r="C800" s="8" t="s">
        <v>30</v>
      </c>
      <c r="D800" s="10">
        <v>2.5999998999999998</v>
      </c>
      <c r="E800" s="10">
        <v>2</v>
      </c>
      <c r="F800" s="10">
        <v>0.60000001999999997</v>
      </c>
      <c r="G800" s="10">
        <v>2</v>
      </c>
      <c r="H800" s="10">
        <v>0.60000001999999997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0.60000001999999997</v>
      </c>
      <c r="O800" s="8" t="s">
        <v>31</v>
      </c>
      <c r="P800" s="8" t="s">
        <v>57</v>
      </c>
      <c r="Q800" s="8" t="s">
        <v>31</v>
      </c>
      <c r="R800" s="8" t="s">
        <v>31</v>
      </c>
      <c r="S800" s="8" t="s">
        <v>31</v>
      </c>
      <c r="T800" s="8" t="s">
        <v>31</v>
      </c>
      <c r="U800" s="8" t="s">
        <v>31</v>
      </c>
      <c r="V800" s="8" t="s">
        <v>31</v>
      </c>
      <c r="W800" s="8" t="str">
        <f>_xlfn.IFNA(VLOOKUP(A800,[1]Sheet1!$A$1:$B$101,1,FALSE),"na")</f>
        <v>na</v>
      </c>
      <c r="X800" s="8" t="s">
        <v>1334</v>
      </c>
      <c r="Y800" s="9">
        <v>279</v>
      </c>
      <c r="Z800" s="9">
        <v>107.30768999999999</v>
      </c>
      <c r="AA800" s="9">
        <v>139.5</v>
      </c>
      <c r="AB800" s="9">
        <v>279</v>
      </c>
    </row>
    <row r="801" spans="1:28" x14ac:dyDescent="0.25">
      <c r="A801" s="8" t="s">
        <v>1685</v>
      </c>
      <c r="B801" s="8" t="s">
        <v>1686</v>
      </c>
      <c r="C801" s="8" t="s">
        <v>38</v>
      </c>
      <c r="D801" s="10">
        <v>2.5999998999999998</v>
      </c>
      <c r="E801" s="10">
        <v>2</v>
      </c>
      <c r="F801" s="10">
        <v>0.60000001999999997</v>
      </c>
      <c r="G801" s="10">
        <v>2</v>
      </c>
      <c r="H801" s="10">
        <v>0.60000001999999997</v>
      </c>
      <c r="I801" s="10">
        <v>0</v>
      </c>
      <c r="J801" s="10">
        <v>0</v>
      </c>
      <c r="K801" s="10">
        <v>0</v>
      </c>
      <c r="L801" s="10">
        <v>0.60000001999999997</v>
      </c>
      <c r="M801" s="10">
        <v>0</v>
      </c>
      <c r="N801" s="10">
        <v>0.60000001999999997</v>
      </c>
      <c r="O801" s="8" t="s">
        <v>31</v>
      </c>
      <c r="P801" s="8" t="s">
        <v>31</v>
      </c>
      <c r="Q801" s="8" t="s">
        <v>31</v>
      </c>
      <c r="R801" s="8" t="s">
        <v>31</v>
      </c>
      <c r="S801" s="8" t="s">
        <v>31</v>
      </c>
      <c r="T801" s="8" t="s">
        <v>31</v>
      </c>
      <c r="U801" s="8" t="s">
        <v>31</v>
      </c>
      <c r="V801" s="8" t="s">
        <v>31</v>
      </c>
      <c r="W801" s="8" t="str">
        <f>_xlfn.IFNA(VLOOKUP(A801,[1]Sheet1!$A$1:$B$101,1,FALSE),"na")</f>
        <v>na</v>
      </c>
      <c r="X801" s="8" t="s">
        <v>35</v>
      </c>
      <c r="Y801" s="9">
        <v>574</v>
      </c>
      <c r="Z801" s="9">
        <v>220.76924</v>
      </c>
      <c r="AA801" s="9">
        <v>287</v>
      </c>
      <c r="AB801" s="9">
        <v>574</v>
      </c>
    </row>
    <row r="802" spans="1:28" x14ac:dyDescent="0.25">
      <c r="A802" s="8" t="s">
        <v>1687</v>
      </c>
      <c r="B802" s="8" t="s">
        <v>1688</v>
      </c>
      <c r="C802" s="8" t="s">
        <v>38</v>
      </c>
      <c r="D802" s="10">
        <v>4.8000002000000004</v>
      </c>
      <c r="E802" s="10">
        <v>3</v>
      </c>
      <c r="F802" s="10">
        <v>1.8</v>
      </c>
      <c r="G802" s="10">
        <v>3</v>
      </c>
      <c r="H802" s="10">
        <v>1.8</v>
      </c>
      <c r="I802" s="10">
        <v>0</v>
      </c>
      <c r="J802" s="10">
        <v>0</v>
      </c>
      <c r="K802" s="10">
        <v>1</v>
      </c>
      <c r="L802" s="10">
        <v>0.80000000999999998</v>
      </c>
      <c r="M802" s="10">
        <v>0</v>
      </c>
      <c r="N802" s="10">
        <v>0.80000000999999998</v>
      </c>
      <c r="O802" s="8" t="s">
        <v>31</v>
      </c>
      <c r="P802" s="8" t="s">
        <v>31</v>
      </c>
      <c r="Q802" s="8" t="s">
        <v>31</v>
      </c>
      <c r="R802" s="8" t="s">
        <v>31</v>
      </c>
      <c r="S802" s="8" t="s">
        <v>31</v>
      </c>
      <c r="T802" s="8" t="s">
        <v>31</v>
      </c>
      <c r="U802" s="8" t="s">
        <v>31</v>
      </c>
      <c r="V802" s="8" t="s">
        <v>31</v>
      </c>
      <c r="W802" s="8" t="str">
        <f>_xlfn.IFNA(VLOOKUP(A802,[1]Sheet1!$A$1:$B$101,1,FALSE),"na")</f>
        <v>na</v>
      </c>
      <c r="X802" s="8" t="s">
        <v>35</v>
      </c>
      <c r="Y802" s="9">
        <v>908</v>
      </c>
      <c r="Z802" s="9">
        <v>189.16666000000001</v>
      </c>
      <c r="AA802" s="9">
        <v>302.66665999999998</v>
      </c>
      <c r="AB802" s="9">
        <v>504.44445999999999</v>
      </c>
    </row>
    <row r="803" spans="1:28" x14ac:dyDescent="0.25">
      <c r="A803" s="8" t="s">
        <v>1689</v>
      </c>
      <c r="B803" s="8" t="s">
        <v>1690</v>
      </c>
      <c r="C803" s="8" t="s">
        <v>30</v>
      </c>
      <c r="D803" s="10">
        <v>1.2</v>
      </c>
      <c r="E803" s="10">
        <v>0</v>
      </c>
      <c r="F803" s="10">
        <v>1.2</v>
      </c>
      <c r="G803" s="10">
        <v>0</v>
      </c>
      <c r="H803" s="10">
        <v>1.2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0.2</v>
      </c>
      <c r="O803" s="8" t="s">
        <v>57</v>
      </c>
      <c r="P803" s="8" t="s">
        <v>31</v>
      </c>
      <c r="Q803" s="8" t="s">
        <v>31</v>
      </c>
      <c r="R803" s="8" t="s">
        <v>31</v>
      </c>
      <c r="S803" s="8" t="s">
        <v>31</v>
      </c>
      <c r="T803" s="8" t="s">
        <v>31</v>
      </c>
      <c r="U803" s="8" t="s">
        <v>31</v>
      </c>
      <c r="V803" s="8" t="s">
        <v>31</v>
      </c>
      <c r="W803" s="8" t="str">
        <f>_xlfn.IFNA(VLOOKUP(A803,[1]Sheet1!$A$1:$B$101,1,FALSE),"na")</f>
        <v>na</v>
      </c>
      <c r="X803" s="8" t="s">
        <v>35</v>
      </c>
      <c r="Y803" s="9">
        <v>166</v>
      </c>
      <c r="Z803" s="9">
        <v>138.33332999999999</v>
      </c>
      <c r="AA803" s="9">
        <v>166</v>
      </c>
      <c r="AB803" s="9">
        <v>138.33332999999999</v>
      </c>
    </row>
    <row r="804" spans="1:28" x14ac:dyDescent="0.25">
      <c r="A804" s="8" t="s">
        <v>1691</v>
      </c>
      <c r="B804" s="8" t="s">
        <v>1692</v>
      </c>
      <c r="C804" s="8" t="s">
        <v>30</v>
      </c>
      <c r="D804" s="10">
        <v>2.4000001000000002</v>
      </c>
      <c r="E804" s="10">
        <v>1</v>
      </c>
      <c r="F804" s="10">
        <v>1.4</v>
      </c>
      <c r="G804" s="10">
        <v>1</v>
      </c>
      <c r="H804" s="10">
        <v>1.4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0.40000001000000002</v>
      </c>
      <c r="O804" s="8" t="s">
        <v>57</v>
      </c>
      <c r="P804" s="8" t="s">
        <v>31</v>
      </c>
      <c r="Q804" s="8" t="s">
        <v>31</v>
      </c>
      <c r="R804" s="8" t="s">
        <v>31</v>
      </c>
      <c r="S804" s="8" t="s">
        <v>31</v>
      </c>
      <c r="T804" s="8" t="s">
        <v>31</v>
      </c>
      <c r="U804" s="8" t="s">
        <v>31</v>
      </c>
      <c r="V804" s="8" t="s">
        <v>31</v>
      </c>
      <c r="W804" s="8" t="str">
        <f>_xlfn.IFNA(VLOOKUP(A804,[1]Sheet1!$A$1:$B$101,1,FALSE),"na")</f>
        <v>na</v>
      </c>
      <c r="X804" s="8" t="s">
        <v>35</v>
      </c>
      <c r="Y804" s="9">
        <v>160</v>
      </c>
      <c r="Z804" s="9">
        <v>66.666663999999997</v>
      </c>
      <c r="AA804" s="9">
        <v>160</v>
      </c>
      <c r="AB804" s="9">
        <v>114.28570999999999</v>
      </c>
    </row>
    <row r="805" spans="1:28" x14ac:dyDescent="0.25">
      <c r="A805" s="8" t="s">
        <v>1693</v>
      </c>
      <c r="B805" s="8" t="s">
        <v>1694</v>
      </c>
      <c r="C805" s="8" t="s">
        <v>30</v>
      </c>
      <c r="D805" s="10">
        <v>1.6</v>
      </c>
      <c r="E805" s="10">
        <v>1</v>
      </c>
      <c r="F805" s="10">
        <v>0.60000001999999997</v>
      </c>
      <c r="G805" s="10">
        <v>1</v>
      </c>
      <c r="H805" s="10">
        <v>0.60000001999999997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0.60000001999999997</v>
      </c>
      <c r="O805" s="8" t="s">
        <v>31</v>
      </c>
      <c r="P805" s="8" t="s">
        <v>31</v>
      </c>
      <c r="Q805" s="8" t="s">
        <v>31</v>
      </c>
      <c r="R805" s="8" t="s">
        <v>31</v>
      </c>
      <c r="S805" s="8" t="s">
        <v>31</v>
      </c>
      <c r="T805" s="8" t="s">
        <v>31</v>
      </c>
      <c r="U805" s="8" t="s">
        <v>31</v>
      </c>
      <c r="V805" s="8" t="s">
        <v>31</v>
      </c>
      <c r="W805" s="8" t="str">
        <f>_xlfn.IFNA(VLOOKUP(A805,[1]Sheet1!$A$1:$B$101,1,FALSE),"na")</f>
        <v>na</v>
      </c>
      <c r="X805" s="8" t="s">
        <v>35</v>
      </c>
      <c r="Y805" s="9">
        <v>380</v>
      </c>
      <c r="Z805" s="9">
        <v>237.5</v>
      </c>
      <c r="AA805" s="9">
        <v>380</v>
      </c>
      <c r="AB805" s="9">
        <v>380</v>
      </c>
    </row>
    <row r="806" spans="1:28" x14ac:dyDescent="0.25">
      <c r="A806" s="8" t="s">
        <v>1695</v>
      </c>
      <c r="B806" s="8" t="s">
        <v>1696</v>
      </c>
      <c r="C806" s="8" t="s">
        <v>67</v>
      </c>
      <c r="D806" s="10">
        <v>3.2</v>
      </c>
      <c r="E806" s="10">
        <v>2</v>
      </c>
      <c r="F806" s="10">
        <v>1.2</v>
      </c>
      <c r="G806" s="10">
        <v>2</v>
      </c>
      <c r="H806" s="10">
        <v>1.2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0">
        <v>0.2</v>
      </c>
      <c r="O806" s="8" t="s">
        <v>57</v>
      </c>
      <c r="P806" s="8" t="s">
        <v>31</v>
      </c>
      <c r="Q806" s="8" t="s">
        <v>31</v>
      </c>
      <c r="R806" s="8" t="s">
        <v>31</v>
      </c>
      <c r="S806" s="8" t="s">
        <v>31</v>
      </c>
      <c r="T806" s="8" t="s">
        <v>31</v>
      </c>
      <c r="U806" s="8" t="s">
        <v>31</v>
      </c>
      <c r="V806" s="8" t="s">
        <v>31</v>
      </c>
      <c r="W806" s="8" t="str">
        <f>_xlfn.IFNA(VLOOKUP(A806,[1]Sheet1!$A$1:$B$101,1,FALSE),"na")</f>
        <v>na</v>
      </c>
      <c r="X806" s="8" t="s">
        <v>35</v>
      </c>
      <c r="Y806" s="9">
        <v>361</v>
      </c>
      <c r="Z806" s="9">
        <v>112.8125</v>
      </c>
      <c r="AA806" s="9">
        <v>180.5</v>
      </c>
      <c r="AB806" s="9">
        <v>300.83330999999998</v>
      </c>
    </row>
    <row r="807" spans="1:28" x14ac:dyDescent="0.25">
      <c r="A807" s="8" t="s">
        <v>1697</v>
      </c>
      <c r="B807" s="8" t="s">
        <v>1698</v>
      </c>
      <c r="C807" s="8" t="s">
        <v>30</v>
      </c>
      <c r="D807" s="10">
        <v>2</v>
      </c>
      <c r="E807" s="10">
        <v>1</v>
      </c>
      <c r="F807" s="10">
        <v>1</v>
      </c>
      <c r="G807" s="10">
        <v>1</v>
      </c>
      <c r="H807" s="10">
        <v>1</v>
      </c>
      <c r="I807" s="10">
        <v>0</v>
      </c>
      <c r="J807" s="10">
        <v>0</v>
      </c>
      <c r="K807" s="10">
        <v>0</v>
      </c>
      <c r="L807" s="10">
        <v>1</v>
      </c>
      <c r="M807" s="10">
        <v>0</v>
      </c>
      <c r="N807" s="10">
        <v>1</v>
      </c>
      <c r="O807" s="8" t="s">
        <v>31</v>
      </c>
      <c r="P807" s="8" t="s">
        <v>31</v>
      </c>
      <c r="Q807" s="8" t="s">
        <v>31</v>
      </c>
      <c r="R807" s="8" t="s">
        <v>31</v>
      </c>
      <c r="S807" s="8" t="s">
        <v>31</v>
      </c>
      <c r="T807" s="8" t="s">
        <v>31</v>
      </c>
      <c r="U807" s="8" t="s">
        <v>31</v>
      </c>
      <c r="V807" s="8" t="s">
        <v>31</v>
      </c>
      <c r="W807" s="8" t="str">
        <f>_xlfn.IFNA(VLOOKUP(A807,[1]Sheet1!$A$1:$B$101,1,FALSE),"na")</f>
        <v>na</v>
      </c>
      <c r="X807" s="8" t="s">
        <v>35</v>
      </c>
      <c r="Y807" s="9">
        <v>674</v>
      </c>
      <c r="Z807" s="9">
        <v>337</v>
      </c>
      <c r="AA807" s="9">
        <v>674</v>
      </c>
      <c r="AB807" s="9">
        <v>674</v>
      </c>
    </row>
    <row r="808" spans="1:28" x14ac:dyDescent="0.25">
      <c r="A808" s="8" t="s">
        <v>1699</v>
      </c>
      <c r="B808" s="8" t="s">
        <v>1700</v>
      </c>
      <c r="C808" s="8" t="s">
        <v>30</v>
      </c>
      <c r="D808" s="10">
        <v>1.6</v>
      </c>
      <c r="E808" s="10">
        <v>1</v>
      </c>
      <c r="F808" s="10">
        <v>0.60000001999999997</v>
      </c>
      <c r="G808" s="10">
        <v>1</v>
      </c>
      <c r="H808" s="10">
        <v>0.60000001999999997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0.60000001999999997</v>
      </c>
      <c r="O808" s="8" t="s">
        <v>31</v>
      </c>
      <c r="P808" s="8" t="s">
        <v>31</v>
      </c>
      <c r="Q808" s="8" t="s">
        <v>31</v>
      </c>
      <c r="R808" s="8" t="s">
        <v>31</v>
      </c>
      <c r="S808" s="8" t="s">
        <v>31</v>
      </c>
      <c r="T808" s="8" t="s">
        <v>31</v>
      </c>
      <c r="U808" s="8" t="s">
        <v>31</v>
      </c>
      <c r="V808" s="8" t="s">
        <v>31</v>
      </c>
      <c r="W808" s="8" t="str">
        <f>_xlfn.IFNA(VLOOKUP(A808,[1]Sheet1!$A$1:$B$101,1,FALSE),"na")</f>
        <v>na</v>
      </c>
      <c r="X808" s="8" t="s">
        <v>35</v>
      </c>
      <c r="Y808" s="9">
        <v>287</v>
      </c>
      <c r="Z808" s="9">
        <v>179.375</v>
      </c>
      <c r="AA808" s="9">
        <v>287</v>
      </c>
      <c r="AB808" s="9">
        <v>287</v>
      </c>
    </row>
    <row r="809" spans="1:28" x14ac:dyDescent="0.25">
      <c r="A809" s="8" t="s">
        <v>1701</v>
      </c>
      <c r="B809" s="8" t="s">
        <v>1702</v>
      </c>
      <c r="C809" s="8" t="s">
        <v>30</v>
      </c>
      <c r="D809" s="10">
        <v>2.5999998999999998</v>
      </c>
      <c r="E809" s="10">
        <v>2</v>
      </c>
      <c r="F809" s="10">
        <v>0.60000001999999997</v>
      </c>
      <c r="G809" s="10">
        <v>2</v>
      </c>
      <c r="H809" s="10">
        <v>0.60000001999999997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0.60000001999999997</v>
      </c>
      <c r="O809" s="8" t="s">
        <v>31</v>
      </c>
      <c r="P809" s="8" t="s">
        <v>31</v>
      </c>
      <c r="Q809" s="8" t="s">
        <v>31</v>
      </c>
      <c r="R809" s="8" t="s">
        <v>31</v>
      </c>
      <c r="S809" s="8" t="s">
        <v>31</v>
      </c>
      <c r="T809" s="8" t="s">
        <v>31</v>
      </c>
      <c r="U809" s="8" t="s">
        <v>31</v>
      </c>
      <c r="V809" s="8" t="s">
        <v>31</v>
      </c>
      <c r="W809" s="8" t="str">
        <f>_xlfn.IFNA(VLOOKUP(A809,[1]Sheet1!$A$1:$B$101,1,FALSE),"na")</f>
        <v>na</v>
      </c>
      <c r="X809" s="8" t="s">
        <v>35</v>
      </c>
      <c r="Y809" s="9">
        <v>648</v>
      </c>
      <c r="Z809" s="9">
        <v>249.23077000000001</v>
      </c>
      <c r="AA809" s="9">
        <v>324</v>
      </c>
      <c r="AB809" s="9">
        <v>648</v>
      </c>
    </row>
    <row r="810" spans="1:28" x14ac:dyDescent="0.25">
      <c r="A810" s="8" t="s">
        <v>1703</v>
      </c>
      <c r="B810" s="8" t="s">
        <v>1704</v>
      </c>
      <c r="C810" s="8" t="s">
        <v>67</v>
      </c>
      <c r="D810" s="10">
        <v>2</v>
      </c>
      <c r="E810" s="10">
        <v>1</v>
      </c>
      <c r="F810" s="10">
        <v>1</v>
      </c>
      <c r="G810" s="10">
        <v>1</v>
      </c>
      <c r="H810" s="10">
        <v>1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8" t="s">
        <v>57</v>
      </c>
      <c r="P810" s="8" t="s">
        <v>31</v>
      </c>
      <c r="Q810" s="8" t="s">
        <v>31</v>
      </c>
      <c r="R810" s="8" t="s">
        <v>31</v>
      </c>
      <c r="S810" s="8" t="s">
        <v>31</v>
      </c>
      <c r="T810" s="8" t="s">
        <v>31</v>
      </c>
      <c r="U810" s="8" t="s">
        <v>31</v>
      </c>
      <c r="V810" s="8" t="s">
        <v>31</v>
      </c>
      <c r="W810" s="8" t="str">
        <f>_xlfn.IFNA(VLOOKUP(A810,[1]Sheet1!$A$1:$B$101,1,FALSE),"na")</f>
        <v>na</v>
      </c>
      <c r="X810" s="8" t="s">
        <v>35</v>
      </c>
      <c r="Y810" s="9">
        <v>137</v>
      </c>
      <c r="Z810" s="9">
        <v>68.5</v>
      </c>
      <c r="AA810" s="9">
        <v>137</v>
      </c>
      <c r="AB810" s="9">
        <v>137</v>
      </c>
    </row>
    <row r="811" spans="1:28" x14ac:dyDescent="0.25">
      <c r="A811" s="8" t="s">
        <v>1705</v>
      </c>
      <c r="B811" s="8" t="s">
        <v>1706</v>
      </c>
      <c r="C811" s="8" t="s">
        <v>67</v>
      </c>
      <c r="D811" s="10">
        <v>2.2000000000000002</v>
      </c>
      <c r="E811" s="10">
        <v>2</v>
      </c>
      <c r="F811" s="10">
        <v>0.2</v>
      </c>
      <c r="G811" s="10">
        <v>2</v>
      </c>
      <c r="H811" s="10">
        <v>0.2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0.2</v>
      </c>
      <c r="O811" s="8" t="s">
        <v>31</v>
      </c>
      <c r="P811" s="8" t="s">
        <v>31</v>
      </c>
      <c r="Q811" s="8" t="s">
        <v>31</v>
      </c>
      <c r="R811" s="8" t="s">
        <v>31</v>
      </c>
      <c r="S811" s="8" t="s">
        <v>31</v>
      </c>
      <c r="T811" s="8" t="s">
        <v>31</v>
      </c>
      <c r="U811" s="8" t="s">
        <v>31</v>
      </c>
      <c r="V811" s="8" t="s">
        <v>31</v>
      </c>
      <c r="W811" s="8" t="str">
        <f>_xlfn.IFNA(VLOOKUP(A811,[1]Sheet1!$A$1:$B$101,1,FALSE),"na")</f>
        <v>na</v>
      </c>
      <c r="X811" s="8" t="s">
        <v>1707</v>
      </c>
      <c r="Y811" s="9">
        <v>152</v>
      </c>
      <c r="Z811" s="9">
        <v>69.090903999999995</v>
      </c>
      <c r="AA811" s="9">
        <v>76</v>
      </c>
      <c r="AB811" s="9">
        <v>152</v>
      </c>
    </row>
    <row r="812" spans="1:28" x14ac:dyDescent="0.25">
      <c r="A812" s="8" t="s">
        <v>1708</v>
      </c>
      <c r="B812" s="8" t="s">
        <v>1709</v>
      </c>
      <c r="C812" s="8" t="s">
        <v>67</v>
      </c>
      <c r="D812" s="10">
        <v>1</v>
      </c>
      <c r="E812" s="10">
        <v>1</v>
      </c>
      <c r="F812" s="10">
        <v>0</v>
      </c>
      <c r="G812" s="10">
        <v>1</v>
      </c>
      <c r="H812" s="10">
        <v>0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8" t="s">
        <v>31</v>
      </c>
      <c r="P812" s="8" t="s">
        <v>31</v>
      </c>
      <c r="Q812" s="8" t="s">
        <v>31</v>
      </c>
      <c r="R812" s="8" t="s">
        <v>31</v>
      </c>
      <c r="S812" s="8" t="s">
        <v>31</v>
      </c>
      <c r="T812" s="8" t="s">
        <v>31</v>
      </c>
      <c r="U812" s="8" t="s">
        <v>31</v>
      </c>
      <c r="V812" s="8" t="s">
        <v>31</v>
      </c>
      <c r="W812" s="8" t="str">
        <f>_xlfn.IFNA(VLOOKUP(A812,[1]Sheet1!$A$1:$B$101,1,FALSE),"na")</f>
        <v>na</v>
      </c>
      <c r="X812" s="8" t="s">
        <v>35</v>
      </c>
      <c r="Y812" s="9">
        <v>120</v>
      </c>
      <c r="Z812" s="9">
        <v>120</v>
      </c>
      <c r="AA812" s="9">
        <v>120</v>
      </c>
      <c r="AB812" s="9">
        <v>120</v>
      </c>
    </row>
    <row r="813" spans="1:28" x14ac:dyDescent="0.25">
      <c r="A813" s="8" t="s">
        <v>1710</v>
      </c>
      <c r="B813" s="8" t="s">
        <v>1711</v>
      </c>
      <c r="C813" s="8" t="s">
        <v>67</v>
      </c>
      <c r="D813" s="10">
        <v>1</v>
      </c>
      <c r="E813" s="10">
        <v>1</v>
      </c>
      <c r="F813" s="10">
        <v>0</v>
      </c>
      <c r="G813" s="10">
        <v>1</v>
      </c>
      <c r="H813" s="10">
        <v>0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8" t="s">
        <v>31</v>
      </c>
      <c r="P813" s="8" t="s">
        <v>31</v>
      </c>
      <c r="Q813" s="8" t="s">
        <v>31</v>
      </c>
      <c r="R813" s="8" t="s">
        <v>31</v>
      </c>
      <c r="S813" s="8" t="s">
        <v>31</v>
      </c>
      <c r="T813" s="8" t="s">
        <v>31</v>
      </c>
      <c r="U813" s="8" t="s">
        <v>31</v>
      </c>
      <c r="V813" s="8" t="s">
        <v>31</v>
      </c>
      <c r="W813" s="8" t="str">
        <f>_xlfn.IFNA(VLOOKUP(A813,[1]Sheet1!$A$1:$B$101,1,FALSE),"na")</f>
        <v>na</v>
      </c>
      <c r="X813" s="8" t="s">
        <v>1707</v>
      </c>
      <c r="Y813" s="9">
        <v>217</v>
      </c>
      <c r="Z813" s="9">
        <v>217</v>
      </c>
      <c r="AA813" s="9">
        <v>217</v>
      </c>
      <c r="AB813" s="9">
        <v>217</v>
      </c>
    </row>
    <row r="814" spans="1:28" x14ac:dyDescent="0.25">
      <c r="A814" s="8" t="s">
        <v>1712</v>
      </c>
      <c r="B814" s="8" t="s">
        <v>1713</v>
      </c>
      <c r="C814" s="8" t="s">
        <v>30</v>
      </c>
      <c r="D814" s="10">
        <v>2.5999998999999998</v>
      </c>
      <c r="E814" s="10">
        <v>1</v>
      </c>
      <c r="F814" s="10">
        <v>1.6</v>
      </c>
      <c r="G814" s="10">
        <v>1</v>
      </c>
      <c r="H814" s="10">
        <v>1.6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0.60000001999999997</v>
      </c>
      <c r="O814" s="8" t="s">
        <v>31</v>
      </c>
      <c r="P814" s="8" t="s">
        <v>31</v>
      </c>
      <c r="Q814" s="8" t="s">
        <v>31</v>
      </c>
      <c r="R814" s="8" t="s">
        <v>31</v>
      </c>
      <c r="S814" s="8" t="s">
        <v>31</v>
      </c>
      <c r="T814" s="8" t="s">
        <v>31</v>
      </c>
      <c r="U814" s="8" t="s">
        <v>31</v>
      </c>
      <c r="V814" s="8" t="s">
        <v>31</v>
      </c>
      <c r="W814" s="8" t="str">
        <f>_xlfn.IFNA(VLOOKUP(A814,[1]Sheet1!$A$1:$B$101,1,FALSE),"na")</f>
        <v>na</v>
      </c>
      <c r="X814" s="8" t="s">
        <v>35</v>
      </c>
      <c r="Y814" s="9">
        <v>245</v>
      </c>
      <c r="Z814" s="9">
        <v>94.230773999999997</v>
      </c>
      <c r="AA814" s="9">
        <v>245</v>
      </c>
      <c r="AB814" s="9">
        <v>153.125</v>
      </c>
    </row>
    <row r="815" spans="1:28" x14ac:dyDescent="0.25">
      <c r="A815" s="8" t="s">
        <v>1714</v>
      </c>
      <c r="B815" s="8" t="s">
        <v>1715</v>
      </c>
      <c r="C815" s="8" t="s">
        <v>80</v>
      </c>
      <c r="D815" s="10">
        <v>2</v>
      </c>
      <c r="E815" s="10">
        <v>2</v>
      </c>
      <c r="F815" s="10">
        <v>0</v>
      </c>
      <c r="G815" s="10">
        <v>2</v>
      </c>
      <c r="H815" s="10">
        <v>0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  <c r="N815" s="10">
        <v>0</v>
      </c>
      <c r="O815" s="8" t="s">
        <v>31</v>
      </c>
      <c r="P815" s="8" t="s">
        <v>31</v>
      </c>
      <c r="Q815" s="8" t="s">
        <v>31</v>
      </c>
      <c r="R815" s="8" t="s">
        <v>31</v>
      </c>
      <c r="S815" s="8" t="s">
        <v>31</v>
      </c>
      <c r="T815" s="8" t="s">
        <v>31</v>
      </c>
      <c r="U815" s="8" t="s">
        <v>31</v>
      </c>
      <c r="V815" s="8" t="s">
        <v>31</v>
      </c>
      <c r="W815" s="8" t="str">
        <f>_xlfn.IFNA(VLOOKUP(A815,[1]Sheet1!$A$1:$B$101,1,FALSE),"na")</f>
        <v>na</v>
      </c>
      <c r="X815" s="8" t="s">
        <v>35</v>
      </c>
      <c r="Y815" s="9">
        <v>441</v>
      </c>
      <c r="Z815" s="9">
        <v>220.5</v>
      </c>
      <c r="AA815" s="9">
        <v>220.5</v>
      </c>
      <c r="AB815" s="9">
        <v>441</v>
      </c>
    </row>
    <row r="816" spans="1:28" x14ac:dyDescent="0.25">
      <c r="A816" s="8" t="s">
        <v>1716</v>
      </c>
      <c r="B816" s="8" t="s">
        <v>1717</v>
      </c>
      <c r="C816" s="8" t="s">
        <v>38</v>
      </c>
      <c r="D816" s="10">
        <v>2.2000000000000002</v>
      </c>
      <c r="E816" s="10">
        <v>1</v>
      </c>
      <c r="F816" s="10">
        <v>1.2</v>
      </c>
      <c r="G816" s="10">
        <v>1</v>
      </c>
      <c r="H816" s="10">
        <v>1.2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0.2</v>
      </c>
      <c r="O816" s="8" t="s">
        <v>31</v>
      </c>
      <c r="P816" s="8" t="s">
        <v>31</v>
      </c>
      <c r="Q816" s="8" t="s">
        <v>31</v>
      </c>
      <c r="R816" s="8" t="s">
        <v>31</v>
      </c>
      <c r="S816" s="8" t="s">
        <v>31</v>
      </c>
      <c r="T816" s="8" t="s">
        <v>31</v>
      </c>
      <c r="U816" s="8" t="s">
        <v>31</v>
      </c>
      <c r="V816" s="8" t="s">
        <v>31</v>
      </c>
      <c r="W816" s="8" t="str">
        <f>_xlfn.IFNA(VLOOKUP(A816,[1]Sheet1!$A$1:$B$101,1,FALSE),"na")</f>
        <v>na</v>
      </c>
      <c r="X816" s="8" t="s">
        <v>35</v>
      </c>
      <c r="Y816" s="9">
        <v>200</v>
      </c>
      <c r="Z816" s="9">
        <v>90.909087999999997</v>
      </c>
      <c r="AA816" s="9">
        <v>200</v>
      </c>
      <c r="AB816" s="9">
        <v>166.66666000000001</v>
      </c>
    </row>
    <row r="817" spans="1:28" x14ac:dyDescent="0.25">
      <c r="A817" s="8" t="s">
        <v>1718</v>
      </c>
      <c r="B817" s="8" t="s">
        <v>1719</v>
      </c>
      <c r="C817" s="8" t="s">
        <v>30</v>
      </c>
      <c r="D817" s="10">
        <v>1.2</v>
      </c>
      <c r="E817" s="10">
        <v>0</v>
      </c>
      <c r="F817" s="10">
        <v>1.2</v>
      </c>
      <c r="G817" s="10">
        <v>0</v>
      </c>
      <c r="H817" s="10">
        <v>1.2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0.2</v>
      </c>
      <c r="O817" s="8" t="s">
        <v>57</v>
      </c>
      <c r="P817" s="8" t="s">
        <v>31</v>
      </c>
      <c r="Q817" s="8" t="s">
        <v>31</v>
      </c>
      <c r="R817" s="8" t="s">
        <v>31</v>
      </c>
      <c r="S817" s="8" t="s">
        <v>31</v>
      </c>
      <c r="T817" s="8" t="s">
        <v>31</v>
      </c>
      <c r="U817" s="8" t="s">
        <v>31</v>
      </c>
      <c r="V817" s="8" t="s">
        <v>31</v>
      </c>
      <c r="W817" s="8" t="str">
        <f>_xlfn.IFNA(VLOOKUP(A817,[1]Sheet1!$A$1:$B$101,1,FALSE),"na")</f>
        <v>na</v>
      </c>
      <c r="X817" s="8" t="s">
        <v>35</v>
      </c>
      <c r="Y817" s="9">
        <v>180</v>
      </c>
      <c r="Z817" s="9">
        <v>150</v>
      </c>
      <c r="AA817" s="9">
        <v>180</v>
      </c>
      <c r="AB817" s="9">
        <v>150</v>
      </c>
    </row>
    <row r="818" spans="1:28" x14ac:dyDescent="0.25">
      <c r="A818" s="8" t="s">
        <v>1720</v>
      </c>
      <c r="B818" s="8" t="s">
        <v>1721</v>
      </c>
      <c r="C818" s="8" t="s">
        <v>30</v>
      </c>
      <c r="D818" s="10">
        <v>1.6</v>
      </c>
      <c r="E818" s="10">
        <v>1</v>
      </c>
      <c r="F818" s="10">
        <v>0.60000001999999997</v>
      </c>
      <c r="G818" s="10">
        <v>1</v>
      </c>
      <c r="H818" s="10">
        <v>0.60000001999999997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0.60000001999999997</v>
      </c>
      <c r="O818" s="8" t="s">
        <v>31</v>
      </c>
      <c r="P818" s="8" t="s">
        <v>31</v>
      </c>
      <c r="Q818" s="8" t="s">
        <v>31</v>
      </c>
      <c r="R818" s="8" t="s">
        <v>31</v>
      </c>
      <c r="S818" s="8" t="s">
        <v>31</v>
      </c>
      <c r="T818" s="8" t="s">
        <v>31</v>
      </c>
      <c r="U818" s="8" t="s">
        <v>31</v>
      </c>
      <c r="V818" s="8" t="s">
        <v>31</v>
      </c>
      <c r="W818" s="8" t="str">
        <f>_xlfn.IFNA(VLOOKUP(A818,[1]Sheet1!$A$1:$B$101,1,FALSE),"na")</f>
        <v>na</v>
      </c>
      <c r="X818" s="8" t="s">
        <v>419</v>
      </c>
      <c r="Y818" s="9">
        <v>221</v>
      </c>
      <c r="Z818" s="9">
        <v>138.125</v>
      </c>
      <c r="AA818" s="9">
        <v>221</v>
      </c>
      <c r="AB818" s="9">
        <v>221</v>
      </c>
    </row>
    <row r="819" spans="1:28" x14ac:dyDescent="0.25">
      <c r="A819" s="8" t="s">
        <v>1722</v>
      </c>
      <c r="B819" s="8" t="s">
        <v>1723</v>
      </c>
      <c r="C819" s="8" t="s">
        <v>30</v>
      </c>
      <c r="D819" s="10">
        <v>3.2</v>
      </c>
      <c r="E819" s="10">
        <v>0</v>
      </c>
      <c r="F819" s="10">
        <v>3.2</v>
      </c>
      <c r="G819" s="10">
        <v>0</v>
      </c>
      <c r="H819" s="10">
        <v>3.2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0.2</v>
      </c>
      <c r="O819" s="8" t="s">
        <v>31</v>
      </c>
      <c r="P819" s="8" t="s">
        <v>31</v>
      </c>
      <c r="Q819" s="8" t="s">
        <v>57</v>
      </c>
      <c r="R819" s="8" t="s">
        <v>31</v>
      </c>
      <c r="S819" s="8" t="s">
        <v>31</v>
      </c>
      <c r="T819" s="8" t="s">
        <v>31</v>
      </c>
      <c r="U819" s="8" t="s">
        <v>31</v>
      </c>
      <c r="V819" s="8" t="s">
        <v>31</v>
      </c>
      <c r="W819" s="8" t="str">
        <f>_xlfn.IFNA(VLOOKUP(A819,[1]Sheet1!$A$1:$B$101,1,FALSE),"na")</f>
        <v>na</v>
      </c>
      <c r="X819" s="8" t="s">
        <v>35</v>
      </c>
      <c r="Y819" s="9">
        <v>163</v>
      </c>
      <c r="Z819" s="9">
        <v>50.9375</v>
      </c>
      <c r="AA819" s="9">
        <v>163</v>
      </c>
      <c r="AB819" s="9">
        <v>50.9375</v>
      </c>
    </row>
    <row r="820" spans="1:28" x14ac:dyDescent="0.25">
      <c r="A820" s="8" t="s">
        <v>1724</v>
      </c>
      <c r="B820" s="8" t="s">
        <v>1725</v>
      </c>
      <c r="C820" s="8" t="s">
        <v>62</v>
      </c>
      <c r="D820" s="10">
        <v>2.2000000000000002</v>
      </c>
      <c r="E820" s="10">
        <v>2</v>
      </c>
      <c r="F820" s="10">
        <v>0.2</v>
      </c>
      <c r="G820" s="10">
        <v>2</v>
      </c>
      <c r="H820" s="10">
        <v>0.2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0.2</v>
      </c>
      <c r="O820" s="8" t="s">
        <v>31</v>
      </c>
      <c r="P820" s="8" t="s">
        <v>31</v>
      </c>
      <c r="Q820" s="8" t="s">
        <v>57</v>
      </c>
      <c r="R820" s="8" t="s">
        <v>31</v>
      </c>
      <c r="S820" s="8" t="s">
        <v>31</v>
      </c>
      <c r="T820" s="8" t="s">
        <v>31</v>
      </c>
      <c r="U820" s="8" t="s">
        <v>31</v>
      </c>
      <c r="V820" s="8" t="s">
        <v>31</v>
      </c>
      <c r="W820" s="8" t="str">
        <f>_xlfn.IFNA(VLOOKUP(A820,[1]Sheet1!$A$1:$B$101,1,FALSE),"na")</f>
        <v>na</v>
      </c>
      <c r="X820" s="8" t="s">
        <v>35</v>
      </c>
      <c r="Y820" s="9">
        <v>407</v>
      </c>
      <c r="Z820" s="9">
        <v>185</v>
      </c>
      <c r="AA820" s="9">
        <v>203.5</v>
      </c>
      <c r="AB820" s="9">
        <v>407</v>
      </c>
    </row>
    <row r="821" spans="1:28" x14ac:dyDescent="0.25">
      <c r="A821" s="8" t="s">
        <v>1726</v>
      </c>
      <c r="B821" s="8" t="s">
        <v>1727</v>
      </c>
      <c r="C821" s="8" t="s">
        <v>67</v>
      </c>
      <c r="D821" s="10">
        <v>2</v>
      </c>
      <c r="E821" s="10">
        <v>1</v>
      </c>
      <c r="F821" s="10">
        <v>1</v>
      </c>
      <c r="G821" s="10">
        <v>1</v>
      </c>
      <c r="H821" s="10">
        <v>1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8" t="s">
        <v>57</v>
      </c>
      <c r="P821" s="8" t="s">
        <v>31</v>
      </c>
      <c r="Q821" s="8" t="s">
        <v>31</v>
      </c>
      <c r="R821" s="8" t="s">
        <v>31</v>
      </c>
      <c r="S821" s="8" t="s">
        <v>31</v>
      </c>
      <c r="T821" s="8" t="s">
        <v>31</v>
      </c>
      <c r="U821" s="8" t="s">
        <v>31</v>
      </c>
      <c r="V821" s="8" t="s">
        <v>31</v>
      </c>
      <c r="W821" s="8" t="str">
        <f>_xlfn.IFNA(VLOOKUP(A821,[1]Sheet1!$A$1:$B$101,1,FALSE),"na")</f>
        <v>na</v>
      </c>
      <c r="X821" s="8" t="s">
        <v>35</v>
      </c>
      <c r="Y821" s="9">
        <v>108</v>
      </c>
      <c r="Z821" s="9">
        <v>54</v>
      </c>
      <c r="AA821" s="9">
        <v>108</v>
      </c>
      <c r="AB821" s="9">
        <v>108</v>
      </c>
    </row>
    <row r="822" spans="1:28" x14ac:dyDescent="0.25">
      <c r="A822" s="8" t="s">
        <v>1728</v>
      </c>
      <c r="B822" s="8" t="s">
        <v>1729</v>
      </c>
      <c r="C822" s="8" t="s">
        <v>62</v>
      </c>
      <c r="D822" s="10">
        <v>4.1500000999999997</v>
      </c>
      <c r="E822" s="10">
        <v>2</v>
      </c>
      <c r="F822" s="10">
        <v>2.1500001000000002</v>
      </c>
      <c r="G822" s="10">
        <v>2</v>
      </c>
      <c r="H822" s="10">
        <v>2.1500001000000002</v>
      </c>
      <c r="I822" s="10">
        <v>0</v>
      </c>
      <c r="J822" s="10">
        <v>0</v>
      </c>
      <c r="K822" s="10">
        <v>1</v>
      </c>
      <c r="L822" s="10">
        <v>0.15000000999999999</v>
      </c>
      <c r="M822" s="10">
        <v>0</v>
      </c>
      <c r="N822" s="10">
        <v>0.15000000999999999</v>
      </c>
      <c r="O822" s="8" t="s">
        <v>31</v>
      </c>
      <c r="P822" s="8" t="s">
        <v>31</v>
      </c>
      <c r="Q822" s="8" t="s">
        <v>31</v>
      </c>
      <c r="R822" s="8" t="s">
        <v>31</v>
      </c>
      <c r="S822" s="8" t="s">
        <v>31</v>
      </c>
      <c r="T822" s="8" t="s">
        <v>57</v>
      </c>
      <c r="U822" s="8" t="s">
        <v>31</v>
      </c>
      <c r="V822" s="8" t="s">
        <v>31</v>
      </c>
      <c r="W822" s="8" t="str">
        <f>_xlfn.IFNA(VLOOKUP(A822,[1]Sheet1!$A$1:$B$101,1,FALSE),"na")</f>
        <v>na</v>
      </c>
      <c r="X822" s="8" t="s">
        <v>35</v>
      </c>
      <c r="Y822" s="9">
        <v>338</v>
      </c>
      <c r="Z822" s="9">
        <v>81.445778000000004</v>
      </c>
      <c r="AA822" s="9">
        <v>169</v>
      </c>
      <c r="AB822" s="9">
        <v>157.20929000000001</v>
      </c>
    </row>
    <row r="823" spans="1:28" x14ac:dyDescent="0.25">
      <c r="A823" s="8" t="s">
        <v>1730</v>
      </c>
      <c r="B823" s="8" t="s">
        <v>1731</v>
      </c>
      <c r="C823" s="8" t="s">
        <v>62</v>
      </c>
      <c r="D823" s="10">
        <v>2.1500001000000002</v>
      </c>
      <c r="E823" s="10">
        <v>1</v>
      </c>
      <c r="F823" s="10">
        <v>1.1499999999999999</v>
      </c>
      <c r="G823" s="10">
        <v>1</v>
      </c>
      <c r="H823" s="10">
        <v>1.1499999999999999</v>
      </c>
      <c r="I823" s="10">
        <v>0</v>
      </c>
      <c r="J823" s="10">
        <v>0</v>
      </c>
      <c r="K823" s="10">
        <v>0</v>
      </c>
      <c r="L823" s="10">
        <v>0.15000000999999999</v>
      </c>
      <c r="M823" s="10">
        <v>0</v>
      </c>
      <c r="N823" s="10">
        <v>0.15000000999999999</v>
      </c>
      <c r="O823" s="8" t="s">
        <v>57</v>
      </c>
      <c r="P823" s="8" t="s">
        <v>31</v>
      </c>
      <c r="Q823" s="8" t="s">
        <v>31</v>
      </c>
      <c r="R823" s="8" t="s">
        <v>31</v>
      </c>
      <c r="S823" s="8" t="s">
        <v>31</v>
      </c>
      <c r="T823" s="8" t="s">
        <v>31</v>
      </c>
      <c r="U823" s="8" t="s">
        <v>31</v>
      </c>
      <c r="V823" s="8" t="s">
        <v>31</v>
      </c>
      <c r="W823" s="8" t="str">
        <f>_xlfn.IFNA(VLOOKUP(A823,[1]Sheet1!$A$1:$B$101,1,FALSE),"na")</f>
        <v>na</v>
      </c>
      <c r="X823" s="8" t="s">
        <v>35</v>
      </c>
      <c r="Y823" s="9">
        <v>214</v>
      </c>
      <c r="Z823" s="9">
        <v>99.534881999999996</v>
      </c>
      <c r="AA823" s="9">
        <v>214</v>
      </c>
      <c r="AB823" s="9">
        <v>186.08696</v>
      </c>
    </row>
    <row r="824" spans="1:28" x14ac:dyDescent="0.25">
      <c r="A824" s="8" t="s">
        <v>1732</v>
      </c>
      <c r="B824" s="8" t="s">
        <v>1733</v>
      </c>
      <c r="C824" s="8" t="s">
        <v>30</v>
      </c>
      <c r="D824" s="10">
        <v>2</v>
      </c>
      <c r="E824" s="10">
        <v>1</v>
      </c>
      <c r="F824" s="10">
        <v>1</v>
      </c>
      <c r="G824" s="10">
        <v>1</v>
      </c>
      <c r="H824" s="10">
        <v>1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1</v>
      </c>
      <c r="O824" s="8" t="s">
        <v>31</v>
      </c>
      <c r="P824" s="8" t="s">
        <v>31</v>
      </c>
      <c r="Q824" s="8" t="s">
        <v>31</v>
      </c>
      <c r="R824" s="8" t="s">
        <v>31</v>
      </c>
      <c r="S824" s="8" t="s">
        <v>31</v>
      </c>
      <c r="T824" s="8" t="s">
        <v>31</v>
      </c>
      <c r="U824" s="8" t="s">
        <v>31</v>
      </c>
      <c r="V824" s="8" t="s">
        <v>31</v>
      </c>
      <c r="W824" s="8" t="str">
        <f>_xlfn.IFNA(VLOOKUP(A824,[1]Sheet1!$A$1:$B$101,1,FALSE),"na")</f>
        <v>na</v>
      </c>
      <c r="X824" s="8" t="s">
        <v>35</v>
      </c>
      <c r="Y824" s="9">
        <v>440</v>
      </c>
      <c r="Z824" s="9">
        <v>220</v>
      </c>
      <c r="AA824" s="9">
        <v>440</v>
      </c>
      <c r="AB824" s="9">
        <v>440</v>
      </c>
    </row>
    <row r="825" spans="1:28" x14ac:dyDescent="0.25">
      <c r="A825" s="8" t="s">
        <v>1734</v>
      </c>
      <c r="B825" s="8" t="s">
        <v>1735</v>
      </c>
      <c r="C825" s="8" t="s">
        <v>62</v>
      </c>
      <c r="D825" s="10">
        <v>3.2</v>
      </c>
      <c r="E825" s="10">
        <v>2</v>
      </c>
      <c r="F825" s="10">
        <v>1.2</v>
      </c>
      <c r="G825" s="10">
        <v>2</v>
      </c>
      <c r="H825" s="10">
        <v>1.2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0.2</v>
      </c>
      <c r="O825" s="8" t="s">
        <v>31</v>
      </c>
      <c r="P825" s="8" t="s">
        <v>31</v>
      </c>
      <c r="Q825" s="8" t="s">
        <v>31</v>
      </c>
      <c r="R825" s="8" t="s">
        <v>31</v>
      </c>
      <c r="S825" s="8" t="s">
        <v>31</v>
      </c>
      <c r="T825" s="8" t="s">
        <v>57</v>
      </c>
      <c r="U825" s="8" t="s">
        <v>57</v>
      </c>
      <c r="V825" s="8" t="s">
        <v>31</v>
      </c>
      <c r="W825" s="8" t="str">
        <f>_xlfn.IFNA(VLOOKUP(A825,[1]Sheet1!$A$1:$B$101,1,FALSE),"na")</f>
        <v>na</v>
      </c>
      <c r="X825" s="8" t="s">
        <v>35</v>
      </c>
      <c r="Y825" s="9">
        <v>513</v>
      </c>
      <c r="Z825" s="9">
        <v>160.3125</v>
      </c>
      <c r="AA825" s="9">
        <v>256.5</v>
      </c>
      <c r="AB825" s="9">
        <v>427.49997000000002</v>
      </c>
    </row>
    <row r="826" spans="1:28" x14ac:dyDescent="0.25">
      <c r="A826" s="8" t="s">
        <v>1736</v>
      </c>
      <c r="B826" s="8" t="s">
        <v>1737</v>
      </c>
      <c r="C826" s="8" t="s">
        <v>62</v>
      </c>
      <c r="D826" s="10">
        <v>2.0999998999999998</v>
      </c>
      <c r="E826" s="10">
        <v>1.9</v>
      </c>
      <c r="F826" s="10">
        <v>0.2</v>
      </c>
      <c r="G826" s="10">
        <v>1</v>
      </c>
      <c r="H826" s="10">
        <v>0.2</v>
      </c>
      <c r="I826" s="10">
        <v>0.89999998000000003</v>
      </c>
      <c r="J826" s="10">
        <v>0</v>
      </c>
      <c r="K826" s="10">
        <v>0</v>
      </c>
      <c r="L826" s="10">
        <v>0</v>
      </c>
      <c r="M826" s="10">
        <v>0</v>
      </c>
      <c r="N826" s="10">
        <v>0.2</v>
      </c>
      <c r="O826" s="8" t="s">
        <v>31</v>
      </c>
      <c r="P826" s="8" t="s">
        <v>31</v>
      </c>
      <c r="Q826" s="8" t="s">
        <v>31</v>
      </c>
      <c r="R826" s="8" t="s">
        <v>31</v>
      </c>
      <c r="S826" s="8" t="s">
        <v>31</v>
      </c>
      <c r="T826" s="8" t="s">
        <v>57</v>
      </c>
      <c r="U826" s="8" t="s">
        <v>57</v>
      </c>
      <c r="V826" s="8" t="s">
        <v>57</v>
      </c>
      <c r="W826" s="8" t="str">
        <f>_xlfn.IFNA(VLOOKUP(A826,[1]Sheet1!$A$1:$B$101,1,FALSE),"na")</f>
        <v>na</v>
      </c>
      <c r="X826" s="8" t="s">
        <v>35</v>
      </c>
      <c r="Y826" s="9">
        <v>246</v>
      </c>
      <c r="Z826" s="9">
        <v>117.14286</v>
      </c>
      <c r="AA826" s="9">
        <v>129.47368</v>
      </c>
      <c r="AB826" s="9">
        <v>246</v>
      </c>
    </row>
    <row r="827" spans="1:28" x14ac:dyDescent="0.25">
      <c r="A827" s="8" t="s">
        <v>1738</v>
      </c>
      <c r="B827" s="8" t="s">
        <v>1739</v>
      </c>
      <c r="C827" s="8" t="s">
        <v>80</v>
      </c>
      <c r="D827" s="10">
        <v>2</v>
      </c>
      <c r="E827" s="10">
        <v>2</v>
      </c>
      <c r="F827" s="10">
        <v>0</v>
      </c>
      <c r="G827" s="10">
        <v>2</v>
      </c>
      <c r="H827" s="10">
        <v>0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0</v>
      </c>
      <c r="O827" s="8" t="s">
        <v>31</v>
      </c>
      <c r="P827" s="8" t="s">
        <v>31</v>
      </c>
      <c r="Q827" s="8" t="s">
        <v>31</v>
      </c>
      <c r="R827" s="8" t="s">
        <v>31</v>
      </c>
      <c r="S827" s="8" t="s">
        <v>31</v>
      </c>
      <c r="T827" s="8" t="s">
        <v>31</v>
      </c>
      <c r="U827" s="8" t="s">
        <v>31</v>
      </c>
      <c r="V827" s="8" t="s">
        <v>31</v>
      </c>
      <c r="W827" s="8" t="str">
        <f>_xlfn.IFNA(VLOOKUP(A827,[1]Sheet1!$A$1:$B$101,1,FALSE),"na")</f>
        <v>na</v>
      </c>
      <c r="X827" s="8" t="s">
        <v>35</v>
      </c>
      <c r="Y827" s="9">
        <v>585</v>
      </c>
      <c r="Z827" s="9">
        <v>292.5</v>
      </c>
      <c r="AA827" s="9">
        <v>292.5</v>
      </c>
      <c r="AB827" s="9">
        <v>585</v>
      </c>
    </row>
    <row r="828" spans="1:28" x14ac:dyDescent="0.25">
      <c r="A828" s="8" t="s">
        <v>1740</v>
      </c>
      <c r="B828" s="8" t="s">
        <v>1741</v>
      </c>
      <c r="C828" s="8" t="s">
        <v>62</v>
      </c>
      <c r="D828" s="10">
        <v>2.26667</v>
      </c>
      <c r="E828" s="10">
        <v>1</v>
      </c>
      <c r="F828" s="10">
        <v>1.26667</v>
      </c>
      <c r="G828" s="10">
        <v>1</v>
      </c>
      <c r="H828" s="10">
        <v>1.26667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0.26666999000000002</v>
      </c>
      <c r="O828" s="8" t="s">
        <v>31</v>
      </c>
      <c r="P828" s="8" t="s">
        <v>31</v>
      </c>
      <c r="Q828" s="8" t="s">
        <v>31</v>
      </c>
      <c r="R828" s="8" t="s">
        <v>31</v>
      </c>
      <c r="S828" s="8" t="s">
        <v>31</v>
      </c>
      <c r="T828" s="8" t="s">
        <v>31</v>
      </c>
      <c r="U828" s="8" t="s">
        <v>31</v>
      </c>
      <c r="V828" s="8" t="s">
        <v>31</v>
      </c>
      <c r="W828" s="8" t="str">
        <f>_xlfn.IFNA(VLOOKUP(A828,[1]Sheet1!$A$1:$B$101,1,FALSE),"na")</f>
        <v>na</v>
      </c>
      <c r="X828" s="8" t="s">
        <v>35</v>
      </c>
      <c r="Y828" s="9">
        <v>371</v>
      </c>
      <c r="Z828" s="9">
        <v>163.67622</v>
      </c>
      <c r="AA828" s="9">
        <v>371</v>
      </c>
      <c r="AB828" s="9">
        <v>292.89398</v>
      </c>
    </row>
    <row r="829" spans="1:28" x14ac:dyDescent="0.25">
      <c r="A829" s="8" t="s">
        <v>1742</v>
      </c>
      <c r="B829" s="8" t="s">
        <v>1743</v>
      </c>
      <c r="C829" s="8" t="s">
        <v>62</v>
      </c>
      <c r="D829" s="10">
        <v>2.1500001000000002</v>
      </c>
      <c r="E829" s="10">
        <v>2</v>
      </c>
      <c r="F829" s="10">
        <v>0.15000000999999999</v>
      </c>
      <c r="G829" s="10">
        <v>2</v>
      </c>
      <c r="H829" s="10">
        <v>0.15000000999999999</v>
      </c>
      <c r="I829" s="10">
        <v>0</v>
      </c>
      <c r="J829" s="10">
        <v>0</v>
      </c>
      <c r="K829" s="10">
        <v>0</v>
      </c>
      <c r="L829" s="10">
        <v>0.15000000999999999</v>
      </c>
      <c r="M829" s="10">
        <v>0</v>
      </c>
      <c r="N829" s="10">
        <v>0.15000000999999999</v>
      </c>
      <c r="O829" s="8" t="s">
        <v>31</v>
      </c>
      <c r="P829" s="8" t="s">
        <v>31</v>
      </c>
      <c r="Q829" s="8" t="s">
        <v>31</v>
      </c>
      <c r="R829" s="8" t="s">
        <v>31</v>
      </c>
      <c r="S829" s="8" t="s">
        <v>31</v>
      </c>
      <c r="T829" s="8" t="s">
        <v>31</v>
      </c>
      <c r="U829" s="8" t="s">
        <v>31</v>
      </c>
      <c r="V829" s="8" t="s">
        <v>31</v>
      </c>
      <c r="W829" s="8" t="str">
        <f>_xlfn.IFNA(VLOOKUP(A829,[1]Sheet1!$A$1:$B$101,1,FALSE),"na")</f>
        <v>na</v>
      </c>
      <c r="X829" s="8" t="s">
        <v>35</v>
      </c>
      <c r="Y829" s="9">
        <v>247</v>
      </c>
      <c r="Z829" s="9">
        <v>114.88370999999999</v>
      </c>
      <c r="AA829" s="9">
        <v>123.5</v>
      </c>
      <c r="AB829" s="9">
        <v>247</v>
      </c>
    </row>
    <row r="830" spans="1:28" x14ac:dyDescent="0.25">
      <c r="A830" s="8" t="s">
        <v>1744</v>
      </c>
      <c r="B830" s="8" t="s">
        <v>1745</v>
      </c>
      <c r="C830" s="8" t="s">
        <v>62</v>
      </c>
      <c r="D830" s="10">
        <v>3.1500001000000002</v>
      </c>
      <c r="E830" s="10">
        <v>2</v>
      </c>
      <c r="F830" s="10">
        <v>1.1499999999999999</v>
      </c>
      <c r="G830" s="10">
        <v>2</v>
      </c>
      <c r="H830" s="10">
        <v>1.1499999999999999</v>
      </c>
      <c r="I830" s="10">
        <v>0</v>
      </c>
      <c r="J830" s="10">
        <v>0</v>
      </c>
      <c r="K830" s="10">
        <v>0</v>
      </c>
      <c r="L830" s="10">
        <v>0.15000000999999999</v>
      </c>
      <c r="M830" s="10">
        <v>0</v>
      </c>
      <c r="N830" s="10">
        <v>0.15000000999999999</v>
      </c>
      <c r="O830" s="8" t="s">
        <v>57</v>
      </c>
      <c r="P830" s="8" t="s">
        <v>31</v>
      </c>
      <c r="Q830" s="8" t="s">
        <v>31</v>
      </c>
      <c r="R830" s="8" t="s">
        <v>31</v>
      </c>
      <c r="S830" s="8" t="s">
        <v>31</v>
      </c>
      <c r="T830" s="8" t="s">
        <v>31</v>
      </c>
      <c r="U830" s="8" t="s">
        <v>31</v>
      </c>
      <c r="V830" s="8" t="s">
        <v>31</v>
      </c>
      <c r="W830" s="8" t="str">
        <f>_xlfn.IFNA(VLOOKUP(A830,[1]Sheet1!$A$1:$B$101,1,FALSE),"na")</f>
        <v>na</v>
      </c>
      <c r="X830" s="8" t="s">
        <v>35</v>
      </c>
      <c r="Y830" s="9">
        <v>201</v>
      </c>
      <c r="Z830" s="9">
        <v>63.809520999999997</v>
      </c>
      <c r="AA830" s="9">
        <v>100.5</v>
      </c>
      <c r="AB830" s="9">
        <v>174.78261000000001</v>
      </c>
    </row>
    <row r="831" spans="1:28" x14ac:dyDescent="0.25">
      <c r="A831" s="8" t="s">
        <v>1746</v>
      </c>
      <c r="B831" s="8" t="s">
        <v>1747</v>
      </c>
      <c r="C831" s="8" t="s">
        <v>62</v>
      </c>
      <c r="D831" s="10">
        <v>2</v>
      </c>
      <c r="E831" s="10">
        <v>1</v>
      </c>
      <c r="F831" s="10">
        <v>1</v>
      </c>
      <c r="G831" s="10">
        <v>1</v>
      </c>
      <c r="H831" s="10">
        <v>1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8" t="s">
        <v>57</v>
      </c>
      <c r="P831" s="8" t="s">
        <v>31</v>
      </c>
      <c r="Q831" s="8" t="s">
        <v>31</v>
      </c>
      <c r="R831" s="8" t="s">
        <v>31</v>
      </c>
      <c r="S831" s="8" t="s">
        <v>31</v>
      </c>
      <c r="T831" s="8" t="s">
        <v>31</v>
      </c>
      <c r="U831" s="8" t="s">
        <v>31</v>
      </c>
      <c r="V831" s="8" t="s">
        <v>31</v>
      </c>
      <c r="W831" s="8" t="str">
        <f>_xlfn.IFNA(VLOOKUP(A831,[1]Sheet1!$A$1:$B$101,1,FALSE),"na")</f>
        <v>na</v>
      </c>
      <c r="X831" s="8" t="s">
        <v>512</v>
      </c>
      <c r="Y831" s="9">
        <v>92</v>
      </c>
      <c r="Z831" s="9">
        <v>46</v>
      </c>
      <c r="AA831" s="9">
        <v>92</v>
      </c>
      <c r="AB831" s="9">
        <v>92</v>
      </c>
    </row>
    <row r="832" spans="1:28" x14ac:dyDescent="0.25">
      <c r="A832" s="8" t="s">
        <v>1748</v>
      </c>
      <c r="B832" s="8" t="s">
        <v>1749</v>
      </c>
      <c r="C832" s="8" t="s">
        <v>80</v>
      </c>
      <c r="D832" s="10">
        <v>4</v>
      </c>
      <c r="E832" s="10">
        <v>4</v>
      </c>
      <c r="F832" s="10">
        <v>0</v>
      </c>
      <c r="G832" s="10">
        <v>4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8" t="s">
        <v>57</v>
      </c>
      <c r="P832" s="8" t="s">
        <v>31</v>
      </c>
      <c r="Q832" s="8" t="s">
        <v>31</v>
      </c>
      <c r="R832" s="8" t="s">
        <v>31</v>
      </c>
      <c r="S832" s="8" t="s">
        <v>31</v>
      </c>
      <c r="T832" s="8" t="s">
        <v>31</v>
      </c>
      <c r="U832" s="8" t="s">
        <v>31</v>
      </c>
      <c r="V832" s="8" t="s">
        <v>31</v>
      </c>
      <c r="W832" s="8" t="str">
        <f>_xlfn.IFNA(VLOOKUP(A832,[1]Sheet1!$A$1:$B$101,1,FALSE),"na")</f>
        <v>na</v>
      </c>
      <c r="X832" s="8" t="s">
        <v>35</v>
      </c>
      <c r="Y832" s="9">
        <v>1268</v>
      </c>
      <c r="Z832" s="9">
        <v>317</v>
      </c>
      <c r="AA832" s="9">
        <v>317</v>
      </c>
      <c r="AB832" s="9">
        <v>1268</v>
      </c>
    </row>
    <row r="833" spans="1:28" x14ac:dyDescent="0.25">
      <c r="A833" s="8" t="s">
        <v>1750</v>
      </c>
      <c r="B833" s="8" t="s">
        <v>1751</v>
      </c>
      <c r="C833" s="8" t="s">
        <v>62</v>
      </c>
      <c r="D833" s="10">
        <v>12.1</v>
      </c>
      <c r="E833" s="10">
        <v>9</v>
      </c>
      <c r="F833" s="10">
        <v>3.0999998999999998</v>
      </c>
      <c r="G833" s="10">
        <v>9</v>
      </c>
      <c r="H833" s="10">
        <v>3.0999998999999998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0.1</v>
      </c>
      <c r="O833" s="8" t="s">
        <v>31</v>
      </c>
      <c r="P833" s="8" t="s">
        <v>31</v>
      </c>
      <c r="Q833" s="8" t="s">
        <v>31</v>
      </c>
      <c r="R833" s="8" t="s">
        <v>31</v>
      </c>
      <c r="S833" s="8" t="s">
        <v>31</v>
      </c>
      <c r="T833" s="8" t="s">
        <v>31</v>
      </c>
      <c r="U833" s="8" t="s">
        <v>57</v>
      </c>
      <c r="V833" s="8" t="s">
        <v>31</v>
      </c>
      <c r="W833" s="8" t="str">
        <f>_xlfn.IFNA(VLOOKUP(A833,[1]Sheet1!$A$1:$B$101,1,FALSE),"na")</f>
        <v>na</v>
      </c>
      <c r="X833" s="8" t="s">
        <v>35</v>
      </c>
      <c r="Y833" s="9">
        <v>1324</v>
      </c>
      <c r="Z833" s="9">
        <v>109.42149000000001</v>
      </c>
      <c r="AA833" s="9">
        <v>147.11111</v>
      </c>
      <c r="AB833" s="9">
        <v>427.09679999999997</v>
      </c>
    </row>
    <row r="834" spans="1:28" x14ac:dyDescent="0.25">
      <c r="A834" s="8" t="s">
        <v>1752</v>
      </c>
      <c r="B834" s="8" t="s">
        <v>1753</v>
      </c>
      <c r="C834" s="8" t="s">
        <v>62</v>
      </c>
      <c r="D834" s="10">
        <v>3</v>
      </c>
      <c r="E834" s="10">
        <v>2</v>
      </c>
      <c r="F834" s="10">
        <v>1</v>
      </c>
      <c r="G834" s="10">
        <v>2</v>
      </c>
      <c r="H834" s="10">
        <v>1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8" t="s">
        <v>57</v>
      </c>
      <c r="P834" s="8" t="s">
        <v>31</v>
      </c>
      <c r="Q834" s="8" t="s">
        <v>31</v>
      </c>
      <c r="R834" s="8" t="s">
        <v>31</v>
      </c>
      <c r="S834" s="8" t="s">
        <v>57</v>
      </c>
      <c r="T834" s="8" t="s">
        <v>31</v>
      </c>
      <c r="U834" s="8" t="s">
        <v>31</v>
      </c>
      <c r="V834" s="8" t="s">
        <v>31</v>
      </c>
      <c r="W834" s="8" t="str">
        <f>_xlfn.IFNA(VLOOKUP(A834,[1]Sheet1!$A$1:$B$101,1,FALSE),"na")</f>
        <v>na</v>
      </c>
      <c r="X834" s="8" t="s">
        <v>1707</v>
      </c>
      <c r="Y834" s="9">
        <v>145</v>
      </c>
      <c r="Z834" s="9">
        <v>48.333331999999999</v>
      </c>
      <c r="AA834" s="9">
        <v>72.5</v>
      </c>
      <c r="AB834" s="9">
        <v>145</v>
      </c>
    </row>
    <row r="835" spans="1:28" x14ac:dyDescent="0.25">
      <c r="A835" s="8" t="s">
        <v>1754</v>
      </c>
      <c r="B835" s="8" t="s">
        <v>1755</v>
      </c>
      <c r="C835" s="8" t="s">
        <v>30</v>
      </c>
      <c r="D835" s="10">
        <v>1.4</v>
      </c>
      <c r="E835" s="10">
        <v>0</v>
      </c>
      <c r="F835" s="10">
        <v>1.4</v>
      </c>
      <c r="G835" s="10">
        <v>0</v>
      </c>
      <c r="H835" s="10">
        <v>1.4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0.40000001000000002</v>
      </c>
      <c r="O835" s="8" t="s">
        <v>31</v>
      </c>
      <c r="P835" s="8" t="s">
        <v>31</v>
      </c>
      <c r="Q835" s="8" t="s">
        <v>31</v>
      </c>
      <c r="R835" s="8" t="s">
        <v>31</v>
      </c>
      <c r="S835" s="8" t="s">
        <v>31</v>
      </c>
      <c r="T835" s="8" t="s">
        <v>31</v>
      </c>
      <c r="U835" s="8" t="s">
        <v>31</v>
      </c>
      <c r="V835" s="8" t="s">
        <v>31</v>
      </c>
      <c r="W835" s="8" t="str">
        <f>_xlfn.IFNA(VLOOKUP(A835,[1]Sheet1!$A$1:$B$101,1,FALSE),"na")</f>
        <v>na</v>
      </c>
      <c r="X835" s="8" t="s">
        <v>35</v>
      </c>
      <c r="Y835" s="9">
        <v>265</v>
      </c>
      <c r="Z835" s="9">
        <v>189.28572</v>
      </c>
      <c r="AA835" s="9">
        <v>265</v>
      </c>
      <c r="AB835" s="9">
        <v>189.28572</v>
      </c>
    </row>
    <row r="836" spans="1:28" x14ac:dyDescent="0.25">
      <c r="A836" s="8" t="s">
        <v>1756</v>
      </c>
      <c r="B836" s="8" t="s">
        <v>1757</v>
      </c>
      <c r="C836" s="8" t="s">
        <v>67</v>
      </c>
      <c r="D836" s="10">
        <v>2.2000000000000002</v>
      </c>
      <c r="E836" s="10">
        <v>1</v>
      </c>
      <c r="F836" s="10">
        <v>1.2</v>
      </c>
      <c r="G836" s="10">
        <v>1</v>
      </c>
      <c r="H836" s="10">
        <v>1.2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0.2</v>
      </c>
      <c r="O836" s="8" t="s">
        <v>57</v>
      </c>
      <c r="P836" s="8" t="s">
        <v>31</v>
      </c>
      <c r="Q836" s="8" t="s">
        <v>31</v>
      </c>
      <c r="R836" s="8" t="s">
        <v>31</v>
      </c>
      <c r="S836" s="8" t="s">
        <v>31</v>
      </c>
      <c r="T836" s="8" t="s">
        <v>31</v>
      </c>
      <c r="U836" s="8" t="s">
        <v>31</v>
      </c>
      <c r="V836" s="8" t="s">
        <v>31</v>
      </c>
      <c r="W836" s="8" t="str">
        <f>_xlfn.IFNA(VLOOKUP(A836,[1]Sheet1!$A$1:$B$101,1,FALSE),"na")</f>
        <v>na</v>
      </c>
      <c r="X836" s="8" t="s">
        <v>844</v>
      </c>
      <c r="Y836" s="9">
        <v>228</v>
      </c>
      <c r="Z836" s="9">
        <v>103.63636</v>
      </c>
      <c r="AA836" s="9">
        <v>228</v>
      </c>
      <c r="AB836" s="9">
        <v>190</v>
      </c>
    </row>
    <row r="837" spans="1:28" x14ac:dyDescent="0.25">
      <c r="A837" s="8" t="s">
        <v>1758</v>
      </c>
      <c r="B837" s="8" t="s">
        <v>1759</v>
      </c>
      <c r="C837" s="8" t="s">
        <v>62</v>
      </c>
      <c r="D837" s="10">
        <v>5.2666702000000001</v>
      </c>
      <c r="E837" s="10">
        <v>4</v>
      </c>
      <c r="F837" s="10">
        <v>1.26667</v>
      </c>
      <c r="G837" s="10">
        <v>4</v>
      </c>
      <c r="H837" s="10">
        <v>1.26667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0.26666999000000002</v>
      </c>
      <c r="O837" s="8" t="s">
        <v>31</v>
      </c>
      <c r="P837" s="8" t="s">
        <v>31</v>
      </c>
      <c r="Q837" s="8" t="s">
        <v>31</v>
      </c>
      <c r="R837" s="8" t="s">
        <v>31</v>
      </c>
      <c r="S837" s="8" t="s">
        <v>31</v>
      </c>
      <c r="T837" s="8" t="s">
        <v>31</v>
      </c>
      <c r="U837" s="8" t="s">
        <v>31</v>
      </c>
      <c r="V837" s="8" t="s">
        <v>31</v>
      </c>
      <c r="W837" s="8" t="str">
        <f>_xlfn.IFNA(VLOOKUP(A837,[1]Sheet1!$A$1:$B$101,1,FALSE),"na")</f>
        <v>na</v>
      </c>
      <c r="X837" s="8" t="s">
        <v>35</v>
      </c>
      <c r="Y837" s="9">
        <v>482</v>
      </c>
      <c r="Z837" s="9">
        <v>91.518929</v>
      </c>
      <c r="AA837" s="9">
        <v>120.5</v>
      </c>
      <c r="AB837" s="9">
        <v>380.52533</v>
      </c>
    </row>
    <row r="838" spans="1:28" x14ac:dyDescent="0.25">
      <c r="A838" s="8" t="s">
        <v>1760</v>
      </c>
      <c r="B838" s="8" t="s">
        <v>1761</v>
      </c>
      <c r="C838" s="8" t="s">
        <v>62</v>
      </c>
      <c r="D838" s="10">
        <v>2.0999998999999998</v>
      </c>
      <c r="E838" s="10">
        <v>1</v>
      </c>
      <c r="F838" s="10">
        <v>1.1000000000000001</v>
      </c>
      <c r="G838" s="10">
        <v>1</v>
      </c>
      <c r="H838" s="10">
        <v>1.1000000000000001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0.1</v>
      </c>
      <c r="O838" s="8" t="s">
        <v>57</v>
      </c>
      <c r="P838" s="8" t="s">
        <v>31</v>
      </c>
      <c r="Q838" s="8" t="s">
        <v>31</v>
      </c>
      <c r="R838" s="8" t="s">
        <v>31</v>
      </c>
      <c r="S838" s="8" t="s">
        <v>31</v>
      </c>
      <c r="T838" s="8" t="s">
        <v>31</v>
      </c>
      <c r="U838" s="8" t="s">
        <v>31</v>
      </c>
      <c r="V838" s="8" t="s">
        <v>31</v>
      </c>
      <c r="W838" s="8" t="str">
        <f>_xlfn.IFNA(VLOOKUP(A838,[1]Sheet1!$A$1:$B$101,1,FALSE),"na")</f>
        <v>na</v>
      </c>
      <c r="X838" s="8" t="s">
        <v>35</v>
      </c>
      <c r="Y838" s="9">
        <v>160</v>
      </c>
      <c r="Z838" s="9">
        <v>76.190483</v>
      </c>
      <c r="AA838" s="9">
        <v>160</v>
      </c>
      <c r="AB838" s="9">
        <v>145.45454000000001</v>
      </c>
    </row>
    <row r="839" spans="1:28" x14ac:dyDescent="0.25">
      <c r="A839" s="8" t="s">
        <v>1762</v>
      </c>
      <c r="B839" s="8" t="s">
        <v>1763</v>
      </c>
      <c r="C839" s="8" t="s">
        <v>30</v>
      </c>
      <c r="D839" s="10">
        <v>2.4000001000000002</v>
      </c>
      <c r="E839" s="10">
        <v>1</v>
      </c>
      <c r="F839" s="10">
        <v>1.4</v>
      </c>
      <c r="G839" s="10">
        <v>1</v>
      </c>
      <c r="H839" s="10">
        <v>1.4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0.40000001000000002</v>
      </c>
      <c r="O839" s="8" t="s">
        <v>57</v>
      </c>
      <c r="P839" s="8" t="s">
        <v>31</v>
      </c>
      <c r="Q839" s="8" t="s">
        <v>31</v>
      </c>
      <c r="R839" s="8" t="s">
        <v>31</v>
      </c>
      <c r="S839" s="8" t="s">
        <v>31</v>
      </c>
      <c r="T839" s="8" t="s">
        <v>31</v>
      </c>
      <c r="U839" s="8" t="s">
        <v>31</v>
      </c>
      <c r="V839" s="8" t="s">
        <v>31</v>
      </c>
      <c r="W839" s="8" t="str">
        <f>_xlfn.IFNA(VLOOKUP(A839,[1]Sheet1!$A$1:$B$101,1,FALSE),"na")</f>
        <v>na</v>
      </c>
      <c r="X839" s="8" t="s">
        <v>35</v>
      </c>
      <c r="Y839" s="9">
        <v>274</v>
      </c>
      <c r="Z839" s="9">
        <v>114.16665999999999</v>
      </c>
      <c r="AA839" s="9">
        <v>274</v>
      </c>
      <c r="AB839" s="9">
        <v>195.71429000000001</v>
      </c>
    </row>
    <row r="840" spans="1:28" x14ac:dyDescent="0.25">
      <c r="A840" s="8" t="s">
        <v>1764</v>
      </c>
      <c r="B840" s="8" t="s">
        <v>1765</v>
      </c>
      <c r="C840" s="8" t="s">
        <v>38</v>
      </c>
      <c r="D840" s="10">
        <v>2.2000000000000002</v>
      </c>
      <c r="E840" s="10">
        <v>1</v>
      </c>
      <c r="F840" s="10">
        <v>1.2</v>
      </c>
      <c r="G840" s="10">
        <v>1</v>
      </c>
      <c r="H840" s="10">
        <v>1.2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0.2</v>
      </c>
      <c r="O840" s="8" t="s">
        <v>31</v>
      </c>
      <c r="P840" s="8" t="s">
        <v>31</v>
      </c>
      <c r="Q840" s="8" t="s">
        <v>31</v>
      </c>
      <c r="R840" s="8" t="s">
        <v>31</v>
      </c>
      <c r="S840" s="8" t="s">
        <v>31</v>
      </c>
      <c r="T840" s="8" t="s">
        <v>31</v>
      </c>
      <c r="U840" s="8" t="s">
        <v>31</v>
      </c>
      <c r="V840" s="8" t="s">
        <v>31</v>
      </c>
      <c r="W840" s="8" t="str">
        <f>_xlfn.IFNA(VLOOKUP(A840,[1]Sheet1!$A$1:$B$101,1,FALSE),"na")</f>
        <v>na</v>
      </c>
      <c r="X840" s="8" t="s">
        <v>35</v>
      </c>
      <c r="Y840" s="9">
        <v>39</v>
      </c>
      <c r="Z840" s="9">
        <v>17.727271999999999</v>
      </c>
      <c r="AA840" s="9">
        <v>39</v>
      </c>
      <c r="AB840" s="9">
        <v>32.5</v>
      </c>
    </row>
    <row r="841" spans="1:28" x14ac:dyDescent="0.25">
      <c r="A841" s="8" t="s">
        <v>1766</v>
      </c>
      <c r="B841" s="8" t="s">
        <v>1767</v>
      </c>
      <c r="C841" s="8" t="s">
        <v>38</v>
      </c>
      <c r="D841" s="10">
        <v>2.2000000000000002</v>
      </c>
      <c r="E841" s="10">
        <v>1</v>
      </c>
      <c r="F841" s="10">
        <v>1.2</v>
      </c>
      <c r="G841" s="10">
        <v>1</v>
      </c>
      <c r="H841" s="10">
        <v>1.2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0.2</v>
      </c>
      <c r="O841" s="8" t="s">
        <v>57</v>
      </c>
      <c r="P841" s="8" t="s">
        <v>31</v>
      </c>
      <c r="Q841" s="8" t="s">
        <v>31</v>
      </c>
      <c r="R841" s="8" t="s">
        <v>31</v>
      </c>
      <c r="S841" s="8" t="s">
        <v>31</v>
      </c>
      <c r="T841" s="8" t="s">
        <v>31</v>
      </c>
      <c r="U841" s="8" t="s">
        <v>31</v>
      </c>
      <c r="V841" s="8" t="s">
        <v>31</v>
      </c>
      <c r="W841" s="8" t="str">
        <f>_xlfn.IFNA(VLOOKUP(A841,[1]Sheet1!$A$1:$B$101,1,FALSE),"na")</f>
        <v>na</v>
      </c>
      <c r="X841" s="8" t="s">
        <v>35</v>
      </c>
      <c r="Y841" s="9">
        <v>535</v>
      </c>
      <c r="Z841" s="9">
        <v>243.18181000000001</v>
      </c>
      <c r="AA841" s="9">
        <v>535</v>
      </c>
      <c r="AB841" s="9">
        <v>445.83330999999998</v>
      </c>
    </row>
    <row r="842" spans="1:28" x14ac:dyDescent="0.25">
      <c r="A842" s="8" t="s">
        <v>1768</v>
      </c>
      <c r="B842" s="8" t="s">
        <v>1769</v>
      </c>
      <c r="C842" s="8" t="s">
        <v>67</v>
      </c>
      <c r="D842" s="10">
        <v>2.2000000000000002</v>
      </c>
      <c r="E842" s="10">
        <v>1</v>
      </c>
      <c r="F842" s="10">
        <v>1.2</v>
      </c>
      <c r="G842" s="10">
        <v>1</v>
      </c>
      <c r="H842" s="10">
        <v>1.2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0.2</v>
      </c>
      <c r="O842" s="8" t="s">
        <v>57</v>
      </c>
      <c r="P842" s="8" t="s">
        <v>31</v>
      </c>
      <c r="Q842" s="8" t="s">
        <v>31</v>
      </c>
      <c r="R842" s="8" t="s">
        <v>31</v>
      </c>
      <c r="S842" s="8" t="s">
        <v>31</v>
      </c>
      <c r="T842" s="8" t="s">
        <v>31</v>
      </c>
      <c r="U842" s="8" t="s">
        <v>31</v>
      </c>
      <c r="V842" s="8" t="s">
        <v>31</v>
      </c>
      <c r="W842" s="8" t="str">
        <f>_xlfn.IFNA(VLOOKUP(A842,[1]Sheet1!$A$1:$B$101,1,FALSE),"na")</f>
        <v>na</v>
      </c>
      <c r="X842" s="8" t="s">
        <v>35</v>
      </c>
      <c r="Y842" s="9">
        <v>240</v>
      </c>
      <c r="Z842" s="9">
        <v>109.0909</v>
      </c>
      <c r="AA842" s="9">
        <v>240</v>
      </c>
      <c r="AB842" s="9">
        <v>199.99997999999999</v>
      </c>
    </row>
    <row r="843" spans="1:28" x14ac:dyDescent="0.25">
      <c r="A843" s="8" t="s">
        <v>1770</v>
      </c>
      <c r="B843" s="8" t="s">
        <v>1771</v>
      </c>
      <c r="C843" s="8" t="s">
        <v>30</v>
      </c>
      <c r="D843" s="10">
        <v>1.8</v>
      </c>
      <c r="E843" s="10">
        <v>1</v>
      </c>
      <c r="F843" s="10">
        <v>0.80000000999999998</v>
      </c>
      <c r="G843" s="10">
        <v>1</v>
      </c>
      <c r="H843" s="10">
        <v>0.80000000999999998</v>
      </c>
      <c r="I843" s="10">
        <v>0</v>
      </c>
      <c r="J843" s="10">
        <v>0</v>
      </c>
      <c r="K843" s="10">
        <v>0</v>
      </c>
      <c r="L843" s="10">
        <v>0.80000000999999998</v>
      </c>
      <c r="M843" s="10">
        <v>0</v>
      </c>
      <c r="N843" s="10">
        <v>0.80000000999999998</v>
      </c>
      <c r="O843" s="8" t="s">
        <v>31</v>
      </c>
      <c r="P843" s="8" t="s">
        <v>31</v>
      </c>
      <c r="Q843" s="8" t="s">
        <v>31</v>
      </c>
      <c r="R843" s="8" t="s">
        <v>31</v>
      </c>
      <c r="S843" s="8" t="s">
        <v>31</v>
      </c>
      <c r="T843" s="8" t="s">
        <v>31</v>
      </c>
      <c r="U843" s="8" t="s">
        <v>31</v>
      </c>
      <c r="V843" s="8" t="s">
        <v>31</v>
      </c>
      <c r="W843" s="8" t="str">
        <f>_xlfn.IFNA(VLOOKUP(A843,[1]Sheet1!$A$1:$B$101,1,FALSE),"na")</f>
        <v>na</v>
      </c>
      <c r="X843" s="8" t="s">
        <v>35</v>
      </c>
      <c r="Y843" s="9">
        <v>396</v>
      </c>
      <c r="Z843" s="9">
        <v>220</v>
      </c>
      <c r="AA843" s="9">
        <v>396</v>
      </c>
      <c r="AB843" s="9">
        <v>396</v>
      </c>
    </row>
    <row r="844" spans="1:28" x14ac:dyDescent="0.25">
      <c r="A844" s="8" t="s">
        <v>1772</v>
      </c>
      <c r="B844" s="8" t="s">
        <v>1773</v>
      </c>
      <c r="C844" s="8" t="s">
        <v>30</v>
      </c>
      <c r="D844" s="10">
        <v>2.2000000000000002</v>
      </c>
      <c r="E844" s="10">
        <v>1</v>
      </c>
      <c r="F844" s="10">
        <v>1.2</v>
      </c>
      <c r="G844" s="10">
        <v>1</v>
      </c>
      <c r="H844" s="10">
        <v>1.2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1.2</v>
      </c>
      <c r="O844" s="8" t="s">
        <v>31</v>
      </c>
      <c r="P844" s="8" t="s">
        <v>31</v>
      </c>
      <c r="Q844" s="8" t="s">
        <v>31</v>
      </c>
      <c r="R844" s="8" t="s">
        <v>31</v>
      </c>
      <c r="S844" s="8" t="s">
        <v>31</v>
      </c>
      <c r="T844" s="8" t="s">
        <v>31</v>
      </c>
      <c r="U844" s="8" t="s">
        <v>31</v>
      </c>
      <c r="V844" s="8" t="s">
        <v>31</v>
      </c>
      <c r="W844" s="8" t="str">
        <f>_xlfn.IFNA(VLOOKUP(A844,[1]Sheet1!$A$1:$B$101,1,FALSE),"na")</f>
        <v>na</v>
      </c>
      <c r="X844" s="8" t="s">
        <v>35</v>
      </c>
      <c r="Y844" s="9">
        <v>861</v>
      </c>
      <c r="Z844" s="9">
        <v>391.36362000000003</v>
      </c>
      <c r="AA844" s="9">
        <v>861</v>
      </c>
      <c r="AB844" s="9">
        <v>717.5</v>
      </c>
    </row>
    <row r="845" spans="1:28" x14ac:dyDescent="0.25">
      <c r="A845" s="8" t="s">
        <v>1774</v>
      </c>
      <c r="B845" s="8" t="s">
        <v>1775</v>
      </c>
      <c r="C845" s="8" t="s">
        <v>30</v>
      </c>
      <c r="D845" s="10">
        <v>1.6</v>
      </c>
      <c r="E845" s="10">
        <v>1</v>
      </c>
      <c r="F845" s="10">
        <v>0.60000001999999997</v>
      </c>
      <c r="G845" s="10">
        <v>1</v>
      </c>
      <c r="H845" s="10">
        <v>0.60000001999999997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0.60000001999999997</v>
      </c>
      <c r="O845" s="8" t="s">
        <v>31</v>
      </c>
      <c r="P845" s="8" t="s">
        <v>31</v>
      </c>
      <c r="Q845" s="8" t="s">
        <v>31</v>
      </c>
      <c r="R845" s="8" t="s">
        <v>31</v>
      </c>
      <c r="S845" s="8" t="s">
        <v>31</v>
      </c>
      <c r="T845" s="8" t="s">
        <v>31</v>
      </c>
      <c r="U845" s="8" t="s">
        <v>31</v>
      </c>
      <c r="V845" s="8" t="s">
        <v>31</v>
      </c>
      <c r="W845" s="8" t="str">
        <f>_xlfn.IFNA(VLOOKUP(A845,[1]Sheet1!$A$1:$B$101,1,FALSE),"na")</f>
        <v>na</v>
      </c>
      <c r="X845" s="8" t="s">
        <v>35</v>
      </c>
      <c r="Y845" s="9">
        <v>314</v>
      </c>
      <c r="Z845" s="9">
        <v>196.25</v>
      </c>
      <c r="AA845" s="9">
        <v>314</v>
      </c>
      <c r="AB845" s="9">
        <v>314</v>
      </c>
    </row>
    <row r="846" spans="1:28" x14ac:dyDescent="0.25">
      <c r="A846" s="8" t="s">
        <v>1776</v>
      </c>
      <c r="B846" s="8" t="s">
        <v>1777</v>
      </c>
      <c r="C846" s="8" t="s">
        <v>30</v>
      </c>
      <c r="D846" s="10">
        <v>2.2000000000000002</v>
      </c>
      <c r="E846" s="10">
        <v>1</v>
      </c>
      <c r="F846" s="10">
        <v>1.2</v>
      </c>
      <c r="G846" s="10">
        <v>1</v>
      </c>
      <c r="H846" s="10">
        <v>1.2</v>
      </c>
      <c r="I846" s="10">
        <v>0</v>
      </c>
      <c r="J846" s="10">
        <v>0</v>
      </c>
      <c r="K846" s="10">
        <v>0</v>
      </c>
      <c r="L846" s="10">
        <v>0.2</v>
      </c>
      <c r="M846" s="10">
        <v>0</v>
      </c>
      <c r="N846" s="10">
        <v>0.2</v>
      </c>
      <c r="O846" s="8" t="s">
        <v>57</v>
      </c>
      <c r="P846" s="8" t="s">
        <v>31</v>
      </c>
      <c r="Q846" s="8" t="s">
        <v>31</v>
      </c>
      <c r="R846" s="8" t="s">
        <v>31</v>
      </c>
      <c r="S846" s="8" t="s">
        <v>31</v>
      </c>
      <c r="T846" s="8" t="s">
        <v>31</v>
      </c>
      <c r="U846" s="8" t="s">
        <v>31</v>
      </c>
      <c r="V846" s="8" t="s">
        <v>31</v>
      </c>
      <c r="W846" s="8" t="str">
        <f>_xlfn.IFNA(VLOOKUP(A846,[1]Sheet1!$A$1:$B$101,1,FALSE),"na")</f>
        <v>na</v>
      </c>
      <c r="X846" s="8" t="s">
        <v>35</v>
      </c>
      <c r="Y846" s="9">
        <v>302</v>
      </c>
      <c r="Z846" s="9">
        <v>137.27271999999999</v>
      </c>
      <c r="AA846" s="9">
        <v>302</v>
      </c>
      <c r="AB846" s="9">
        <v>251.66666000000001</v>
      </c>
    </row>
    <row r="847" spans="1:28" x14ac:dyDescent="0.25">
      <c r="A847" s="8" t="s">
        <v>1778</v>
      </c>
      <c r="B847" s="8" t="s">
        <v>1779</v>
      </c>
      <c r="C847" s="8" t="s">
        <v>67</v>
      </c>
      <c r="D847" s="10">
        <v>2</v>
      </c>
      <c r="E847" s="10">
        <v>1</v>
      </c>
      <c r="F847" s="10">
        <v>1</v>
      </c>
      <c r="G847" s="10">
        <v>1</v>
      </c>
      <c r="H847" s="10">
        <v>1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8" t="s">
        <v>57</v>
      </c>
      <c r="P847" s="8" t="s">
        <v>31</v>
      </c>
      <c r="Q847" s="8" t="s">
        <v>31</v>
      </c>
      <c r="R847" s="8" t="s">
        <v>31</v>
      </c>
      <c r="S847" s="8" t="s">
        <v>31</v>
      </c>
      <c r="T847" s="8" t="s">
        <v>31</v>
      </c>
      <c r="U847" s="8" t="s">
        <v>31</v>
      </c>
      <c r="V847" s="8" t="s">
        <v>31</v>
      </c>
      <c r="W847" s="8" t="str">
        <f>_xlfn.IFNA(VLOOKUP(A847,[1]Sheet1!$A$1:$B$101,1,FALSE),"na")</f>
        <v>na</v>
      </c>
      <c r="X847" s="8" t="s">
        <v>35</v>
      </c>
      <c r="Y847" s="9">
        <v>187</v>
      </c>
      <c r="Z847" s="9">
        <v>93.5</v>
      </c>
      <c r="AA847" s="9">
        <v>187</v>
      </c>
      <c r="AB847" s="9">
        <v>187</v>
      </c>
    </row>
    <row r="848" spans="1:28" x14ac:dyDescent="0.25">
      <c r="A848" s="8" t="s">
        <v>1780</v>
      </c>
      <c r="B848" s="8" t="s">
        <v>1781</v>
      </c>
      <c r="C848" s="8" t="s">
        <v>30</v>
      </c>
      <c r="D848" s="10">
        <v>1.8</v>
      </c>
      <c r="E848" s="10">
        <v>1</v>
      </c>
      <c r="F848" s="10">
        <v>0.80000000999999998</v>
      </c>
      <c r="G848" s="10">
        <v>1</v>
      </c>
      <c r="H848" s="10">
        <v>0.80000000999999998</v>
      </c>
      <c r="I848" s="10">
        <v>0</v>
      </c>
      <c r="J848" s="10">
        <v>0</v>
      </c>
      <c r="K848" s="10">
        <v>0</v>
      </c>
      <c r="L848" s="10">
        <v>0</v>
      </c>
      <c r="M848" s="10">
        <v>0</v>
      </c>
      <c r="N848" s="10">
        <v>0.80000000999999998</v>
      </c>
      <c r="O848" s="8" t="s">
        <v>31</v>
      </c>
      <c r="P848" s="8" t="s">
        <v>31</v>
      </c>
      <c r="Q848" s="8" t="s">
        <v>31</v>
      </c>
      <c r="R848" s="8" t="s">
        <v>31</v>
      </c>
      <c r="S848" s="8" t="s">
        <v>31</v>
      </c>
      <c r="T848" s="8" t="s">
        <v>31</v>
      </c>
      <c r="U848" s="8" t="s">
        <v>31</v>
      </c>
      <c r="V848" s="8" t="s">
        <v>31</v>
      </c>
      <c r="W848" s="8" t="str">
        <f>_xlfn.IFNA(VLOOKUP(A848,[1]Sheet1!$A$1:$B$101,1,FALSE),"na")</f>
        <v>na</v>
      </c>
      <c r="X848" s="8" t="s">
        <v>35</v>
      </c>
      <c r="Y848" s="9">
        <v>340</v>
      </c>
      <c r="Z848" s="9">
        <v>188.88890000000001</v>
      </c>
      <c r="AA848" s="9">
        <v>340</v>
      </c>
      <c r="AB848" s="9">
        <v>340</v>
      </c>
    </row>
    <row r="849" spans="1:28" x14ac:dyDescent="0.25">
      <c r="A849" s="8" t="s">
        <v>1782</v>
      </c>
      <c r="B849" s="8" t="s">
        <v>1783</v>
      </c>
      <c r="C849" s="8" t="s">
        <v>30</v>
      </c>
      <c r="D849" s="10">
        <v>2.5999998999999998</v>
      </c>
      <c r="E849" s="10">
        <v>1</v>
      </c>
      <c r="F849" s="10">
        <v>1.6</v>
      </c>
      <c r="G849" s="10">
        <v>1</v>
      </c>
      <c r="H849" s="10">
        <v>1.6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0.60000001999999997</v>
      </c>
      <c r="O849" s="8" t="s">
        <v>57</v>
      </c>
      <c r="P849" s="8" t="s">
        <v>31</v>
      </c>
      <c r="Q849" s="8" t="s">
        <v>31</v>
      </c>
      <c r="R849" s="8" t="s">
        <v>31</v>
      </c>
      <c r="S849" s="8" t="s">
        <v>31</v>
      </c>
      <c r="T849" s="8" t="s">
        <v>31</v>
      </c>
      <c r="U849" s="8" t="s">
        <v>31</v>
      </c>
      <c r="V849" s="8" t="s">
        <v>31</v>
      </c>
      <c r="W849" s="8" t="str">
        <f>_xlfn.IFNA(VLOOKUP(A849,[1]Sheet1!$A$1:$B$101,1,FALSE),"na")</f>
        <v>na</v>
      </c>
      <c r="X849" s="8" t="s">
        <v>35</v>
      </c>
      <c r="Y849" s="9">
        <v>346</v>
      </c>
      <c r="Z849" s="9">
        <v>133.07693</v>
      </c>
      <c r="AA849" s="9">
        <v>346</v>
      </c>
      <c r="AB849" s="9">
        <v>216.25</v>
      </c>
    </row>
    <row r="850" spans="1:28" x14ac:dyDescent="0.25">
      <c r="A850" s="8" t="s">
        <v>1784</v>
      </c>
      <c r="B850" s="8" t="s">
        <v>1785</v>
      </c>
      <c r="C850" s="8" t="s">
        <v>30</v>
      </c>
      <c r="D850" s="10">
        <v>1.6</v>
      </c>
      <c r="E850" s="10">
        <v>1</v>
      </c>
      <c r="F850" s="10">
        <v>0.60000001999999997</v>
      </c>
      <c r="G850" s="10">
        <v>1</v>
      </c>
      <c r="H850" s="10">
        <v>0.60000001999999997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0.60000001999999997</v>
      </c>
      <c r="O850" s="8" t="s">
        <v>31</v>
      </c>
      <c r="P850" s="8" t="s">
        <v>31</v>
      </c>
      <c r="Q850" s="8" t="s">
        <v>31</v>
      </c>
      <c r="R850" s="8" t="s">
        <v>31</v>
      </c>
      <c r="S850" s="8" t="s">
        <v>31</v>
      </c>
      <c r="T850" s="8" t="s">
        <v>31</v>
      </c>
      <c r="U850" s="8" t="s">
        <v>31</v>
      </c>
      <c r="V850" s="8" t="s">
        <v>31</v>
      </c>
      <c r="W850" s="8" t="str">
        <f>_xlfn.IFNA(VLOOKUP(A850,[1]Sheet1!$A$1:$B$101,1,FALSE),"na")</f>
        <v>na</v>
      </c>
      <c r="X850" s="8" t="s">
        <v>35</v>
      </c>
      <c r="Y850" s="9">
        <v>674</v>
      </c>
      <c r="Z850" s="9">
        <v>421.25</v>
      </c>
      <c r="AA850" s="9">
        <v>674</v>
      </c>
      <c r="AB850" s="9">
        <v>674</v>
      </c>
    </row>
    <row r="851" spans="1:28" x14ac:dyDescent="0.25">
      <c r="A851" s="8" t="s">
        <v>1786</v>
      </c>
      <c r="B851" s="8" t="s">
        <v>1787</v>
      </c>
      <c r="C851" s="8" t="s">
        <v>30</v>
      </c>
      <c r="D851" s="10">
        <v>2.2999999999999998</v>
      </c>
      <c r="E851" s="10">
        <v>1</v>
      </c>
      <c r="F851" s="10">
        <v>1.3</v>
      </c>
      <c r="G851" s="10">
        <v>1</v>
      </c>
      <c r="H851" s="10">
        <v>1.3</v>
      </c>
      <c r="I851" s="10">
        <v>0</v>
      </c>
      <c r="J851" s="10">
        <v>0</v>
      </c>
      <c r="K851" s="10">
        <v>0</v>
      </c>
      <c r="L851" s="10">
        <v>0.30000000999999998</v>
      </c>
      <c r="M851" s="10">
        <v>0</v>
      </c>
      <c r="N851" s="10">
        <v>0.30000000999999998</v>
      </c>
      <c r="O851" s="8" t="s">
        <v>31</v>
      </c>
      <c r="P851" s="8" t="s">
        <v>31</v>
      </c>
      <c r="Q851" s="8" t="s">
        <v>31</v>
      </c>
      <c r="R851" s="8" t="s">
        <v>31</v>
      </c>
      <c r="S851" s="8" t="s">
        <v>31</v>
      </c>
      <c r="T851" s="8" t="s">
        <v>31</v>
      </c>
      <c r="U851" s="8" t="s">
        <v>31</v>
      </c>
      <c r="V851" s="8" t="s">
        <v>31</v>
      </c>
      <c r="W851" s="8" t="str">
        <f>_xlfn.IFNA(VLOOKUP(A851,[1]Sheet1!$A$1:$B$101,1,FALSE),"na")</f>
        <v>na</v>
      </c>
      <c r="X851" s="8" t="s">
        <v>35</v>
      </c>
      <c r="Y851" s="9">
        <v>317</v>
      </c>
      <c r="Z851" s="9">
        <v>137.8261</v>
      </c>
      <c r="AA851" s="9">
        <v>317</v>
      </c>
      <c r="AB851" s="9">
        <v>243.84616</v>
      </c>
    </row>
    <row r="852" spans="1:28" x14ac:dyDescent="0.25">
      <c r="A852" s="8" t="s">
        <v>1788</v>
      </c>
      <c r="B852" s="8" t="s">
        <v>1789</v>
      </c>
      <c r="C852" s="8" t="s">
        <v>30</v>
      </c>
      <c r="D852" s="10">
        <v>2.4000001000000002</v>
      </c>
      <c r="E852" s="10">
        <v>0</v>
      </c>
      <c r="F852" s="10">
        <v>2.4000001000000002</v>
      </c>
      <c r="G852" s="10">
        <v>0</v>
      </c>
      <c r="H852" s="10">
        <v>2.4000001000000002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0.40000001000000002</v>
      </c>
      <c r="O852" s="8" t="s">
        <v>57</v>
      </c>
      <c r="P852" s="8" t="s">
        <v>31</v>
      </c>
      <c r="Q852" s="8" t="s">
        <v>57</v>
      </c>
      <c r="R852" s="8" t="s">
        <v>31</v>
      </c>
      <c r="S852" s="8" t="s">
        <v>31</v>
      </c>
      <c r="T852" s="8" t="s">
        <v>31</v>
      </c>
      <c r="U852" s="8" t="s">
        <v>31</v>
      </c>
      <c r="V852" s="8" t="s">
        <v>31</v>
      </c>
      <c r="W852" s="8" t="str">
        <f>_xlfn.IFNA(VLOOKUP(A852,[1]Sheet1!$A$1:$B$101,1,FALSE),"na")</f>
        <v>na</v>
      </c>
      <c r="X852" s="8" t="s">
        <v>434</v>
      </c>
      <c r="Y852" s="9">
        <v>286</v>
      </c>
      <c r="Z852" s="9">
        <v>119.16665999999999</v>
      </c>
      <c r="AA852" s="9">
        <v>286</v>
      </c>
      <c r="AB852" s="9">
        <v>119.16665999999999</v>
      </c>
    </row>
    <row r="853" spans="1:28" x14ac:dyDescent="0.25">
      <c r="A853" s="8" t="s">
        <v>1790</v>
      </c>
      <c r="B853" s="8" t="s">
        <v>1791</v>
      </c>
      <c r="C853" s="8" t="s">
        <v>30</v>
      </c>
      <c r="D853" s="10">
        <v>1.6</v>
      </c>
      <c r="E853" s="10">
        <v>1</v>
      </c>
      <c r="F853" s="10">
        <v>0.60000001999999997</v>
      </c>
      <c r="G853" s="10">
        <v>1</v>
      </c>
      <c r="H853" s="10">
        <v>0.60000001999999997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0.60000001999999997</v>
      </c>
      <c r="O853" s="8" t="s">
        <v>31</v>
      </c>
      <c r="P853" s="8" t="s">
        <v>31</v>
      </c>
      <c r="Q853" s="8" t="s">
        <v>31</v>
      </c>
      <c r="R853" s="8" t="s">
        <v>31</v>
      </c>
      <c r="S853" s="8" t="s">
        <v>31</v>
      </c>
      <c r="T853" s="8" t="s">
        <v>31</v>
      </c>
      <c r="U853" s="8" t="s">
        <v>31</v>
      </c>
      <c r="V853" s="8" t="s">
        <v>31</v>
      </c>
      <c r="W853" s="8" t="str">
        <f>_xlfn.IFNA(VLOOKUP(A853,[1]Sheet1!$A$1:$B$101,1,FALSE),"na")</f>
        <v>na</v>
      </c>
      <c r="X853" s="8" t="s">
        <v>1792</v>
      </c>
      <c r="Y853" s="9">
        <v>372</v>
      </c>
      <c r="Z853" s="9">
        <v>232.5</v>
      </c>
      <c r="AA853" s="9">
        <v>372</v>
      </c>
      <c r="AB853" s="9">
        <v>372</v>
      </c>
    </row>
    <row r="854" spans="1:28" x14ac:dyDescent="0.25">
      <c r="A854" s="8" t="s">
        <v>1793</v>
      </c>
      <c r="B854" s="8" t="s">
        <v>1794</v>
      </c>
      <c r="C854" s="8" t="s">
        <v>30</v>
      </c>
      <c r="D854" s="10">
        <v>1.6</v>
      </c>
      <c r="E854" s="10">
        <v>1</v>
      </c>
      <c r="F854" s="10">
        <v>0.60000001999999997</v>
      </c>
      <c r="G854" s="10">
        <v>1</v>
      </c>
      <c r="H854" s="10">
        <v>0.60000001999999997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0.60000001999999997</v>
      </c>
      <c r="O854" s="8" t="s">
        <v>31</v>
      </c>
      <c r="P854" s="8" t="s">
        <v>31</v>
      </c>
      <c r="Q854" s="8" t="s">
        <v>31</v>
      </c>
      <c r="R854" s="8" t="s">
        <v>31</v>
      </c>
      <c r="S854" s="8" t="s">
        <v>31</v>
      </c>
      <c r="T854" s="8" t="s">
        <v>31</v>
      </c>
      <c r="U854" s="8" t="s">
        <v>31</v>
      </c>
      <c r="V854" s="8" t="s">
        <v>31</v>
      </c>
      <c r="W854" s="8" t="str">
        <f>_xlfn.IFNA(VLOOKUP(A854,[1]Sheet1!$A$1:$B$101,1,FALSE),"na")</f>
        <v>na</v>
      </c>
      <c r="X854" s="8" t="s">
        <v>1334</v>
      </c>
      <c r="Y854" s="9">
        <v>569</v>
      </c>
      <c r="Z854" s="9">
        <v>355.625</v>
      </c>
      <c r="AA854" s="9">
        <v>569</v>
      </c>
      <c r="AB854" s="9">
        <v>569</v>
      </c>
    </row>
    <row r="855" spans="1:28" x14ac:dyDescent="0.25">
      <c r="A855" s="8" t="s">
        <v>1795</v>
      </c>
      <c r="B855" s="8" t="s">
        <v>1796</v>
      </c>
      <c r="C855" s="8" t="s">
        <v>30</v>
      </c>
      <c r="D855" s="10">
        <v>2.4000001000000002</v>
      </c>
      <c r="E855" s="10">
        <v>1</v>
      </c>
      <c r="F855" s="10">
        <v>1.4</v>
      </c>
      <c r="G855" s="10">
        <v>1</v>
      </c>
      <c r="H855" s="10">
        <v>1.4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0.40000001000000002</v>
      </c>
      <c r="O855" s="8" t="s">
        <v>57</v>
      </c>
      <c r="P855" s="8" t="s">
        <v>31</v>
      </c>
      <c r="Q855" s="8" t="s">
        <v>31</v>
      </c>
      <c r="R855" s="8" t="s">
        <v>31</v>
      </c>
      <c r="S855" s="8" t="s">
        <v>31</v>
      </c>
      <c r="T855" s="8" t="s">
        <v>31</v>
      </c>
      <c r="U855" s="8" t="s">
        <v>31</v>
      </c>
      <c r="V855" s="8" t="s">
        <v>31</v>
      </c>
      <c r="W855" s="8" t="str">
        <f>_xlfn.IFNA(VLOOKUP(A855,[1]Sheet1!$A$1:$B$101,1,FALSE),"na")</f>
        <v>na</v>
      </c>
      <c r="X855" s="8" t="s">
        <v>35</v>
      </c>
      <c r="Y855" s="9">
        <v>281</v>
      </c>
      <c r="Z855" s="9">
        <v>117.08333</v>
      </c>
      <c r="AA855" s="9">
        <v>281</v>
      </c>
      <c r="AB855" s="9">
        <v>200.71429000000001</v>
      </c>
    </row>
    <row r="856" spans="1:28" x14ac:dyDescent="0.25">
      <c r="A856" s="8" t="s">
        <v>1797</v>
      </c>
      <c r="B856" s="8" t="s">
        <v>1798</v>
      </c>
      <c r="C856" s="8" t="s">
        <v>67</v>
      </c>
      <c r="D856" s="10">
        <v>3.2</v>
      </c>
      <c r="E856" s="10">
        <v>2</v>
      </c>
      <c r="F856" s="10">
        <v>1.2</v>
      </c>
      <c r="G856" s="10">
        <v>2</v>
      </c>
      <c r="H856" s="10">
        <v>1.2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0.2</v>
      </c>
      <c r="O856" s="8" t="s">
        <v>31</v>
      </c>
      <c r="P856" s="8" t="s">
        <v>31</v>
      </c>
      <c r="Q856" s="8" t="s">
        <v>31</v>
      </c>
      <c r="R856" s="8" t="s">
        <v>31</v>
      </c>
      <c r="S856" s="8" t="s">
        <v>31</v>
      </c>
      <c r="T856" s="8" t="s">
        <v>31</v>
      </c>
      <c r="U856" s="8" t="s">
        <v>31</v>
      </c>
      <c r="V856" s="8" t="s">
        <v>31</v>
      </c>
      <c r="W856" s="8" t="str">
        <f>_xlfn.IFNA(VLOOKUP(A856,[1]Sheet1!$A$1:$B$101,1,FALSE),"na")</f>
        <v>na</v>
      </c>
      <c r="X856" s="8" t="s">
        <v>35</v>
      </c>
      <c r="Y856" s="9">
        <v>521</v>
      </c>
      <c r="Z856" s="9">
        <v>162.8125</v>
      </c>
      <c r="AA856" s="9">
        <v>260.5</v>
      </c>
      <c r="AB856" s="9">
        <v>434.16665999999998</v>
      </c>
    </row>
    <row r="857" spans="1:28" x14ac:dyDescent="0.25">
      <c r="A857" s="8" t="s">
        <v>1799</v>
      </c>
      <c r="B857" s="8" t="s">
        <v>1800</v>
      </c>
      <c r="C857" s="8" t="s">
        <v>67</v>
      </c>
      <c r="D857" s="10">
        <v>2.2000000000000002</v>
      </c>
      <c r="E857" s="10">
        <v>1</v>
      </c>
      <c r="F857" s="10">
        <v>1.2</v>
      </c>
      <c r="G857" s="10">
        <v>1</v>
      </c>
      <c r="H857" s="10">
        <v>1.2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0.2</v>
      </c>
      <c r="O857" s="8" t="s">
        <v>57</v>
      </c>
      <c r="P857" s="8" t="s">
        <v>31</v>
      </c>
      <c r="Q857" s="8" t="s">
        <v>31</v>
      </c>
      <c r="R857" s="8" t="s">
        <v>31</v>
      </c>
      <c r="S857" s="8" t="s">
        <v>31</v>
      </c>
      <c r="T857" s="8" t="s">
        <v>31</v>
      </c>
      <c r="U857" s="8" t="s">
        <v>31</v>
      </c>
      <c r="V857" s="8" t="s">
        <v>31</v>
      </c>
      <c r="W857" s="8" t="str">
        <f>_xlfn.IFNA(VLOOKUP(A857,[1]Sheet1!$A$1:$B$101,1,FALSE),"na")</f>
        <v>na</v>
      </c>
      <c r="X857" s="8" t="s">
        <v>35</v>
      </c>
      <c r="Y857" s="9">
        <v>232</v>
      </c>
      <c r="Z857" s="9">
        <v>105.45453999999999</v>
      </c>
      <c r="AA857" s="9">
        <v>232</v>
      </c>
      <c r="AB857" s="9">
        <v>193.33332999999999</v>
      </c>
    </row>
    <row r="858" spans="1:28" x14ac:dyDescent="0.25">
      <c r="A858" s="8" t="s">
        <v>1801</v>
      </c>
      <c r="B858" s="8" t="s">
        <v>1802</v>
      </c>
      <c r="C858" s="8" t="s">
        <v>62</v>
      </c>
      <c r="D858" s="10">
        <v>2.5</v>
      </c>
      <c r="E858" s="10">
        <v>2.4000001000000002</v>
      </c>
      <c r="F858" s="10">
        <v>0.1</v>
      </c>
      <c r="G858" s="10">
        <v>2</v>
      </c>
      <c r="H858" s="10">
        <v>0.1</v>
      </c>
      <c r="I858" s="10">
        <v>0.40000001000000002</v>
      </c>
      <c r="J858" s="10">
        <v>0</v>
      </c>
      <c r="K858" s="10">
        <v>0</v>
      </c>
      <c r="L858" s="10">
        <v>0.1</v>
      </c>
      <c r="M858" s="10">
        <v>0</v>
      </c>
      <c r="N858" s="10">
        <v>0.1</v>
      </c>
      <c r="O858" s="8" t="s">
        <v>31</v>
      </c>
      <c r="P858" s="8" t="s">
        <v>31</v>
      </c>
      <c r="Q858" s="8" t="s">
        <v>31</v>
      </c>
      <c r="R858" s="8" t="s">
        <v>31</v>
      </c>
      <c r="S858" s="8" t="s">
        <v>31</v>
      </c>
      <c r="T858" s="8" t="s">
        <v>31</v>
      </c>
      <c r="U858" s="8" t="s">
        <v>31</v>
      </c>
      <c r="V858" s="8" t="s">
        <v>31</v>
      </c>
      <c r="W858" s="8" t="str">
        <f>_xlfn.IFNA(VLOOKUP(A858,[1]Sheet1!$A$1:$B$101,1,FALSE),"na")</f>
        <v>na</v>
      </c>
      <c r="X858" s="8" t="s">
        <v>35</v>
      </c>
      <c r="Y858" s="9">
        <v>268</v>
      </c>
      <c r="Z858" s="9">
        <v>107.2</v>
      </c>
      <c r="AA858" s="9">
        <v>111.66665999999999</v>
      </c>
      <c r="AB858" s="9">
        <v>268</v>
      </c>
    </row>
    <row r="859" spans="1:28" x14ac:dyDescent="0.25">
      <c r="A859" s="8" t="s">
        <v>1803</v>
      </c>
      <c r="B859" s="8" t="s">
        <v>1804</v>
      </c>
      <c r="C859" s="8" t="s">
        <v>62</v>
      </c>
      <c r="D859" s="10">
        <v>1.1599999999999999</v>
      </c>
      <c r="E859" s="10">
        <v>1</v>
      </c>
      <c r="F859" s="10">
        <v>0.16</v>
      </c>
      <c r="G859" s="10">
        <v>1</v>
      </c>
      <c r="H859" s="10">
        <v>0.16</v>
      </c>
      <c r="I859" s="10">
        <v>0</v>
      </c>
      <c r="J859" s="10">
        <v>0</v>
      </c>
      <c r="K859" s="10">
        <v>1</v>
      </c>
      <c r="L859" s="10">
        <v>0</v>
      </c>
      <c r="M859" s="10">
        <v>0</v>
      </c>
      <c r="N859" s="10">
        <v>0.16</v>
      </c>
      <c r="O859" s="8" t="s">
        <v>31</v>
      </c>
      <c r="P859" s="8" t="s">
        <v>31</v>
      </c>
      <c r="Q859" s="8" t="s">
        <v>31</v>
      </c>
      <c r="R859" s="8" t="s">
        <v>31</v>
      </c>
      <c r="S859" s="8" t="s">
        <v>31</v>
      </c>
      <c r="T859" s="8" t="s">
        <v>31</v>
      </c>
      <c r="U859" s="8" t="s">
        <v>31</v>
      </c>
      <c r="V859" s="8" t="s">
        <v>31</v>
      </c>
      <c r="W859" s="8" t="str">
        <f>_xlfn.IFNA(VLOOKUP(A859,[1]Sheet1!$A$1:$B$101,1,FALSE),"na")</f>
        <v>na</v>
      </c>
      <c r="X859" s="8" t="s">
        <v>419</v>
      </c>
      <c r="Y859" s="9">
        <v>253</v>
      </c>
      <c r="Z859" s="9">
        <v>218.10345000000001</v>
      </c>
      <c r="AA859" s="9">
        <v>253</v>
      </c>
      <c r="AB859" s="9">
        <v>253</v>
      </c>
    </row>
    <row r="860" spans="1:28" x14ac:dyDescent="0.25">
      <c r="A860" s="8" t="s">
        <v>1805</v>
      </c>
      <c r="B860" s="8" t="s">
        <v>1806</v>
      </c>
      <c r="C860" s="8" t="s">
        <v>62</v>
      </c>
      <c r="D860" s="10">
        <v>4.1599997999999996</v>
      </c>
      <c r="E860" s="10">
        <v>2</v>
      </c>
      <c r="F860" s="10">
        <v>2.1600001</v>
      </c>
      <c r="G860" s="10">
        <v>2</v>
      </c>
      <c r="H860" s="10">
        <v>2.1600001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0.16</v>
      </c>
      <c r="O860" s="8" t="s">
        <v>57</v>
      </c>
      <c r="P860" s="8" t="s">
        <v>31</v>
      </c>
      <c r="Q860" s="8" t="s">
        <v>31</v>
      </c>
      <c r="R860" s="8" t="s">
        <v>31</v>
      </c>
      <c r="S860" s="8" t="s">
        <v>31</v>
      </c>
      <c r="T860" s="8" t="s">
        <v>31</v>
      </c>
      <c r="U860" s="8" t="s">
        <v>31</v>
      </c>
      <c r="V860" s="8" t="s">
        <v>31</v>
      </c>
      <c r="W860" s="8" t="str">
        <f>_xlfn.IFNA(VLOOKUP(A860,[1]Sheet1!$A$1:$B$101,1,FALSE),"na")</f>
        <v>na</v>
      </c>
      <c r="X860" s="8" t="s">
        <v>35</v>
      </c>
      <c r="Y860" s="9">
        <v>238</v>
      </c>
      <c r="Z860" s="9">
        <v>57.211539999999999</v>
      </c>
      <c r="AA860" s="9">
        <v>119</v>
      </c>
      <c r="AB860" s="9">
        <v>110.18518</v>
      </c>
    </row>
    <row r="861" spans="1:28" x14ac:dyDescent="0.25">
      <c r="A861" s="8" t="s">
        <v>1807</v>
      </c>
      <c r="B861" s="8" t="s">
        <v>1808</v>
      </c>
      <c r="C861" s="8" t="s">
        <v>62</v>
      </c>
      <c r="D861" s="10">
        <v>3.0999998999999998</v>
      </c>
      <c r="E861" s="10">
        <v>2</v>
      </c>
      <c r="F861" s="10">
        <v>1.1000000000000001</v>
      </c>
      <c r="G861" s="10">
        <v>2</v>
      </c>
      <c r="H861" s="10">
        <v>1.1000000000000001</v>
      </c>
      <c r="I861" s="10">
        <v>0</v>
      </c>
      <c r="J861" s="10">
        <v>0</v>
      </c>
      <c r="K861" s="10">
        <v>0</v>
      </c>
      <c r="L861" s="10">
        <v>0.1</v>
      </c>
      <c r="M861" s="10">
        <v>0</v>
      </c>
      <c r="N861" s="10">
        <v>0.1</v>
      </c>
      <c r="O861" s="8" t="s">
        <v>31</v>
      </c>
      <c r="P861" s="8" t="s">
        <v>31</v>
      </c>
      <c r="Q861" s="8" t="s">
        <v>31</v>
      </c>
      <c r="R861" s="8" t="s">
        <v>31</v>
      </c>
      <c r="S861" s="8" t="s">
        <v>31</v>
      </c>
      <c r="T861" s="8" t="s">
        <v>57</v>
      </c>
      <c r="U861" s="8" t="s">
        <v>57</v>
      </c>
      <c r="V861" s="8" t="s">
        <v>31</v>
      </c>
      <c r="W861" s="8" t="str">
        <f>_xlfn.IFNA(VLOOKUP(A861,[1]Sheet1!$A$1:$B$101,1,FALSE),"na")</f>
        <v>na</v>
      </c>
      <c r="X861" s="8" t="s">
        <v>419</v>
      </c>
      <c r="Y861" s="9">
        <v>181</v>
      </c>
      <c r="Z861" s="9">
        <v>58.387099999999997</v>
      </c>
      <c r="AA861" s="9">
        <v>90.5</v>
      </c>
      <c r="AB861" s="9">
        <v>164.54545999999999</v>
      </c>
    </row>
    <row r="862" spans="1:28" x14ac:dyDescent="0.25">
      <c r="A862" s="8" t="s">
        <v>1809</v>
      </c>
      <c r="B862" s="8" t="s">
        <v>1810</v>
      </c>
      <c r="C862" s="8" t="s">
        <v>62</v>
      </c>
      <c r="D862" s="10">
        <v>2.1600001</v>
      </c>
      <c r="E862" s="10">
        <v>1</v>
      </c>
      <c r="F862" s="10">
        <v>1.1599999999999999</v>
      </c>
      <c r="G862" s="10">
        <v>1</v>
      </c>
      <c r="H862" s="10">
        <v>1.1599999999999999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0.16</v>
      </c>
      <c r="O862" s="8" t="s">
        <v>57</v>
      </c>
      <c r="P862" s="8" t="s">
        <v>31</v>
      </c>
      <c r="Q862" s="8" t="s">
        <v>31</v>
      </c>
      <c r="R862" s="8" t="s">
        <v>31</v>
      </c>
      <c r="S862" s="8" t="s">
        <v>31</v>
      </c>
      <c r="T862" s="8" t="s">
        <v>31</v>
      </c>
      <c r="U862" s="8" t="s">
        <v>57</v>
      </c>
      <c r="V862" s="8" t="s">
        <v>31</v>
      </c>
      <c r="W862" s="8" t="str">
        <f>_xlfn.IFNA(VLOOKUP(A862,[1]Sheet1!$A$1:$B$101,1,FALSE),"na")</f>
        <v>na</v>
      </c>
      <c r="X862" s="8" t="s">
        <v>35</v>
      </c>
      <c r="Y862" s="9">
        <v>290</v>
      </c>
      <c r="Z862" s="9">
        <v>134.25925000000001</v>
      </c>
      <c r="AA862" s="9">
        <v>290</v>
      </c>
      <c r="AB862" s="9">
        <v>250</v>
      </c>
    </row>
    <row r="863" spans="1:28" x14ac:dyDescent="0.25">
      <c r="A863" s="8" t="s">
        <v>1811</v>
      </c>
      <c r="B863" s="8" t="s">
        <v>1812</v>
      </c>
      <c r="C863" s="8" t="s">
        <v>62</v>
      </c>
      <c r="D863" s="10">
        <v>1.1599999999999999</v>
      </c>
      <c r="E863" s="10">
        <v>0</v>
      </c>
      <c r="F863" s="10">
        <v>1.1599999999999999</v>
      </c>
      <c r="G863" s="10">
        <v>0</v>
      </c>
      <c r="H863" s="10">
        <v>1.1599999999999999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  <c r="N863" s="10">
        <v>0.16</v>
      </c>
      <c r="O863" s="8" t="s">
        <v>31</v>
      </c>
      <c r="P863" s="8" t="s">
        <v>31</v>
      </c>
      <c r="Q863" s="8" t="s">
        <v>31</v>
      </c>
      <c r="R863" s="8" t="s">
        <v>31</v>
      </c>
      <c r="S863" s="8" t="s">
        <v>31</v>
      </c>
      <c r="T863" s="8" t="s">
        <v>31</v>
      </c>
      <c r="U863" s="8" t="s">
        <v>31</v>
      </c>
      <c r="V863" s="8" t="s">
        <v>31</v>
      </c>
      <c r="W863" s="8" t="str">
        <f>_xlfn.IFNA(VLOOKUP(A863,[1]Sheet1!$A$1:$B$101,1,FALSE),"na")</f>
        <v>na</v>
      </c>
      <c r="X863" s="8" t="s">
        <v>35</v>
      </c>
      <c r="Y863" s="9">
        <v>150</v>
      </c>
      <c r="Z863" s="9">
        <v>129.31035</v>
      </c>
      <c r="AA863" s="9">
        <v>150</v>
      </c>
      <c r="AB863" s="9">
        <v>129.31035</v>
      </c>
    </row>
    <row r="864" spans="1:28" x14ac:dyDescent="0.25">
      <c r="A864" s="8" t="s">
        <v>1813</v>
      </c>
      <c r="B864" s="8" t="s">
        <v>1814</v>
      </c>
      <c r="C864" s="8" t="s">
        <v>67</v>
      </c>
      <c r="D864" s="10">
        <v>1.2</v>
      </c>
      <c r="E864" s="10">
        <v>1</v>
      </c>
      <c r="F864" s="10">
        <v>0.2</v>
      </c>
      <c r="G864" s="10">
        <v>1</v>
      </c>
      <c r="H864" s="10">
        <v>0.2</v>
      </c>
      <c r="I864" s="10">
        <v>0</v>
      </c>
      <c r="J864" s="10">
        <v>0</v>
      </c>
      <c r="K864" s="10">
        <v>0</v>
      </c>
      <c r="L864" s="10">
        <v>0.2</v>
      </c>
      <c r="M864" s="10">
        <v>0</v>
      </c>
      <c r="N864" s="10">
        <v>0.2</v>
      </c>
      <c r="O864" s="8" t="s">
        <v>31</v>
      </c>
      <c r="P864" s="8" t="s">
        <v>31</v>
      </c>
      <c r="Q864" s="8" t="s">
        <v>31</v>
      </c>
      <c r="R864" s="8" t="s">
        <v>31</v>
      </c>
      <c r="S864" s="8" t="s">
        <v>31</v>
      </c>
      <c r="T864" s="8" t="s">
        <v>31</v>
      </c>
      <c r="U864" s="8" t="s">
        <v>31</v>
      </c>
      <c r="V864" s="8" t="s">
        <v>31</v>
      </c>
      <c r="W864" s="8" t="str">
        <f>_xlfn.IFNA(VLOOKUP(A864,[1]Sheet1!$A$1:$B$101,1,FALSE),"na")</f>
        <v>na</v>
      </c>
      <c r="X864" s="8" t="s">
        <v>39</v>
      </c>
      <c r="Y864" s="9">
        <v>178</v>
      </c>
      <c r="Z864" s="9">
        <v>148.33332999999999</v>
      </c>
      <c r="AA864" s="9">
        <v>178</v>
      </c>
      <c r="AB864" s="9">
        <v>178</v>
      </c>
    </row>
    <row r="865" spans="1:28" x14ac:dyDescent="0.25">
      <c r="A865" s="8" t="s">
        <v>1815</v>
      </c>
      <c r="B865" s="8" t="s">
        <v>1816</v>
      </c>
      <c r="C865" s="8" t="s">
        <v>67</v>
      </c>
      <c r="D865" s="10">
        <v>2.2000000000000002</v>
      </c>
      <c r="E865" s="10">
        <v>1</v>
      </c>
      <c r="F865" s="10">
        <v>1.2</v>
      </c>
      <c r="G865" s="10">
        <v>1</v>
      </c>
      <c r="H865" s="10">
        <v>1.2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0.2</v>
      </c>
      <c r="O865" s="8" t="s">
        <v>57</v>
      </c>
      <c r="P865" s="8" t="s">
        <v>31</v>
      </c>
      <c r="Q865" s="8" t="s">
        <v>31</v>
      </c>
      <c r="R865" s="8" t="s">
        <v>31</v>
      </c>
      <c r="S865" s="8" t="s">
        <v>31</v>
      </c>
      <c r="T865" s="8" t="s">
        <v>31</v>
      </c>
      <c r="U865" s="8" t="s">
        <v>31</v>
      </c>
      <c r="V865" s="8" t="s">
        <v>31</v>
      </c>
      <c r="W865" s="8" t="str">
        <f>_xlfn.IFNA(VLOOKUP(A865,[1]Sheet1!$A$1:$B$101,1,FALSE),"na")</f>
        <v>na</v>
      </c>
      <c r="X865" s="8" t="s">
        <v>35</v>
      </c>
      <c r="Y865" s="9">
        <v>156</v>
      </c>
      <c r="Z865" s="9">
        <v>70.909087999999997</v>
      </c>
      <c r="AA865" s="9">
        <v>156</v>
      </c>
      <c r="AB865" s="9">
        <v>130</v>
      </c>
    </row>
    <row r="866" spans="1:28" x14ac:dyDescent="0.25">
      <c r="A866" s="8" t="s">
        <v>1817</v>
      </c>
      <c r="B866" s="8" t="s">
        <v>1818</v>
      </c>
      <c r="C866" s="8" t="s">
        <v>62</v>
      </c>
      <c r="D866" s="10">
        <v>3.0799998999999998</v>
      </c>
      <c r="E866" s="10">
        <v>2</v>
      </c>
      <c r="F866" s="10">
        <v>1.08</v>
      </c>
      <c r="G866" s="10">
        <v>2</v>
      </c>
      <c r="H866" s="10">
        <v>1.08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  <c r="N866" s="10">
        <v>7.9999998000000003E-2</v>
      </c>
      <c r="O866" s="8" t="s">
        <v>57</v>
      </c>
      <c r="P866" s="8" t="s">
        <v>31</v>
      </c>
      <c r="Q866" s="8" t="s">
        <v>31</v>
      </c>
      <c r="R866" s="8" t="s">
        <v>31</v>
      </c>
      <c r="S866" s="8" t="s">
        <v>31</v>
      </c>
      <c r="T866" s="8" t="s">
        <v>57</v>
      </c>
      <c r="U866" s="8" t="s">
        <v>57</v>
      </c>
      <c r="V866" s="8" t="s">
        <v>31</v>
      </c>
      <c r="W866" s="8" t="str">
        <f>_xlfn.IFNA(VLOOKUP(A866,[1]Sheet1!$A$1:$B$101,1,FALSE),"na")</f>
        <v>na</v>
      </c>
      <c r="X866" s="8" t="s">
        <v>35</v>
      </c>
      <c r="Y866" s="9">
        <v>386</v>
      </c>
      <c r="Z866" s="9">
        <v>125.32468</v>
      </c>
      <c r="AA866" s="9">
        <v>193</v>
      </c>
      <c r="AB866" s="9">
        <v>357.40737999999999</v>
      </c>
    </row>
    <row r="867" spans="1:28" x14ac:dyDescent="0.25">
      <c r="A867" s="8" t="s">
        <v>1819</v>
      </c>
      <c r="B867" s="8" t="s">
        <v>1820</v>
      </c>
      <c r="C867" s="8" t="s">
        <v>62</v>
      </c>
      <c r="D867" s="10">
        <v>2.0999998999999998</v>
      </c>
      <c r="E867" s="10">
        <v>1</v>
      </c>
      <c r="F867" s="10">
        <v>1.1000000000000001</v>
      </c>
      <c r="G867" s="10">
        <v>1</v>
      </c>
      <c r="H867" s="10">
        <v>1.1000000000000001</v>
      </c>
      <c r="I867" s="10">
        <v>0</v>
      </c>
      <c r="J867" s="10">
        <v>0</v>
      </c>
      <c r="K867" s="10">
        <v>0</v>
      </c>
      <c r="L867" s="10">
        <v>0.1</v>
      </c>
      <c r="M867" s="10">
        <v>0</v>
      </c>
      <c r="N867" s="10">
        <v>0.1</v>
      </c>
      <c r="O867" s="8" t="s">
        <v>31</v>
      </c>
      <c r="P867" s="8" t="s">
        <v>31</v>
      </c>
      <c r="Q867" s="8" t="s">
        <v>31</v>
      </c>
      <c r="R867" s="8" t="s">
        <v>31</v>
      </c>
      <c r="S867" s="8" t="s">
        <v>31</v>
      </c>
      <c r="T867" s="8" t="s">
        <v>57</v>
      </c>
      <c r="U867" s="8" t="s">
        <v>57</v>
      </c>
      <c r="V867" s="8" t="s">
        <v>31</v>
      </c>
      <c r="W867" s="8" t="str">
        <f>_xlfn.IFNA(VLOOKUP(A867,[1]Sheet1!$A$1:$B$101,1,FALSE),"na")</f>
        <v>na</v>
      </c>
      <c r="X867" s="8" t="s">
        <v>35</v>
      </c>
      <c r="Y867" s="9">
        <v>296</v>
      </c>
      <c r="Z867" s="9">
        <v>140.95239000000001</v>
      </c>
      <c r="AA867" s="9">
        <v>296</v>
      </c>
      <c r="AB867" s="9">
        <v>269.09091000000001</v>
      </c>
    </row>
    <row r="868" spans="1:28" x14ac:dyDescent="0.25">
      <c r="A868" s="8" t="s">
        <v>1821</v>
      </c>
      <c r="B868" s="8" t="s">
        <v>1822</v>
      </c>
      <c r="C868" s="8" t="s">
        <v>62</v>
      </c>
      <c r="D868" s="10">
        <v>1.08</v>
      </c>
      <c r="E868" s="10">
        <v>1</v>
      </c>
      <c r="F868" s="10">
        <v>7.9999998000000003E-2</v>
      </c>
      <c r="G868" s="10">
        <v>1</v>
      </c>
      <c r="H868" s="10">
        <v>7.9999998000000003E-2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7.9999998000000003E-2</v>
      </c>
      <c r="O868" s="8" t="s">
        <v>31</v>
      </c>
      <c r="P868" s="8" t="s">
        <v>31</v>
      </c>
      <c r="Q868" s="8" t="s">
        <v>31</v>
      </c>
      <c r="R868" s="8" t="s">
        <v>31</v>
      </c>
      <c r="S868" s="8" t="s">
        <v>31</v>
      </c>
      <c r="T868" s="8" t="s">
        <v>57</v>
      </c>
      <c r="U868" s="8" t="s">
        <v>31</v>
      </c>
      <c r="V868" s="8" t="s">
        <v>31</v>
      </c>
      <c r="W868" s="8" t="str">
        <f>_xlfn.IFNA(VLOOKUP(A868,[1]Sheet1!$A$1:$B$101,1,FALSE),"na")</f>
        <v>na</v>
      </c>
      <c r="X868" s="8" t="s">
        <v>35</v>
      </c>
      <c r="Y868" s="9">
        <v>382</v>
      </c>
      <c r="Z868" s="9">
        <v>353.70370000000003</v>
      </c>
      <c r="AA868" s="9">
        <v>382</v>
      </c>
      <c r="AB868" s="9">
        <v>382</v>
      </c>
    </row>
    <row r="869" spans="1:28" x14ac:dyDescent="0.25">
      <c r="A869" s="8" t="s">
        <v>1823</v>
      </c>
      <c r="B869" s="8" t="s">
        <v>1824</v>
      </c>
      <c r="C869" s="8" t="s">
        <v>62</v>
      </c>
      <c r="D869" s="10">
        <v>3</v>
      </c>
      <c r="E869" s="10">
        <v>2</v>
      </c>
      <c r="F869" s="10">
        <v>1</v>
      </c>
      <c r="G869" s="10">
        <v>2</v>
      </c>
      <c r="H869" s="10">
        <v>1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0</v>
      </c>
      <c r="O869" s="8" t="s">
        <v>57</v>
      </c>
      <c r="P869" s="8" t="s">
        <v>57</v>
      </c>
      <c r="Q869" s="8" t="s">
        <v>31</v>
      </c>
      <c r="R869" s="8" t="s">
        <v>31</v>
      </c>
      <c r="S869" s="8" t="s">
        <v>31</v>
      </c>
      <c r="T869" s="8" t="s">
        <v>31</v>
      </c>
      <c r="U869" s="8" t="s">
        <v>31</v>
      </c>
      <c r="V869" s="8" t="s">
        <v>31</v>
      </c>
      <c r="W869" s="8" t="str">
        <f>_xlfn.IFNA(VLOOKUP(A869,[1]Sheet1!$A$1:$B$101,1,FALSE),"na")</f>
        <v>na</v>
      </c>
      <c r="X869" s="8" t="s">
        <v>35</v>
      </c>
      <c r="Y869" s="9">
        <v>182</v>
      </c>
      <c r="Z869" s="9">
        <v>60.666668000000001</v>
      </c>
      <c r="AA869" s="9">
        <v>91</v>
      </c>
      <c r="AB869" s="9">
        <v>182</v>
      </c>
    </row>
    <row r="870" spans="1:28" x14ac:dyDescent="0.25">
      <c r="A870" s="8" t="s">
        <v>1825</v>
      </c>
      <c r="B870" s="8" t="s">
        <v>1826</v>
      </c>
      <c r="C870" s="8" t="s">
        <v>62</v>
      </c>
      <c r="D870" s="10">
        <v>2.1600001</v>
      </c>
      <c r="E870" s="10">
        <v>1</v>
      </c>
      <c r="F870" s="10">
        <v>1.1599999999999999</v>
      </c>
      <c r="G870" s="10">
        <v>1</v>
      </c>
      <c r="H870" s="10">
        <v>1.1599999999999999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0.16</v>
      </c>
      <c r="O870" s="8" t="s">
        <v>57</v>
      </c>
      <c r="P870" s="8" t="s">
        <v>31</v>
      </c>
      <c r="Q870" s="8" t="s">
        <v>31</v>
      </c>
      <c r="R870" s="8" t="s">
        <v>31</v>
      </c>
      <c r="S870" s="8" t="s">
        <v>31</v>
      </c>
      <c r="T870" s="8" t="s">
        <v>57</v>
      </c>
      <c r="U870" s="8" t="s">
        <v>31</v>
      </c>
      <c r="V870" s="8" t="s">
        <v>31</v>
      </c>
      <c r="W870" s="8" t="str">
        <f>_xlfn.IFNA(VLOOKUP(A870,[1]Sheet1!$A$1:$B$101,1,FALSE),"na")</f>
        <v>na</v>
      </c>
      <c r="X870" s="8" t="s">
        <v>35</v>
      </c>
      <c r="Y870" s="9">
        <v>433</v>
      </c>
      <c r="Z870" s="9">
        <v>200.46295000000001</v>
      </c>
      <c r="AA870" s="9">
        <v>433</v>
      </c>
      <c r="AB870" s="9">
        <v>373.27587999999997</v>
      </c>
    </row>
    <row r="871" spans="1:28" x14ac:dyDescent="0.25">
      <c r="A871" s="8" t="s">
        <v>1827</v>
      </c>
      <c r="B871" s="8" t="s">
        <v>1828</v>
      </c>
      <c r="C871" s="8" t="s">
        <v>62</v>
      </c>
      <c r="D871" s="10">
        <v>2.0799998999999998</v>
      </c>
      <c r="E871" s="10">
        <v>2</v>
      </c>
      <c r="F871" s="10">
        <v>7.9999998000000003E-2</v>
      </c>
      <c r="G871" s="10">
        <v>2</v>
      </c>
      <c r="H871" s="10">
        <v>7.9999998000000003E-2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7.9999998000000003E-2</v>
      </c>
      <c r="O871" s="8" t="s">
        <v>31</v>
      </c>
      <c r="P871" s="8" t="s">
        <v>31</v>
      </c>
      <c r="Q871" s="8" t="s">
        <v>31</v>
      </c>
      <c r="R871" s="8" t="s">
        <v>31</v>
      </c>
      <c r="S871" s="8" t="s">
        <v>31</v>
      </c>
      <c r="T871" s="8" t="s">
        <v>31</v>
      </c>
      <c r="U871" s="8" t="s">
        <v>31</v>
      </c>
      <c r="V871" s="8" t="s">
        <v>57</v>
      </c>
      <c r="W871" s="8" t="str">
        <f>_xlfn.IFNA(VLOOKUP(A871,[1]Sheet1!$A$1:$B$101,1,FALSE),"na")</f>
        <v>na</v>
      </c>
      <c r="X871" s="8" t="s">
        <v>35</v>
      </c>
      <c r="Y871" s="9">
        <v>185</v>
      </c>
      <c r="Z871" s="9">
        <v>88.942313999999996</v>
      </c>
      <c r="AA871" s="9">
        <v>92.5</v>
      </c>
      <c r="AB871" s="9">
        <v>185</v>
      </c>
    </row>
    <row r="872" spans="1:28" x14ac:dyDescent="0.25">
      <c r="A872" s="8" t="s">
        <v>1829</v>
      </c>
      <c r="B872" s="8" t="s">
        <v>1830</v>
      </c>
      <c r="C872" s="8" t="s">
        <v>62</v>
      </c>
      <c r="D872" s="10">
        <v>3</v>
      </c>
      <c r="E872" s="10">
        <v>1</v>
      </c>
      <c r="F872" s="10">
        <v>2</v>
      </c>
      <c r="G872" s="10">
        <v>1</v>
      </c>
      <c r="H872" s="10">
        <v>2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8" t="s">
        <v>31</v>
      </c>
      <c r="P872" s="8" t="s">
        <v>57</v>
      </c>
      <c r="Q872" s="8" t="s">
        <v>31</v>
      </c>
      <c r="R872" s="8" t="s">
        <v>31</v>
      </c>
      <c r="S872" s="8" t="s">
        <v>31</v>
      </c>
      <c r="T872" s="8" t="s">
        <v>57</v>
      </c>
      <c r="U872" s="8" t="s">
        <v>31</v>
      </c>
      <c r="V872" s="8" t="s">
        <v>31</v>
      </c>
      <c r="W872" s="8" t="str">
        <f>_xlfn.IFNA(VLOOKUP(A872,[1]Sheet1!$A$1:$B$101,1,FALSE),"na")</f>
        <v>na</v>
      </c>
      <c r="X872" s="8" t="s">
        <v>1831</v>
      </c>
      <c r="Y872" s="9">
        <v>196</v>
      </c>
      <c r="Z872" s="9">
        <v>65.333336000000003</v>
      </c>
      <c r="AA872" s="9">
        <v>196</v>
      </c>
      <c r="AB872" s="9">
        <v>98</v>
      </c>
    </row>
    <row r="873" spans="1:28" x14ac:dyDescent="0.25">
      <c r="A873" s="8" t="s">
        <v>1832</v>
      </c>
      <c r="B873" s="8" t="s">
        <v>1833</v>
      </c>
      <c r="C873" s="8" t="s">
        <v>67</v>
      </c>
      <c r="D873" s="10">
        <v>3.3</v>
      </c>
      <c r="E873" s="10">
        <v>2</v>
      </c>
      <c r="F873" s="10">
        <v>1.3</v>
      </c>
      <c r="G873" s="10">
        <v>2</v>
      </c>
      <c r="H873" s="10">
        <v>1.3</v>
      </c>
      <c r="I873" s="10">
        <v>0</v>
      </c>
      <c r="J873" s="10">
        <v>0</v>
      </c>
      <c r="K873" s="10">
        <v>0</v>
      </c>
      <c r="L873" s="10">
        <v>0.30000000999999998</v>
      </c>
      <c r="M873" s="10">
        <v>0</v>
      </c>
      <c r="N873" s="10">
        <v>0.30000000999999998</v>
      </c>
      <c r="O873" s="8" t="s">
        <v>31</v>
      </c>
      <c r="P873" s="8" t="s">
        <v>57</v>
      </c>
      <c r="Q873" s="8" t="s">
        <v>31</v>
      </c>
      <c r="R873" s="8" t="s">
        <v>31</v>
      </c>
      <c r="S873" s="8" t="s">
        <v>31</v>
      </c>
      <c r="T873" s="8" t="s">
        <v>31</v>
      </c>
      <c r="U873" s="8" t="s">
        <v>31</v>
      </c>
      <c r="V873" s="8" t="s">
        <v>31</v>
      </c>
      <c r="W873" s="8" t="str">
        <f>_xlfn.IFNA(VLOOKUP(A873,[1]Sheet1!$A$1:$B$101,1,FALSE),"na")</f>
        <v>na</v>
      </c>
      <c r="X873" s="8" t="s">
        <v>35</v>
      </c>
      <c r="Y873" s="9">
        <v>401</v>
      </c>
      <c r="Z873" s="9">
        <v>121.51515000000001</v>
      </c>
      <c r="AA873" s="9">
        <v>200.5</v>
      </c>
      <c r="AB873" s="9">
        <v>308.46154999999999</v>
      </c>
    </row>
    <row r="874" spans="1:28" x14ac:dyDescent="0.25">
      <c r="A874" s="8" t="s">
        <v>1834</v>
      </c>
      <c r="B874" s="8" t="s">
        <v>1835</v>
      </c>
      <c r="C874" s="8" t="s">
        <v>67</v>
      </c>
      <c r="D874" s="10">
        <v>1</v>
      </c>
      <c r="E874" s="10">
        <v>1</v>
      </c>
      <c r="F874" s="10">
        <v>0</v>
      </c>
      <c r="G874" s="10">
        <v>1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8" t="s">
        <v>31</v>
      </c>
      <c r="P874" s="8" t="s">
        <v>31</v>
      </c>
      <c r="Q874" s="8" t="s">
        <v>31</v>
      </c>
      <c r="R874" s="8" t="s">
        <v>31</v>
      </c>
      <c r="S874" s="8" t="s">
        <v>31</v>
      </c>
      <c r="T874" s="8" t="s">
        <v>31</v>
      </c>
      <c r="U874" s="8" t="s">
        <v>31</v>
      </c>
      <c r="V874" s="8" t="s">
        <v>31</v>
      </c>
      <c r="W874" s="8" t="str">
        <f>_xlfn.IFNA(VLOOKUP(A874,[1]Sheet1!$A$1:$B$101,1,FALSE),"na")</f>
        <v>na</v>
      </c>
      <c r="X874" s="8" t="s">
        <v>35</v>
      </c>
      <c r="Y874" s="9">
        <v>264</v>
      </c>
      <c r="Z874" s="9">
        <v>264</v>
      </c>
      <c r="AA874" s="9">
        <v>264</v>
      </c>
      <c r="AB874" s="9">
        <v>264</v>
      </c>
    </row>
    <row r="875" spans="1:28" x14ac:dyDescent="0.25">
      <c r="A875" s="8" t="s">
        <v>1836</v>
      </c>
      <c r="B875" s="8" t="s">
        <v>1837</v>
      </c>
      <c r="C875" s="8" t="s">
        <v>30</v>
      </c>
      <c r="D875" s="10">
        <v>1.3</v>
      </c>
      <c r="E875" s="10">
        <v>1</v>
      </c>
      <c r="F875" s="10">
        <v>0.30000000999999998</v>
      </c>
      <c r="G875" s="10">
        <v>1</v>
      </c>
      <c r="H875" s="10">
        <v>0.30000000999999998</v>
      </c>
      <c r="I875" s="10">
        <v>0</v>
      </c>
      <c r="J875" s="10">
        <v>0</v>
      </c>
      <c r="K875" s="10">
        <v>1</v>
      </c>
      <c r="L875" s="10">
        <v>0.30000000999999998</v>
      </c>
      <c r="M875" s="10">
        <v>0</v>
      </c>
      <c r="N875" s="10">
        <v>0.30000000999999998</v>
      </c>
      <c r="O875" s="8" t="s">
        <v>31</v>
      </c>
      <c r="P875" s="8" t="s">
        <v>31</v>
      </c>
      <c r="Q875" s="8" t="s">
        <v>31</v>
      </c>
      <c r="R875" s="8" t="s">
        <v>31</v>
      </c>
      <c r="S875" s="8" t="s">
        <v>31</v>
      </c>
      <c r="T875" s="8" t="s">
        <v>31</v>
      </c>
      <c r="U875" s="8" t="s">
        <v>31</v>
      </c>
      <c r="V875" s="8" t="s">
        <v>31</v>
      </c>
      <c r="W875" s="8" t="str">
        <f>_xlfn.IFNA(VLOOKUP(A875,[1]Sheet1!$A$1:$B$101,1,FALSE),"na")</f>
        <v>na</v>
      </c>
      <c r="X875" s="8" t="s">
        <v>35</v>
      </c>
      <c r="Y875" s="9">
        <v>595</v>
      </c>
      <c r="Z875" s="9">
        <v>457.69232</v>
      </c>
      <c r="AA875" s="9">
        <v>595</v>
      </c>
      <c r="AB875" s="9">
        <v>595</v>
      </c>
    </row>
    <row r="876" spans="1:28" x14ac:dyDescent="0.25">
      <c r="A876" s="8" t="s">
        <v>1838</v>
      </c>
      <c r="B876" s="8" t="s">
        <v>1839</v>
      </c>
      <c r="C876" s="8" t="s">
        <v>30</v>
      </c>
      <c r="D876" s="10">
        <v>1.6</v>
      </c>
      <c r="E876" s="10">
        <v>1</v>
      </c>
      <c r="F876" s="10">
        <v>0.60000001999999997</v>
      </c>
      <c r="G876" s="10">
        <v>1</v>
      </c>
      <c r="H876" s="10">
        <v>0.60000001999999997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0.60000001999999997</v>
      </c>
      <c r="O876" s="8" t="s">
        <v>31</v>
      </c>
      <c r="P876" s="8" t="s">
        <v>57</v>
      </c>
      <c r="Q876" s="8" t="s">
        <v>31</v>
      </c>
      <c r="R876" s="8" t="s">
        <v>31</v>
      </c>
      <c r="S876" s="8" t="s">
        <v>31</v>
      </c>
      <c r="T876" s="8" t="s">
        <v>31</v>
      </c>
      <c r="U876" s="8" t="s">
        <v>31</v>
      </c>
      <c r="V876" s="8" t="s">
        <v>31</v>
      </c>
      <c r="W876" s="8" t="str">
        <f>_xlfn.IFNA(VLOOKUP(A876,[1]Sheet1!$A$1:$B$101,1,FALSE),"na")</f>
        <v>na</v>
      </c>
      <c r="X876" s="8" t="s">
        <v>512</v>
      </c>
      <c r="Y876" s="9">
        <v>339</v>
      </c>
      <c r="Z876" s="9">
        <v>211.875</v>
      </c>
      <c r="AA876" s="9">
        <v>339</v>
      </c>
      <c r="AB876" s="9">
        <v>339</v>
      </c>
    </row>
    <row r="877" spans="1:28" x14ac:dyDescent="0.25">
      <c r="A877" s="8" t="s">
        <v>1840</v>
      </c>
      <c r="B877" s="8" t="s">
        <v>1841</v>
      </c>
      <c r="C877" s="8" t="s">
        <v>30</v>
      </c>
      <c r="D877" s="10">
        <v>2.2000000000000002</v>
      </c>
      <c r="E877" s="10">
        <v>1</v>
      </c>
      <c r="F877" s="10">
        <v>1.2</v>
      </c>
      <c r="G877" s="10">
        <v>1</v>
      </c>
      <c r="H877" s="10">
        <v>1.2</v>
      </c>
      <c r="I877" s="10">
        <v>0</v>
      </c>
      <c r="J877" s="10">
        <v>0</v>
      </c>
      <c r="K877" s="10">
        <v>0</v>
      </c>
      <c r="L877" s="10">
        <v>0.2</v>
      </c>
      <c r="M877" s="10">
        <v>0</v>
      </c>
      <c r="N877" s="10">
        <v>0.2</v>
      </c>
      <c r="O877" s="8" t="s">
        <v>57</v>
      </c>
      <c r="P877" s="8" t="s">
        <v>31</v>
      </c>
      <c r="Q877" s="8" t="s">
        <v>31</v>
      </c>
      <c r="R877" s="8" t="s">
        <v>31</v>
      </c>
      <c r="S877" s="8" t="s">
        <v>31</v>
      </c>
      <c r="T877" s="8" t="s">
        <v>31</v>
      </c>
      <c r="U877" s="8" t="s">
        <v>31</v>
      </c>
      <c r="V877" s="8" t="s">
        <v>31</v>
      </c>
      <c r="W877" s="8" t="str">
        <f>_xlfn.IFNA(VLOOKUP(A877,[1]Sheet1!$A$1:$B$101,1,FALSE),"na")</f>
        <v>na</v>
      </c>
      <c r="X877" s="8" t="s">
        <v>35</v>
      </c>
      <c r="Y877" s="9">
        <v>526</v>
      </c>
      <c r="Z877" s="9">
        <v>239.0909</v>
      </c>
      <c r="AA877" s="9">
        <v>526</v>
      </c>
      <c r="AB877" s="9">
        <v>438.33330999999998</v>
      </c>
    </row>
    <row r="878" spans="1:28" x14ac:dyDescent="0.25">
      <c r="A878" s="8" t="s">
        <v>1842</v>
      </c>
      <c r="B878" s="8" t="s">
        <v>1843</v>
      </c>
      <c r="C878" s="8" t="s">
        <v>38</v>
      </c>
      <c r="D878" s="10">
        <v>3.5999998999999998</v>
      </c>
      <c r="E878" s="10">
        <v>2</v>
      </c>
      <c r="F878" s="10">
        <v>1.6</v>
      </c>
      <c r="G878" s="10">
        <v>2</v>
      </c>
      <c r="H878" s="10">
        <v>1.6</v>
      </c>
      <c r="I878" s="10">
        <v>0</v>
      </c>
      <c r="J878" s="10">
        <v>0</v>
      </c>
      <c r="K878" s="10">
        <v>1</v>
      </c>
      <c r="L878" s="10">
        <v>0.60000001999999997</v>
      </c>
      <c r="M878" s="10">
        <v>0</v>
      </c>
      <c r="N878" s="10">
        <v>0.60000001999999997</v>
      </c>
      <c r="O878" s="8" t="s">
        <v>57</v>
      </c>
      <c r="P878" s="8" t="s">
        <v>31</v>
      </c>
      <c r="Q878" s="8" t="s">
        <v>31</v>
      </c>
      <c r="R878" s="8" t="s">
        <v>31</v>
      </c>
      <c r="S878" s="8" t="s">
        <v>31</v>
      </c>
      <c r="T878" s="8" t="s">
        <v>31</v>
      </c>
      <c r="U878" s="8" t="s">
        <v>31</v>
      </c>
      <c r="V878" s="8" t="s">
        <v>31</v>
      </c>
      <c r="W878" s="8" t="str">
        <f>_xlfn.IFNA(VLOOKUP(A878,[1]Sheet1!$A$1:$B$101,1,FALSE),"na")</f>
        <v>na</v>
      </c>
      <c r="X878" s="8" t="s">
        <v>35</v>
      </c>
      <c r="Y878" s="9">
        <v>451</v>
      </c>
      <c r="Z878" s="9">
        <v>125.27778000000001</v>
      </c>
      <c r="AA878" s="9">
        <v>225.5</v>
      </c>
      <c r="AB878" s="9">
        <v>281.875</v>
      </c>
    </row>
    <row r="879" spans="1:28" x14ac:dyDescent="0.25">
      <c r="A879" s="8" t="s">
        <v>1844</v>
      </c>
      <c r="B879" s="8" t="s">
        <v>1845</v>
      </c>
      <c r="C879" s="8" t="s">
        <v>30</v>
      </c>
      <c r="D879" s="10">
        <v>2</v>
      </c>
      <c r="E879" s="10">
        <v>1</v>
      </c>
      <c r="F879" s="10">
        <v>1</v>
      </c>
      <c r="G879" s="10">
        <v>1</v>
      </c>
      <c r="H879" s="10">
        <v>1</v>
      </c>
      <c r="I879" s="10">
        <v>0</v>
      </c>
      <c r="J879" s="10">
        <v>0</v>
      </c>
      <c r="K879" s="10">
        <v>0</v>
      </c>
      <c r="L879" s="10">
        <v>1</v>
      </c>
      <c r="M879" s="10">
        <v>0</v>
      </c>
      <c r="N879" s="10">
        <v>1</v>
      </c>
      <c r="O879" s="8" t="s">
        <v>31</v>
      </c>
      <c r="P879" s="8" t="s">
        <v>31</v>
      </c>
      <c r="Q879" s="8" t="s">
        <v>31</v>
      </c>
      <c r="R879" s="8" t="s">
        <v>31</v>
      </c>
      <c r="S879" s="8" t="s">
        <v>31</v>
      </c>
      <c r="T879" s="8" t="s">
        <v>31</v>
      </c>
      <c r="U879" s="8" t="s">
        <v>31</v>
      </c>
      <c r="V879" s="8" t="s">
        <v>31</v>
      </c>
      <c r="W879" s="8" t="str">
        <f>_xlfn.IFNA(VLOOKUP(A879,[1]Sheet1!$A$1:$B$101,1,FALSE),"na")</f>
        <v>na</v>
      </c>
      <c r="X879" s="8" t="s">
        <v>35</v>
      </c>
      <c r="Y879" s="9">
        <v>651</v>
      </c>
      <c r="Z879" s="9">
        <v>325.5</v>
      </c>
      <c r="AA879" s="9">
        <v>651</v>
      </c>
      <c r="AB879" s="9">
        <v>651</v>
      </c>
    </row>
    <row r="880" spans="1:28" x14ac:dyDescent="0.25">
      <c r="A880" s="8" t="s">
        <v>1846</v>
      </c>
      <c r="B880" s="8" t="s">
        <v>1847</v>
      </c>
      <c r="C880" s="8" t="s">
        <v>30</v>
      </c>
      <c r="D880" s="10">
        <v>3.5999998999999998</v>
      </c>
      <c r="E880" s="10">
        <v>1</v>
      </c>
      <c r="F880" s="10">
        <v>2.5999998999999998</v>
      </c>
      <c r="G880" s="10">
        <v>1</v>
      </c>
      <c r="H880" s="10">
        <v>2.5999998999999998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0.60000001999999997</v>
      </c>
      <c r="O880" s="8" t="s">
        <v>31</v>
      </c>
      <c r="P880" s="8" t="s">
        <v>31</v>
      </c>
      <c r="Q880" s="8" t="s">
        <v>31</v>
      </c>
      <c r="R880" s="8" t="s">
        <v>31</v>
      </c>
      <c r="S880" s="8" t="s">
        <v>31</v>
      </c>
      <c r="T880" s="8" t="s">
        <v>31</v>
      </c>
      <c r="U880" s="8" t="s">
        <v>31</v>
      </c>
      <c r="V880" s="8" t="s">
        <v>31</v>
      </c>
      <c r="W880" s="8" t="str">
        <f>_xlfn.IFNA(VLOOKUP(A880,[1]Sheet1!$A$1:$B$101,1,FALSE),"na")</f>
        <v>na</v>
      </c>
      <c r="X880" s="8" t="s">
        <v>35</v>
      </c>
      <c r="Y880" s="9">
        <v>508</v>
      </c>
      <c r="Z880" s="9">
        <v>141.11111</v>
      </c>
      <c r="AA880" s="9">
        <v>508</v>
      </c>
      <c r="AB880" s="9">
        <v>195.38462999999999</v>
      </c>
    </row>
    <row r="881" spans="1:28" x14ac:dyDescent="0.25">
      <c r="A881" s="8" t="s">
        <v>1848</v>
      </c>
      <c r="B881" s="8" t="s">
        <v>1849</v>
      </c>
      <c r="C881" s="8" t="s">
        <v>30</v>
      </c>
      <c r="D881" s="10">
        <v>1.4</v>
      </c>
      <c r="E881" s="10">
        <v>1</v>
      </c>
      <c r="F881" s="10">
        <v>0.40000001000000002</v>
      </c>
      <c r="G881" s="10">
        <v>1</v>
      </c>
      <c r="H881" s="10">
        <v>0.40000001000000002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0.40000001000000002</v>
      </c>
      <c r="O881" s="8" t="s">
        <v>31</v>
      </c>
      <c r="P881" s="8" t="s">
        <v>31</v>
      </c>
      <c r="Q881" s="8" t="s">
        <v>31</v>
      </c>
      <c r="R881" s="8" t="s">
        <v>31</v>
      </c>
      <c r="S881" s="8" t="s">
        <v>31</v>
      </c>
      <c r="T881" s="8" t="s">
        <v>31</v>
      </c>
      <c r="U881" s="8" t="s">
        <v>31</v>
      </c>
      <c r="V881" s="8" t="s">
        <v>31</v>
      </c>
      <c r="W881" s="8" t="str">
        <f>_xlfn.IFNA(VLOOKUP(A881,[1]Sheet1!$A$1:$B$101,1,FALSE),"na")</f>
        <v>na</v>
      </c>
      <c r="X881" s="8" t="s">
        <v>35</v>
      </c>
      <c r="Y881" s="9">
        <v>330</v>
      </c>
      <c r="Z881" s="9">
        <v>235.71429000000001</v>
      </c>
      <c r="AA881" s="9">
        <v>330</v>
      </c>
      <c r="AB881" s="9">
        <v>330</v>
      </c>
    </row>
    <row r="882" spans="1:28" x14ac:dyDescent="0.25">
      <c r="A882" s="8" t="s">
        <v>1850</v>
      </c>
      <c r="B882" s="8" t="s">
        <v>1851</v>
      </c>
      <c r="C882" s="8" t="s">
        <v>30</v>
      </c>
      <c r="D882" s="10">
        <v>1.6</v>
      </c>
      <c r="E882" s="10">
        <v>1</v>
      </c>
      <c r="F882" s="10">
        <v>0.60000001999999997</v>
      </c>
      <c r="G882" s="10">
        <v>1</v>
      </c>
      <c r="H882" s="10">
        <v>0.60000001999999997</v>
      </c>
      <c r="I882" s="10">
        <v>0</v>
      </c>
      <c r="J882" s="10">
        <v>0</v>
      </c>
      <c r="K882" s="10">
        <v>0</v>
      </c>
      <c r="L882" s="10">
        <v>0.60000001999999997</v>
      </c>
      <c r="M882" s="10">
        <v>0</v>
      </c>
      <c r="N882" s="10">
        <v>0.60000001999999997</v>
      </c>
      <c r="O882" s="8" t="s">
        <v>31</v>
      </c>
      <c r="P882" s="8" t="s">
        <v>31</v>
      </c>
      <c r="Q882" s="8" t="s">
        <v>31</v>
      </c>
      <c r="R882" s="8" t="s">
        <v>31</v>
      </c>
      <c r="S882" s="8" t="s">
        <v>31</v>
      </c>
      <c r="T882" s="8" t="s">
        <v>31</v>
      </c>
      <c r="U882" s="8" t="s">
        <v>31</v>
      </c>
      <c r="V882" s="8" t="s">
        <v>31</v>
      </c>
      <c r="W882" s="8" t="str">
        <f>_xlfn.IFNA(VLOOKUP(A882,[1]Sheet1!$A$1:$B$101,1,FALSE),"na")</f>
        <v>na</v>
      </c>
      <c r="X882" s="8" t="s">
        <v>35</v>
      </c>
      <c r="Y882" s="9">
        <v>674</v>
      </c>
      <c r="Z882" s="9">
        <v>421.25</v>
      </c>
      <c r="AA882" s="9">
        <v>674</v>
      </c>
      <c r="AB882" s="9">
        <v>674</v>
      </c>
    </row>
    <row r="883" spans="1:28" x14ac:dyDescent="0.25">
      <c r="A883" s="8" t="s">
        <v>1852</v>
      </c>
      <c r="B883" s="8" t="s">
        <v>1853</v>
      </c>
      <c r="C883" s="8" t="s">
        <v>67</v>
      </c>
      <c r="D883" s="10">
        <v>2.2999999999999998</v>
      </c>
      <c r="E883" s="10">
        <v>1.2</v>
      </c>
      <c r="F883" s="10">
        <v>1.1000000000000001</v>
      </c>
      <c r="G883" s="10">
        <v>1</v>
      </c>
      <c r="H883" s="10">
        <v>1.1000000000000001</v>
      </c>
      <c r="I883" s="10">
        <v>0.2</v>
      </c>
      <c r="J883" s="10">
        <v>0</v>
      </c>
      <c r="K883" s="10">
        <v>0</v>
      </c>
      <c r="L883" s="10">
        <v>0.1</v>
      </c>
      <c r="M883" s="10">
        <v>0</v>
      </c>
      <c r="N883" s="10">
        <v>0.1</v>
      </c>
      <c r="O883" s="8" t="s">
        <v>31</v>
      </c>
      <c r="P883" s="8" t="s">
        <v>31</v>
      </c>
      <c r="Q883" s="8" t="s">
        <v>31</v>
      </c>
      <c r="R883" s="8" t="s">
        <v>57</v>
      </c>
      <c r="S883" s="8" t="s">
        <v>31</v>
      </c>
      <c r="T883" s="8" t="s">
        <v>31</v>
      </c>
      <c r="U883" s="8" t="s">
        <v>31</v>
      </c>
      <c r="V883" s="8" t="s">
        <v>31</v>
      </c>
      <c r="W883" s="8" t="str">
        <f>_xlfn.IFNA(VLOOKUP(A883,[1]Sheet1!$A$1:$B$101,1,FALSE),"na")</f>
        <v>na</v>
      </c>
      <c r="X883" s="8" t="s">
        <v>35</v>
      </c>
      <c r="Y883" s="9">
        <v>282</v>
      </c>
      <c r="Z883" s="9">
        <v>122.6087</v>
      </c>
      <c r="AA883" s="9">
        <v>234.99997999999999</v>
      </c>
      <c r="AB883" s="9">
        <v>256.36362000000003</v>
      </c>
    </row>
    <row r="884" spans="1:28" x14ac:dyDescent="0.25">
      <c r="A884" s="8" t="s">
        <v>1854</v>
      </c>
      <c r="B884" s="8" t="s">
        <v>1855</v>
      </c>
      <c r="C884" s="8" t="s">
        <v>30</v>
      </c>
      <c r="D884" s="10">
        <v>0.80000000999999998</v>
      </c>
      <c r="E884" s="10">
        <v>0.5</v>
      </c>
      <c r="F884" s="10">
        <v>0.30000000999999998</v>
      </c>
      <c r="G884" s="10">
        <v>0.5</v>
      </c>
      <c r="H884" s="10">
        <v>0.30000000999999998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0.30000000999999998</v>
      </c>
      <c r="O884" s="8" t="s">
        <v>31</v>
      </c>
      <c r="P884" s="8" t="s">
        <v>31</v>
      </c>
      <c r="Q884" s="8" t="s">
        <v>31</v>
      </c>
      <c r="R884" s="8" t="s">
        <v>31</v>
      </c>
      <c r="S884" s="8" t="s">
        <v>31</v>
      </c>
      <c r="T884" s="8" t="s">
        <v>31</v>
      </c>
      <c r="U884" s="8" t="s">
        <v>31</v>
      </c>
      <c r="V884" s="8" t="s">
        <v>31</v>
      </c>
      <c r="W884" s="8" t="str">
        <f>_xlfn.IFNA(VLOOKUP(A884,[1]Sheet1!$A$1:$B$101,1,FALSE),"na")</f>
        <v>na</v>
      </c>
      <c r="X884" s="8" t="s">
        <v>35</v>
      </c>
      <c r="Y884" s="9">
        <v>107</v>
      </c>
      <c r="Z884" s="9">
        <v>107</v>
      </c>
      <c r="AA884" s="9">
        <v>107</v>
      </c>
      <c r="AB884" s="9">
        <v>107</v>
      </c>
    </row>
    <row r="885" spans="1:28" x14ac:dyDescent="0.25">
      <c r="A885" s="8" t="s">
        <v>1856</v>
      </c>
      <c r="B885" s="8" t="s">
        <v>1857</v>
      </c>
      <c r="C885" s="8" t="s">
        <v>30</v>
      </c>
      <c r="D885" s="10">
        <v>1.6</v>
      </c>
      <c r="E885" s="10">
        <v>1</v>
      </c>
      <c r="F885" s="10">
        <v>0.60000001999999997</v>
      </c>
      <c r="G885" s="10">
        <v>1</v>
      </c>
      <c r="H885" s="10">
        <v>0.60000001999999997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0.60000001999999997</v>
      </c>
      <c r="O885" s="8" t="s">
        <v>31</v>
      </c>
      <c r="P885" s="8" t="s">
        <v>31</v>
      </c>
      <c r="Q885" s="8" t="s">
        <v>31</v>
      </c>
      <c r="R885" s="8" t="s">
        <v>31</v>
      </c>
      <c r="S885" s="8" t="s">
        <v>31</v>
      </c>
      <c r="T885" s="8" t="s">
        <v>31</v>
      </c>
      <c r="U885" s="8" t="s">
        <v>31</v>
      </c>
      <c r="V885" s="8" t="s">
        <v>31</v>
      </c>
      <c r="W885" s="8" t="str">
        <f>_xlfn.IFNA(VLOOKUP(A885,[1]Sheet1!$A$1:$B$101,1,FALSE),"na")</f>
        <v>na</v>
      </c>
      <c r="X885" s="8" t="s">
        <v>35</v>
      </c>
      <c r="Y885" s="9">
        <v>254</v>
      </c>
      <c r="Z885" s="9">
        <v>158.75</v>
      </c>
      <c r="AA885" s="9">
        <v>254</v>
      </c>
      <c r="AB885" s="9">
        <v>254</v>
      </c>
    </row>
    <row r="886" spans="1:28" x14ac:dyDescent="0.25">
      <c r="A886" s="8" t="s">
        <v>1858</v>
      </c>
      <c r="B886" s="8" t="s">
        <v>1859</v>
      </c>
      <c r="C886" s="8" t="s">
        <v>30</v>
      </c>
      <c r="D886" s="10">
        <v>2.2000000000000002</v>
      </c>
      <c r="E886" s="10">
        <v>1</v>
      </c>
      <c r="F886" s="10">
        <v>1.2</v>
      </c>
      <c r="G886" s="10">
        <v>1</v>
      </c>
      <c r="H886" s="10">
        <v>1.2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0.2</v>
      </c>
      <c r="O886" s="8" t="s">
        <v>57</v>
      </c>
      <c r="P886" s="8" t="s">
        <v>31</v>
      </c>
      <c r="Q886" s="8" t="s">
        <v>31</v>
      </c>
      <c r="R886" s="8" t="s">
        <v>31</v>
      </c>
      <c r="S886" s="8" t="s">
        <v>31</v>
      </c>
      <c r="T886" s="8" t="s">
        <v>31</v>
      </c>
      <c r="U886" s="8" t="s">
        <v>31</v>
      </c>
      <c r="V886" s="8" t="s">
        <v>31</v>
      </c>
      <c r="W886" s="8" t="str">
        <f>_xlfn.IFNA(VLOOKUP(A886,[1]Sheet1!$A$1:$B$101,1,FALSE),"na")</f>
        <v>na</v>
      </c>
      <c r="X886" s="8" t="s">
        <v>1120</v>
      </c>
      <c r="Y886" s="9">
        <v>207</v>
      </c>
      <c r="Z886" s="9">
        <v>94.090903999999995</v>
      </c>
      <c r="AA886" s="9">
        <v>207</v>
      </c>
      <c r="AB886" s="9">
        <v>172.5</v>
      </c>
    </row>
    <row r="887" spans="1:28" x14ac:dyDescent="0.25">
      <c r="A887" s="8" t="s">
        <v>1860</v>
      </c>
      <c r="B887" s="8" t="s">
        <v>1861</v>
      </c>
      <c r="C887" s="8" t="s">
        <v>30</v>
      </c>
      <c r="D887" s="10">
        <v>1.8</v>
      </c>
      <c r="E887" s="10">
        <v>1</v>
      </c>
      <c r="F887" s="10">
        <v>0.80000000999999998</v>
      </c>
      <c r="G887" s="10">
        <v>1</v>
      </c>
      <c r="H887" s="10">
        <v>0.80000000999999998</v>
      </c>
      <c r="I887" s="10">
        <v>0</v>
      </c>
      <c r="J887" s="10">
        <v>0</v>
      </c>
      <c r="K887" s="10">
        <v>0</v>
      </c>
      <c r="L887" s="10">
        <v>0.80000000999999998</v>
      </c>
      <c r="M887" s="10">
        <v>0</v>
      </c>
      <c r="N887" s="10">
        <v>0.80000000999999998</v>
      </c>
      <c r="O887" s="8" t="s">
        <v>31</v>
      </c>
      <c r="P887" s="8" t="s">
        <v>31</v>
      </c>
      <c r="Q887" s="8" t="s">
        <v>31</v>
      </c>
      <c r="R887" s="8" t="s">
        <v>31</v>
      </c>
      <c r="S887" s="8" t="s">
        <v>31</v>
      </c>
      <c r="T887" s="8" t="s">
        <v>31</v>
      </c>
      <c r="U887" s="8" t="s">
        <v>31</v>
      </c>
      <c r="V887" s="8" t="s">
        <v>31</v>
      </c>
      <c r="W887" s="8" t="str">
        <f>_xlfn.IFNA(VLOOKUP(A887,[1]Sheet1!$A$1:$B$101,1,FALSE),"na")</f>
        <v>na</v>
      </c>
      <c r="X887" s="8" t="s">
        <v>35</v>
      </c>
      <c r="Y887" s="9">
        <v>741</v>
      </c>
      <c r="Z887" s="9">
        <v>411.66669000000002</v>
      </c>
      <c r="AA887" s="9">
        <v>741</v>
      </c>
      <c r="AB887" s="9">
        <v>741</v>
      </c>
    </row>
    <row r="888" spans="1:28" x14ac:dyDescent="0.25">
      <c r="A888" s="8" t="s">
        <v>1862</v>
      </c>
      <c r="B888" s="8" t="s">
        <v>1863</v>
      </c>
      <c r="C888" s="8" t="s">
        <v>67</v>
      </c>
      <c r="D888" s="10">
        <v>3</v>
      </c>
      <c r="E888" s="10">
        <v>2</v>
      </c>
      <c r="F888" s="10">
        <v>1</v>
      </c>
      <c r="G888" s="10">
        <v>2</v>
      </c>
      <c r="H888" s="10">
        <v>1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8" t="s">
        <v>31</v>
      </c>
      <c r="P888" s="8" t="s">
        <v>31</v>
      </c>
      <c r="Q888" s="8" t="s">
        <v>31</v>
      </c>
      <c r="R888" s="8" t="s">
        <v>31</v>
      </c>
      <c r="S888" s="8" t="s">
        <v>31</v>
      </c>
      <c r="T888" s="8" t="s">
        <v>31</v>
      </c>
      <c r="U888" s="8" t="s">
        <v>31</v>
      </c>
      <c r="V888" s="8" t="s">
        <v>31</v>
      </c>
      <c r="W888" s="8" t="str">
        <f>_xlfn.IFNA(VLOOKUP(A888,[1]Sheet1!$A$1:$B$101,1,FALSE),"na")</f>
        <v>na</v>
      </c>
      <c r="X888" s="8" t="s">
        <v>35</v>
      </c>
      <c r="Y888" s="9">
        <v>316</v>
      </c>
      <c r="Z888" s="9">
        <v>105.33334000000001</v>
      </c>
      <c r="AA888" s="9">
        <v>158</v>
      </c>
      <c r="AB888" s="9">
        <v>316</v>
      </c>
    </row>
    <row r="889" spans="1:28" x14ac:dyDescent="0.25">
      <c r="A889" s="8" t="s">
        <v>1864</v>
      </c>
      <c r="B889" s="8" t="s">
        <v>1865</v>
      </c>
      <c r="C889" s="8" t="s">
        <v>30</v>
      </c>
      <c r="D889" s="10">
        <v>2.4000001000000002</v>
      </c>
      <c r="E889" s="10">
        <v>1</v>
      </c>
      <c r="F889" s="10">
        <v>1.4</v>
      </c>
      <c r="G889" s="10">
        <v>1</v>
      </c>
      <c r="H889" s="10">
        <v>1.4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0.40000001000000002</v>
      </c>
      <c r="O889" s="8" t="s">
        <v>57</v>
      </c>
      <c r="P889" s="8" t="s">
        <v>31</v>
      </c>
      <c r="Q889" s="8" t="s">
        <v>31</v>
      </c>
      <c r="R889" s="8" t="s">
        <v>31</v>
      </c>
      <c r="S889" s="8" t="s">
        <v>31</v>
      </c>
      <c r="T889" s="8" t="s">
        <v>31</v>
      </c>
      <c r="U889" s="8" t="s">
        <v>31</v>
      </c>
      <c r="V889" s="8" t="s">
        <v>31</v>
      </c>
      <c r="W889" s="8" t="str">
        <f>_xlfn.IFNA(VLOOKUP(A889,[1]Sheet1!$A$1:$B$101,1,FALSE),"na")</f>
        <v>na</v>
      </c>
      <c r="X889" s="8" t="s">
        <v>1120</v>
      </c>
      <c r="Y889" s="9">
        <v>274</v>
      </c>
      <c r="Z889" s="9">
        <v>114.16665999999999</v>
      </c>
      <c r="AA889" s="9">
        <v>274</v>
      </c>
      <c r="AB889" s="9">
        <v>195.71429000000001</v>
      </c>
    </row>
    <row r="890" spans="1:28" x14ac:dyDescent="0.25">
      <c r="A890" s="8" t="s">
        <v>1866</v>
      </c>
      <c r="B890" s="8" t="s">
        <v>1867</v>
      </c>
      <c r="C890" s="8" t="s">
        <v>30</v>
      </c>
      <c r="D890" s="10">
        <v>1.3</v>
      </c>
      <c r="E890" s="10">
        <v>0</v>
      </c>
      <c r="F890" s="10">
        <v>1.3</v>
      </c>
      <c r="G890" s="10">
        <v>0</v>
      </c>
      <c r="H890" s="10">
        <v>1.3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0.30000000999999998</v>
      </c>
      <c r="O890" s="8" t="s">
        <v>57</v>
      </c>
      <c r="P890" s="8" t="s">
        <v>31</v>
      </c>
      <c r="Q890" s="8" t="s">
        <v>31</v>
      </c>
      <c r="R890" s="8" t="s">
        <v>31</v>
      </c>
      <c r="S890" s="8" t="s">
        <v>31</v>
      </c>
      <c r="T890" s="8" t="s">
        <v>31</v>
      </c>
      <c r="U890" s="8" t="s">
        <v>31</v>
      </c>
      <c r="V890" s="8" t="s">
        <v>31</v>
      </c>
      <c r="W890" s="8" t="str">
        <f>_xlfn.IFNA(VLOOKUP(A890,[1]Sheet1!$A$1:$B$101,1,FALSE),"na")</f>
        <v>na</v>
      </c>
      <c r="X890" s="8" t="s">
        <v>434</v>
      </c>
      <c r="Y890" s="9">
        <v>307</v>
      </c>
      <c r="Z890" s="9">
        <v>236.15385000000001</v>
      </c>
      <c r="AA890" s="9">
        <v>307</v>
      </c>
      <c r="AB890" s="9">
        <v>236.15385000000001</v>
      </c>
    </row>
    <row r="891" spans="1:28" x14ac:dyDescent="0.25">
      <c r="A891" s="8" t="s">
        <v>1868</v>
      </c>
      <c r="B891" s="8" t="s">
        <v>1869</v>
      </c>
      <c r="C891" s="8" t="s">
        <v>30</v>
      </c>
      <c r="D891" s="10">
        <v>2.5999998999999998</v>
      </c>
      <c r="E891" s="10">
        <v>1</v>
      </c>
      <c r="F891" s="10">
        <v>1.6</v>
      </c>
      <c r="G891" s="10">
        <v>1</v>
      </c>
      <c r="H891" s="10">
        <v>1.6</v>
      </c>
      <c r="I891" s="10">
        <v>0</v>
      </c>
      <c r="J891" s="10">
        <v>0</v>
      </c>
      <c r="K891" s="10">
        <v>0</v>
      </c>
      <c r="L891" s="10">
        <v>0.60000001999999997</v>
      </c>
      <c r="M891" s="10">
        <v>0</v>
      </c>
      <c r="N891" s="10">
        <v>0.60000001999999997</v>
      </c>
      <c r="O891" s="8" t="s">
        <v>31</v>
      </c>
      <c r="P891" s="8" t="s">
        <v>31</v>
      </c>
      <c r="Q891" s="8" t="s">
        <v>57</v>
      </c>
      <c r="R891" s="8" t="s">
        <v>31</v>
      </c>
      <c r="S891" s="8" t="s">
        <v>31</v>
      </c>
      <c r="T891" s="8" t="s">
        <v>31</v>
      </c>
      <c r="U891" s="8" t="s">
        <v>31</v>
      </c>
      <c r="V891" s="8" t="s">
        <v>31</v>
      </c>
      <c r="W891" s="8" t="str">
        <f>_xlfn.IFNA(VLOOKUP(A891,[1]Sheet1!$A$1:$B$101,1,FALSE),"na")</f>
        <v>na</v>
      </c>
      <c r="X891" s="8" t="s">
        <v>35</v>
      </c>
      <c r="Y891" s="9">
        <v>379</v>
      </c>
      <c r="Z891" s="9">
        <v>145.76924</v>
      </c>
      <c r="AA891" s="9">
        <v>379</v>
      </c>
      <c r="AB891" s="9">
        <v>236.875</v>
      </c>
    </row>
    <row r="892" spans="1:28" x14ac:dyDescent="0.25">
      <c r="A892" s="8" t="s">
        <v>1870</v>
      </c>
      <c r="B892" s="8" t="s">
        <v>1871</v>
      </c>
      <c r="C892" s="8" t="s">
        <v>67</v>
      </c>
      <c r="D892" s="10">
        <v>2.2000000000000002</v>
      </c>
      <c r="E892" s="10">
        <v>1</v>
      </c>
      <c r="F892" s="10">
        <v>1.2</v>
      </c>
      <c r="G892" s="10">
        <v>1</v>
      </c>
      <c r="H892" s="10">
        <v>1.2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0.2</v>
      </c>
      <c r="O892" s="8" t="s">
        <v>57</v>
      </c>
      <c r="P892" s="8" t="s">
        <v>31</v>
      </c>
      <c r="Q892" s="8" t="s">
        <v>31</v>
      </c>
      <c r="R892" s="8" t="s">
        <v>31</v>
      </c>
      <c r="S892" s="8" t="s">
        <v>31</v>
      </c>
      <c r="T892" s="8" t="s">
        <v>31</v>
      </c>
      <c r="U892" s="8" t="s">
        <v>31</v>
      </c>
      <c r="V892" s="8" t="s">
        <v>31</v>
      </c>
      <c r="W892" s="8" t="str">
        <f>_xlfn.IFNA(VLOOKUP(A892,[1]Sheet1!$A$1:$B$101,1,FALSE),"na")</f>
        <v>na</v>
      </c>
      <c r="X892" s="8" t="s">
        <v>1120</v>
      </c>
      <c r="Y892" s="9">
        <v>270</v>
      </c>
      <c r="Z892" s="9">
        <v>122.72727</v>
      </c>
      <c r="AA892" s="9">
        <v>270</v>
      </c>
      <c r="AB892" s="9">
        <v>224.99997999999999</v>
      </c>
    </row>
    <row r="893" spans="1:28" x14ac:dyDescent="0.25">
      <c r="A893" s="8" t="s">
        <v>1872</v>
      </c>
      <c r="B893" s="8" t="s">
        <v>1873</v>
      </c>
      <c r="C893" s="8" t="s">
        <v>30</v>
      </c>
      <c r="D893" s="10">
        <v>2.2000000000000002</v>
      </c>
      <c r="E893" s="10">
        <v>1</v>
      </c>
      <c r="F893" s="10">
        <v>1.2</v>
      </c>
      <c r="G893" s="10">
        <v>1</v>
      </c>
      <c r="H893" s="10">
        <v>1.2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0.2</v>
      </c>
      <c r="O893" s="8" t="s">
        <v>57</v>
      </c>
      <c r="P893" s="8" t="s">
        <v>31</v>
      </c>
      <c r="Q893" s="8" t="s">
        <v>31</v>
      </c>
      <c r="R893" s="8" t="s">
        <v>31</v>
      </c>
      <c r="S893" s="8" t="s">
        <v>31</v>
      </c>
      <c r="T893" s="8" t="s">
        <v>31</v>
      </c>
      <c r="U893" s="8" t="s">
        <v>31</v>
      </c>
      <c r="V893" s="8" t="s">
        <v>31</v>
      </c>
      <c r="W893" s="8" t="str">
        <f>_xlfn.IFNA(VLOOKUP(A893,[1]Sheet1!$A$1:$B$101,1,FALSE),"na")</f>
        <v>na</v>
      </c>
      <c r="X893" s="8" t="s">
        <v>83</v>
      </c>
      <c r="Y893" s="9">
        <v>261</v>
      </c>
      <c r="Z893" s="9">
        <v>118.63636</v>
      </c>
      <c r="AA893" s="9">
        <v>261</v>
      </c>
      <c r="AB893" s="9">
        <v>217.49997999999999</v>
      </c>
    </row>
    <row r="894" spans="1:28" x14ac:dyDescent="0.25">
      <c r="A894" s="8" t="s">
        <v>1874</v>
      </c>
      <c r="B894" s="8" t="s">
        <v>1875</v>
      </c>
      <c r="C894" s="8" t="s">
        <v>30</v>
      </c>
      <c r="D894" s="10">
        <v>1.2</v>
      </c>
      <c r="E894" s="10">
        <v>0</v>
      </c>
      <c r="F894" s="10">
        <v>1.2</v>
      </c>
      <c r="G894" s="10">
        <v>0</v>
      </c>
      <c r="H894" s="10">
        <v>1.2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0.2</v>
      </c>
      <c r="O894" s="8" t="s">
        <v>57</v>
      </c>
      <c r="P894" s="8" t="s">
        <v>31</v>
      </c>
      <c r="Q894" s="8" t="s">
        <v>31</v>
      </c>
      <c r="R894" s="8" t="s">
        <v>31</v>
      </c>
      <c r="S894" s="8" t="s">
        <v>31</v>
      </c>
      <c r="T894" s="8" t="s">
        <v>31</v>
      </c>
      <c r="U894" s="8" t="s">
        <v>31</v>
      </c>
      <c r="V894" s="8" t="s">
        <v>31</v>
      </c>
      <c r="W894" s="8" t="str">
        <f>_xlfn.IFNA(VLOOKUP(A894,[1]Sheet1!$A$1:$B$101,1,FALSE),"na")</f>
        <v>na</v>
      </c>
      <c r="X894" s="8" t="s">
        <v>434</v>
      </c>
      <c r="Y894" s="9">
        <v>199</v>
      </c>
      <c r="Z894" s="9">
        <v>165.83332999999999</v>
      </c>
      <c r="AA894" s="9">
        <v>199</v>
      </c>
      <c r="AB894" s="9">
        <v>165.83332999999999</v>
      </c>
    </row>
    <row r="895" spans="1:28" x14ac:dyDescent="0.25">
      <c r="A895" s="8" t="s">
        <v>1876</v>
      </c>
      <c r="B895" s="8" t="s">
        <v>1877</v>
      </c>
      <c r="C895" s="8" t="s">
        <v>30</v>
      </c>
      <c r="D895" s="10">
        <v>1.2</v>
      </c>
      <c r="E895" s="10">
        <v>1</v>
      </c>
      <c r="F895" s="10">
        <v>0.2</v>
      </c>
      <c r="G895" s="10">
        <v>1</v>
      </c>
      <c r="H895" s="10">
        <v>0.2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0.2</v>
      </c>
      <c r="O895" s="8" t="s">
        <v>31</v>
      </c>
      <c r="P895" s="8" t="s">
        <v>31</v>
      </c>
      <c r="Q895" s="8" t="s">
        <v>31</v>
      </c>
      <c r="R895" s="8" t="s">
        <v>31</v>
      </c>
      <c r="S895" s="8" t="s">
        <v>31</v>
      </c>
      <c r="T895" s="8" t="s">
        <v>31</v>
      </c>
      <c r="U895" s="8" t="s">
        <v>31</v>
      </c>
      <c r="V895" s="8" t="s">
        <v>31</v>
      </c>
      <c r="W895" s="8" t="str">
        <f>_xlfn.IFNA(VLOOKUP(A895,[1]Sheet1!$A$1:$B$101,1,FALSE),"na")</f>
        <v>na</v>
      </c>
      <c r="X895" s="8" t="s">
        <v>1792</v>
      </c>
      <c r="Y895" s="9">
        <v>272</v>
      </c>
      <c r="Z895" s="9">
        <v>226.66666000000001</v>
      </c>
      <c r="AA895" s="9">
        <v>272</v>
      </c>
      <c r="AB895" s="9">
        <v>272</v>
      </c>
    </row>
    <row r="896" spans="1:28" x14ac:dyDescent="0.25">
      <c r="A896" s="8" t="s">
        <v>1878</v>
      </c>
      <c r="B896" s="8" t="s">
        <v>1879</v>
      </c>
      <c r="C896" s="8" t="s">
        <v>30</v>
      </c>
      <c r="D896" s="10">
        <v>2.2000000000000002</v>
      </c>
      <c r="E896" s="10">
        <v>1</v>
      </c>
      <c r="F896" s="10">
        <v>1.2</v>
      </c>
      <c r="G896" s="10">
        <v>1</v>
      </c>
      <c r="H896" s="10">
        <v>1.2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0.2</v>
      </c>
      <c r="O896" s="8" t="s">
        <v>31</v>
      </c>
      <c r="P896" s="8" t="s">
        <v>31</v>
      </c>
      <c r="Q896" s="8" t="s">
        <v>57</v>
      </c>
      <c r="R896" s="8" t="s">
        <v>31</v>
      </c>
      <c r="S896" s="8" t="s">
        <v>31</v>
      </c>
      <c r="T896" s="8" t="s">
        <v>31</v>
      </c>
      <c r="U896" s="8" t="s">
        <v>31</v>
      </c>
      <c r="V896" s="8" t="s">
        <v>31</v>
      </c>
      <c r="W896" s="8" t="str">
        <f>_xlfn.IFNA(VLOOKUP(A896,[1]Sheet1!$A$1:$B$101,1,FALSE),"na")</f>
        <v>na</v>
      </c>
      <c r="X896" s="8" t="s">
        <v>35</v>
      </c>
      <c r="Y896" s="9">
        <v>497</v>
      </c>
      <c r="Z896" s="9">
        <v>225.90908999999999</v>
      </c>
      <c r="AA896" s="9">
        <v>497</v>
      </c>
      <c r="AB896" s="9">
        <v>414.16665999999998</v>
      </c>
    </row>
    <row r="897" spans="1:28" x14ac:dyDescent="0.25">
      <c r="A897" s="8" t="s">
        <v>1880</v>
      </c>
      <c r="B897" s="8" t="s">
        <v>1881</v>
      </c>
      <c r="C897" s="8" t="s">
        <v>30</v>
      </c>
      <c r="D897" s="10">
        <v>3.3</v>
      </c>
      <c r="E897" s="10">
        <v>3</v>
      </c>
      <c r="F897" s="10">
        <v>0.30000000999999998</v>
      </c>
      <c r="G897" s="10">
        <v>3</v>
      </c>
      <c r="H897" s="10">
        <v>0.30000000999999998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0.30000000999999998</v>
      </c>
      <c r="O897" s="8" t="s">
        <v>31</v>
      </c>
      <c r="P897" s="8" t="s">
        <v>57</v>
      </c>
      <c r="Q897" s="8" t="s">
        <v>31</v>
      </c>
      <c r="R897" s="8" t="s">
        <v>31</v>
      </c>
      <c r="S897" s="8" t="s">
        <v>31</v>
      </c>
      <c r="T897" s="8" t="s">
        <v>31</v>
      </c>
      <c r="U897" s="8" t="s">
        <v>31</v>
      </c>
      <c r="V897" s="8" t="s">
        <v>31</v>
      </c>
      <c r="W897" s="8" t="str">
        <f>_xlfn.IFNA(VLOOKUP(A897,[1]Sheet1!$A$1:$B$101,1,FALSE),"na")</f>
        <v>na</v>
      </c>
      <c r="X897" s="8" t="s">
        <v>35</v>
      </c>
      <c r="Y897" s="9">
        <v>397</v>
      </c>
      <c r="Z897" s="9">
        <v>120.30303000000001</v>
      </c>
      <c r="AA897" s="9">
        <v>132.33332999999999</v>
      </c>
      <c r="AB897" s="9">
        <v>397</v>
      </c>
    </row>
    <row r="898" spans="1:28" x14ac:dyDescent="0.25">
      <c r="A898" s="8" t="s">
        <v>1882</v>
      </c>
      <c r="B898" s="8" t="s">
        <v>1883</v>
      </c>
      <c r="C898" s="8" t="s">
        <v>80</v>
      </c>
      <c r="D898" s="10">
        <v>3.0999998999999998</v>
      </c>
      <c r="E898" s="10">
        <v>3</v>
      </c>
      <c r="F898" s="10">
        <v>0.1</v>
      </c>
      <c r="G898" s="10">
        <v>3</v>
      </c>
      <c r="H898" s="10">
        <v>0.1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0.1</v>
      </c>
      <c r="O898" s="8" t="s">
        <v>31</v>
      </c>
      <c r="P898" s="8" t="s">
        <v>31</v>
      </c>
      <c r="Q898" s="8" t="s">
        <v>31</v>
      </c>
      <c r="R898" s="8" t="s">
        <v>31</v>
      </c>
      <c r="S898" s="8" t="s">
        <v>31</v>
      </c>
      <c r="T898" s="8" t="s">
        <v>57</v>
      </c>
      <c r="U898" s="8" t="s">
        <v>57</v>
      </c>
      <c r="V898" s="8" t="s">
        <v>31</v>
      </c>
      <c r="W898" s="8" t="str">
        <f>_xlfn.IFNA(VLOOKUP(A898,[1]Sheet1!$A$1:$B$101,1,FALSE),"na")</f>
        <v>na</v>
      </c>
      <c r="X898" s="8" t="s">
        <v>32</v>
      </c>
      <c r="Y898" s="9">
        <v>395</v>
      </c>
      <c r="Z898" s="9">
        <v>127.41936</v>
      </c>
      <c r="AA898" s="9">
        <v>131.66667000000001</v>
      </c>
      <c r="AB898" s="9">
        <v>395</v>
      </c>
    </row>
    <row r="899" spans="1:28" x14ac:dyDescent="0.25">
      <c r="A899" s="8" t="s">
        <v>1884</v>
      </c>
      <c r="B899" s="8" t="s">
        <v>1885</v>
      </c>
      <c r="C899" s="8" t="s">
        <v>80</v>
      </c>
      <c r="D899" s="10">
        <v>5.1999997999999996</v>
      </c>
      <c r="E899" s="10">
        <v>4</v>
      </c>
      <c r="F899" s="10">
        <v>1.2</v>
      </c>
      <c r="G899" s="10">
        <v>4</v>
      </c>
      <c r="H899" s="10">
        <v>1.2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  <c r="N899" s="10">
        <v>0.2</v>
      </c>
      <c r="O899" s="8" t="s">
        <v>57</v>
      </c>
      <c r="P899" s="8" t="s">
        <v>31</v>
      </c>
      <c r="Q899" s="8" t="s">
        <v>31</v>
      </c>
      <c r="R899" s="8" t="s">
        <v>31</v>
      </c>
      <c r="S899" s="8" t="s">
        <v>31</v>
      </c>
      <c r="T899" s="8" t="s">
        <v>31</v>
      </c>
      <c r="U899" s="8" t="s">
        <v>31</v>
      </c>
      <c r="V899" s="8" t="s">
        <v>31</v>
      </c>
      <c r="W899" s="8" t="str">
        <f>_xlfn.IFNA(VLOOKUP(A899,[1]Sheet1!$A$1:$B$101,1,FALSE),"na")</f>
        <v>na</v>
      </c>
      <c r="X899" s="8" t="s">
        <v>35</v>
      </c>
      <c r="Y899" s="9">
        <v>607</v>
      </c>
      <c r="Z899" s="9">
        <v>116.73077000000001</v>
      </c>
      <c r="AA899" s="9">
        <v>151.75</v>
      </c>
      <c r="AB899" s="9">
        <v>505.83330999999998</v>
      </c>
    </row>
    <row r="900" spans="1:28" x14ac:dyDescent="0.25">
      <c r="A900" s="8" t="s">
        <v>1886</v>
      </c>
      <c r="B900" s="8" t="s">
        <v>1887</v>
      </c>
      <c r="C900" s="8" t="s">
        <v>80</v>
      </c>
      <c r="D900" s="10">
        <v>4.0999999000000003</v>
      </c>
      <c r="E900" s="10">
        <v>3</v>
      </c>
      <c r="F900" s="10">
        <v>1.1000000000000001</v>
      </c>
      <c r="G900" s="10">
        <v>3</v>
      </c>
      <c r="H900" s="10">
        <v>1.1000000000000001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0.1</v>
      </c>
      <c r="O900" s="8" t="s">
        <v>31</v>
      </c>
      <c r="P900" s="8" t="s">
        <v>31</v>
      </c>
      <c r="Q900" s="8" t="s">
        <v>31</v>
      </c>
      <c r="R900" s="8" t="s">
        <v>31</v>
      </c>
      <c r="S900" s="8" t="s">
        <v>31</v>
      </c>
      <c r="T900" s="8" t="s">
        <v>31</v>
      </c>
      <c r="U900" s="8" t="s">
        <v>31</v>
      </c>
      <c r="V900" s="8" t="s">
        <v>31</v>
      </c>
      <c r="W900" s="8" t="str">
        <f>_xlfn.IFNA(VLOOKUP(A900,[1]Sheet1!$A$1:$B$101,1,FALSE),"na")</f>
        <v>na</v>
      </c>
      <c r="X900" s="8" t="s">
        <v>32</v>
      </c>
      <c r="Y900" s="9">
        <v>352</v>
      </c>
      <c r="Z900" s="9">
        <v>85.853661000000002</v>
      </c>
      <c r="AA900" s="9">
        <v>117.33334000000001</v>
      </c>
      <c r="AB900" s="9">
        <v>320</v>
      </c>
    </row>
    <row r="901" spans="1:28" x14ac:dyDescent="0.25">
      <c r="A901" s="8" t="s">
        <v>1888</v>
      </c>
      <c r="B901" s="8" t="s">
        <v>1889</v>
      </c>
      <c r="C901" s="8" t="s">
        <v>67</v>
      </c>
      <c r="D901" s="10">
        <v>3.3</v>
      </c>
      <c r="E901" s="10">
        <v>2</v>
      </c>
      <c r="F901" s="10">
        <v>1.3</v>
      </c>
      <c r="G901" s="10">
        <v>2</v>
      </c>
      <c r="H901" s="10">
        <v>1.3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0.30000000999999998</v>
      </c>
      <c r="O901" s="8" t="s">
        <v>57</v>
      </c>
      <c r="P901" s="8" t="s">
        <v>31</v>
      </c>
      <c r="Q901" s="8" t="s">
        <v>31</v>
      </c>
      <c r="R901" s="8" t="s">
        <v>31</v>
      </c>
      <c r="S901" s="8" t="s">
        <v>31</v>
      </c>
      <c r="T901" s="8" t="s">
        <v>31</v>
      </c>
      <c r="U901" s="8" t="s">
        <v>31</v>
      </c>
      <c r="V901" s="8" t="s">
        <v>31</v>
      </c>
      <c r="W901" s="8" t="str">
        <f>_xlfn.IFNA(VLOOKUP(A901,[1]Sheet1!$A$1:$B$101,1,FALSE),"na")</f>
        <v>na</v>
      </c>
      <c r="X901" s="8" t="s">
        <v>35</v>
      </c>
      <c r="Y901" s="9">
        <v>304</v>
      </c>
      <c r="Z901" s="9">
        <v>92.121216000000004</v>
      </c>
      <c r="AA901" s="9">
        <v>152</v>
      </c>
      <c r="AB901" s="9">
        <v>233.84616</v>
      </c>
    </row>
    <row r="902" spans="1:28" x14ac:dyDescent="0.25">
      <c r="A902" s="8" t="s">
        <v>1890</v>
      </c>
      <c r="B902" s="8" t="s">
        <v>1891</v>
      </c>
      <c r="C902" s="8" t="s">
        <v>62</v>
      </c>
      <c r="D902" s="10">
        <v>5.3333301999999998</v>
      </c>
      <c r="E902" s="10">
        <v>3</v>
      </c>
      <c r="F902" s="10">
        <v>2.3333298999999998</v>
      </c>
      <c r="G902" s="10">
        <v>3</v>
      </c>
      <c r="H902" s="10">
        <v>2.3333298999999998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0">
        <v>0.33333001000000001</v>
      </c>
      <c r="O902" s="8" t="s">
        <v>31</v>
      </c>
      <c r="P902" s="8" t="s">
        <v>31</v>
      </c>
      <c r="Q902" s="8" t="s">
        <v>57</v>
      </c>
      <c r="R902" s="8" t="s">
        <v>31</v>
      </c>
      <c r="S902" s="8" t="s">
        <v>31</v>
      </c>
      <c r="T902" s="8" t="s">
        <v>31</v>
      </c>
      <c r="U902" s="8" t="s">
        <v>31</v>
      </c>
      <c r="V902" s="8" t="s">
        <v>31</v>
      </c>
      <c r="W902" s="8" t="str">
        <f>_xlfn.IFNA(VLOOKUP(A902,[1]Sheet1!$A$1:$B$101,1,FALSE),"na")</f>
        <v>na</v>
      </c>
      <c r="X902" s="8" t="s">
        <v>35</v>
      </c>
      <c r="Y902" s="9">
        <v>418</v>
      </c>
      <c r="Z902" s="9">
        <v>78.375045999999998</v>
      </c>
      <c r="AA902" s="9">
        <v>139.33332999999999</v>
      </c>
      <c r="AB902" s="9">
        <v>179.14311000000001</v>
      </c>
    </row>
    <row r="903" spans="1:28" x14ac:dyDescent="0.25">
      <c r="A903" s="8" t="s">
        <v>1892</v>
      </c>
      <c r="B903" s="8" t="s">
        <v>1893</v>
      </c>
      <c r="C903" s="8" t="s">
        <v>62</v>
      </c>
      <c r="D903" s="10">
        <v>2.3333298999999998</v>
      </c>
      <c r="E903" s="10">
        <v>2</v>
      </c>
      <c r="F903" s="10">
        <v>0.33333001000000001</v>
      </c>
      <c r="G903" s="10">
        <v>2</v>
      </c>
      <c r="H903" s="10">
        <v>0.33333001000000001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0.33333001000000001</v>
      </c>
      <c r="O903" s="8" t="s">
        <v>31</v>
      </c>
      <c r="P903" s="8" t="s">
        <v>31</v>
      </c>
      <c r="Q903" s="8" t="s">
        <v>31</v>
      </c>
      <c r="R903" s="8" t="s">
        <v>31</v>
      </c>
      <c r="S903" s="8" t="s">
        <v>31</v>
      </c>
      <c r="T903" s="8" t="s">
        <v>31</v>
      </c>
      <c r="U903" s="8" t="s">
        <v>31</v>
      </c>
      <c r="V903" s="8" t="s">
        <v>31</v>
      </c>
      <c r="W903" s="8" t="str">
        <f>_xlfn.IFNA(VLOOKUP(A903,[1]Sheet1!$A$1:$B$101,1,FALSE),"na")</f>
        <v>na</v>
      </c>
      <c r="X903" s="8" t="s">
        <v>35</v>
      </c>
      <c r="Y903" s="9">
        <v>411</v>
      </c>
      <c r="Z903" s="9">
        <v>176.14311000000001</v>
      </c>
      <c r="AA903" s="9">
        <v>205.5</v>
      </c>
      <c r="AB903" s="9">
        <v>411</v>
      </c>
    </row>
    <row r="904" spans="1:28" x14ac:dyDescent="0.25">
      <c r="A904" s="8" t="s">
        <v>1894</v>
      </c>
      <c r="B904" s="8" t="s">
        <v>1895</v>
      </c>
      <c r="C904" s="8" t="s">
        <v>62</v>
      </c>
      <c r="D904" s="10">
        <v>1.3333299999999999</v>
      </c>
      <c r="E904" s="10">
        <v>1</v>
      </c>
      <c r="F904" s="10">
        <v>0.33333001000000001</v>
      </c>
      <c r="G904" s="10">
        <v>1</v>
      </c>
      <c r="H904" s="10">
        <v>0.33333001000000001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0.33333001000000001</v>
      </c>
      <c r="O904" s="8" t="s">
        <v>31</v>
      </c>
      <c r="P904" s="8" t="s">
        <v>31</v>
      </c>
      <c r="Q904" s="8" t="s">
        <v>31</v>
      </c>
      <c r="R904" s="8" t="s">
        <v>31</v>
      </c>
      <c r="S904" s="8" t="s">
        <v>31</v>
      </c>
      <c r="T904" s="8" t="s">
        <v>57</v>
      </c>
      <c r="U904" s="8" t="s">
        <v>31</v>
      </c>
      <c r="V904" s="8" t="s">
        <v>31</v>
      </c>
      <c r="W904" s="8" t="str">
        <f>_xlfn.IFNA(VLOOKUP(A904,[1]Sheet1!$A$1:$B$101,1,FALSE),"na")</f>
        <v>na</v>
      </c>
      <c r="X904" s="8" t="s">
        <v>35</v>
      </c>
      <c r="Y904" s="9">
        <v>207</v>
      </c>
      <c r="Z904" s="9">
        <v>155.25038000000001</v>
      </c>
      <c r="AA904" s="9">
        <v>207</v>
      </c>
      <c r="AB904" s="9">
        <v>207</v>
      </c>
    </row>
    <row r="905" spans="1:28" x14ac:dyDescent="0.25">
      <c r="A905" s="8" t="s">
        <v>1896</v>
      </c>
      <c r="B905" s="8" t="s">
        <v>1897</v>
      </c>
      <c r="C905" s="8" t="s">
        <v>30</v>
      </c>
      <c r="D905" s="10">
        <v>2.2000000000000002</v>
      </c>
      <c r="E905" s="10">
        <v>1</v>
      </c>
      <c r="F905" s="10">
        <v>1.2</v>
      </c>
      <c r="G905" s="10">
        <v>1</v>
      </c>
      <c r="H905" s="10">
        <v>1.2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0.2</v>
      </c>
      <c r="O905" s="8" t="s">
        <v>57</v>
      </c>
      <c r="P905" s="8" t="s">
        <v>31</v>
      </c>
      <c r="Q905" s="8" t="s">
        <v>31</v>
      </c>
      <c r="R905" s="8" t="s">
        <v>31</v>
      </c>
      <c r="S905" s="8" t="s">
        <v>31</v>
      </c>
      <c r="T905" s="8" t="s">
        <v>31</v>
      </c>
      <c r="U905" s="8" t="s">
        <v>31</v>
      </c>
      <c r="V905" s="8" t="s">
        <v>31</v>
      </c>
      <c r="W905" s="8" t="str">
        <f>_xlfn.IFNA(VLOOKUP(A905,[1]Sheet1!$A$1:$B$101,1,FALSE),"na")</f>
        <v>na</v>
      </c>
      <c r="X905" s="8" t="s">
        <v>426</v>
      </c>
      <c r="Y905" s="9">
        <v>355</v>
      </c>
      <c r="Z905" s="9">
        <v>161.36363</v>
      </c>
      <c r="AA905" s="9">
        <v>355</v>
      </c>
      <c r="AB905" s="9">
        <v>295.83330999999998</v>
      </c>
    </row>
    <row r="906" spans="1:28" x14ac:dyDescent="0.25">
      <c r="A906" s="8" t="s">
        <v>1898</v>
      </c>
      <c r="B906" s="8" t="s">
        <v>1899</v>
      </c>
      <c r="C906" s="8" t="s">
        <v>62</v>
      </c>
      <c r="D906" s="10">
        <v>4.1199998999999998</v>
      </c>
      <c r="E906" s="10">
        <v>3</v>
      </c>
      <c r="F906" s="10">
        <v>1.1200000000000001</v>
      </c>
      <c r="G906" s="10">
        <v>3</v>
      </c>
      <c r="H906" s="10">
        <v>1.1200000000000001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0.12</v>
      </c>
      <c r="O906" s="8" t="s">
        <v>57</v>
      </c>
      <c r="P906" s="8" t="s">
        <v>31</v>
      </c>
      <c r="Q906" s="8" t="s">
        <v>31</v>
      </c>
      <c r="R906" s="8" t="s">
        <v>31</v>
      </c>
      <c r="S906" s="8" t="s">
        <v>31</v>
      </c>
      <c r="T906" s="8" t="s">
        <v>31</v>
      </c>
      <c r="U906" s="8" t="s">
        <v>31</v>
      </c>
      <c r="V906" s="8" t="s">
        <v>31</v>
      </c>
      <c r="W906" s="8" t="str">
        <f>_xlfn.IFNA(VLOOKUP(A906,[1]Sheet1!$A$1:$B$101,1,FALSE),"na")</f>
        <v>na</v>
      </c>
      <c r="X906" s="8" t="s">
        <v>35</v>
      </c>
      <c r="Y906" s="9">
        <v>282</v>
      </c>
      <c r="Z906" s="9">
        <v>68.446601999999999</v>
      </c>
      <c r="AA906" s="9">
        <v>94</v>
      </c>
      <c r="AB906" s="9">
        <v>251.78572</v>
      </c>
    </row>
    <row r="907" spans="1:28" x14ac:dyDescent="0.25">
      <c r="A907" s="8" t="s">
        <v>1900</v>
      </c>
      <c r="B907" s="8" t="s">
        <v>1901</v>
      </c>
      <c r="C907" s="8" t="s">
        <v>62</v>
      </c>
      <c r="D907" s="10">
        <v>5.1999997999999996</v>
      </c>
      <c r="E907" s="10">
        <v>3</v>
      </c>
      <c r="F907" s="10">
        <v>2.2000000000000002</v>
      </c>
      <c r="G907" s="10">
        <v>3</v>
      </c>
      <c r="H907" s="10">
        <v>2.2000000000000002</v>
      </c>
      <c r="I907" s="10">
        <v>0</v>
      </c>
      <c r="J907" s="10">
        <v>0</v>
      </c>
      <c r="K907" s="10">
        <v>0</v>
      </c>
      <c r="L907" s="10">
        <v>1</v>
      </c>
      <c r="M907" s="10">
        <v>0</v>
      </c>
      <c r="N907" s="10">
        <v>0.2</v>
      </c>
      <c r="O907" s="8" t="s">
        <v>31</v>
      </c>
      <c r="P907" s="8" t="s">
        <v>31</v>
      </c>
      <c r="Q907" s="8" t="s">
        <v>31</v>
      </c>
      <c r="R907" s="8" t="s">
        <v>31</v>
      </c>
      <c r="S907" s="8" t="s">
        <v>31</v>
      </c>
      <c r="T907" s="8" t="s">
        <v>57</v>
      </c>
      <c r="U907" s="8" t="s">
        <v>31</v>
      </c>
      <c r="V907" s="8" t="s">
        <v>31</v>
      </c>
      <c r="W907" s="8" t="str">
        <f>_xlfn.IFNA(VLOOKUP(A907,[1]Sheet1!$A$1:$B$101,1,FALSE),"na")</f>
        <v>na</v>
      </c>
      <c r="X907" s="8" t="s">
        <v>35</v>
      </c>
      <c r="Y907" s="9">
        <v>787</v>
      </c>
      <c r="Z907" s="9">
        <v>151.34616</v>
      </c>
      <c r="AA907" s="9">
        <v>262.33334000000002</v>
      </c>
      <c r="AB907" s="9">
        <v>357.72726</v>
      </c>
    </row>
    <row r="908" spans="1:28" x14ac:dyDescent="0.25">
      <c r="A908" s="8" t="s">
        <v>1902</v>
      </c>
      <c r="B908" s="8" t="s">
        <v>1903</v>
      </c>
      <c r="C908" s="8" t="s">
        <v>62</v>
      </c>
      <c r="D908" s="10">
        <v>3.1199998999999998</v>
      </c>
      <c r="E908" s="10">
        <v>2</v>
      </c>
      <c r="F908" s="10">
        <v>1.1200000000000001</v>
      </c>
      <c r="G908" s="10">
        <v>2</v>
      </c>
      <c r="H908" s="10">
        <v>1.1200000000000001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0.12</v>
      </c>
      <c r="O908" s="8" t="s">
        <v>31</v>
      </c>
      <c r="P908" s="8" t="s">
        <v>31</v>
      </c>
      <c r="Q908" s="8" t="s">
        <v>31</v>
      </c>
      <c r="R908" s="8" t="s">
        <v>31</v>
      </c>
      <c r="S908" s="8" t="s">
        <v>31</v>
      </c>
      <c r="T908" s="8" t="s">
        <v>57</v>
      </c>
      <c r="U908" s="8" t="s">
        <v>57</v>
      </c>
      <c r="V908" s="8" t="s">
        <v>31</v>
      </c>
      <c r="W908" s="8" t="str">
        <f>_xlfn.IFNA(VLOOKUP(A908,[1]Sheet1!$A$1:$B$101,1,FALSE),"na")</f>
        <v>na</v>
      </c>
      <c r="X908" s="8" t="s">
        <v>35</v>
      </c>
      <c r="Y908" s="9">
        <v>390</v>
      </c>
      <c r="Z908" s="9">
        <v>125.00001</v>
      </c>
      <c r="AA908" s="9">
        <v>195</v>
      </c>
      <c r="AB908" s="9">
        <v>348.21429000000001</v>
      </c>
    </row>
    <row r="909" spans="1:28" x14ac:dyDescent="0.25">
      <c r="A909" s="8" t="s">
        <v>1904</v>
      </c>
      <c r="B909" s="8" t="s">
        <v>1905</v>
      </c>
      <c r="C909" s="8" t="s">
        <v>62</v>
      </c>
      <c r="D909" s="10">
        <v>4.1199998999999998</v>
      </c>
      <c r="E909" s="10">
        <v>4</v>
      </c>
      <c r="F909" s="10">
        <v>0.12</v>
      </c>
      <c r="G909" s="10">
        <v>4</v>
      </c>
      <c r="H909" s="10">
        <v>0.12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0.12</v>
      </c>
      <c r="O909" s="8" t="s">
        <v>31</v>
      </c>
      <c r="P909" s="8" t="s">
        <v>31</v>
      </c>
      <c r="Q909" s="8" t="s">
        <v>31</v>
      </c>
      <c r="R909" s="8" t="s">
        <v>31</v>
      </c>
      <c r="S909" s="8" t="s">
        <v>31</v>
      </c>
      <c r="T909" s="8" t="s">
        <v>31</v>
      </c>
      <c r="U909" s="8" t="s">
        <v>31</v>
      </c>
      <c r="V909" s="8" t="s">
        <v>31</v>
      </c>
      <c r="W909" s="8" t="str">
        <f>_xlfn.IFNA(VLOOKUP(A909,[1]Sheet1!$A$1:$B$101,1,FALSE),"na")</f>
        <v>na</v>
      </c>
      <c r="X909" s="8" t="s">
        <v>35</v>
      </c>
      <c r="Y909" s="9">
        <v>455</v>
      </c>
      <c r="Z909" s="9">
        <v>110.43689999999999</v>
      </c>
      <c r="AA909" s="9">
        <v>113.75</v>
      </c>
      <c r="AB909" s="9">
        <v>455</v>
      </c>
    </row>
    <row r="910" spans="1:28" x14ac:dyDescent="0.25">
      <c r="A910" s="8" t="s">
        <v>1906</v>
      </c>
      <c r="B910" s="8" t="s">
        <v>1907</v>
      </c>
      <c r="C910" s="8" t="s">
        <v>67</v>
      </c>
      <c r="D910" s="10">
        <v>2</v>
      </c>
      <c r="E910" s="10">
        <v>1</v>
      </c>
      <c r="F910" s="10">
        <v>1</v>
      </c>
      <c r="G910" s="10">
        <v>1</v>
      </c>
      <c r="H910" s="10">
        <v>1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8" t="s">
        <v>57</v>
      </c>
      <c r="P910" s="8" t="s">
        <v>31</v>
      </c>
      <c r="Q910" s="8" t="s">
        <v>31</v>
      </c>
      <c r="R910" s="8" t="s">
        <v>31</v>
      </c>
      <c r="S910" s="8" t="s">
        <v>31</v>
      </c>
      <c r="T910" s="8" t="s">
        <v>31</v>
      </c>
      <c r="U910" s="8" t="s">
        <v>31</v>
      </c>
      <c r="V910" s="8" t="s">
        <v>31</v>
      </c>
      <c r="W910" s="8" t="str">
        <f>_xlfn.IFNA(VLOOKUP(A910,[1]Sheet1!$A$1:$B$101,1,FALSE),"na")</f>
        <v>na</v>
      </c>
      <c r="X910" s="8" t="s">
        <v>35</v>
      </c>
      <c r="Y910" s="9">
        <v>167</v>
      </c>
      <c r="Z910" s="9">
        <v>83.5</v>
      </c>
      <c r="AA910" s="9">
        <v>167</v>
      </c>
      <c r="AB910" s="9">
        <v>167</v>
      </c>
    </row>
    <row r="911" spans="1:28" x14ac:dyDescent="0.25">
      <c r="A911" s="8" t="s">
        <v>1908</v>
      </c>
      <c r="B911" s="8" t="s">
        <v>1909</v>
      </c>
      <c r="C911" s="8" t="s">
        <v>62</v>
      </c>
      <c r="D911" s="10">
        <v>3.1199998999999998</v>
      </c>
      <c r="E911" s="10">
        <v>2</v>
      </c>
      <c r="F911" s="10">
        <v>1.1200000000000001</v>
      </c>
      <c r="G911" s="10">
        <v>2</v>
      </c>
      <c r="H911" s="10">
        <v>1.1200000000000001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0.12</v>
      </c>
      <c r="O911" s="8" t="s">
        <v>57</v>
      </c>
      <c r="P911" s="8" t="s">
        <v>31</v>
      </c>
      <c r="Q911" s="8" t="s">
        <v>31</v>
      </c>
      <c r="R911" s="8" t="s">
        <v>31</v>
      </c>
      <c r="S911" s="8" t="s">
        <v>31</v>
      </c>
      <c r="T911" s="8" t="s">
        <v>31</v>
      </c>
      <c r="U911" s="8" t="s">
        <v>31</v>
      </c>
      <c r="V911" s="8" t="s">
        <v>31</v>
      </c>
      <c r="W911" s="8" t="str">
        <f>_xlfn.IFNA(VLOOKUP(A911,[1]Sheet1!$A$1:$B$101,1,FALSE),"na")</f>
        <v>na</v>
      </c>
      <c r="X911" s="8" t="s">
        <v>35</v>
      </c>
      <c r="Y911" s="9">
        <v>410</v>
      </c>
      <c r="Z911" s="9">
        <v>131.41025999999999</v>
      </c>
      <c r="AA911" s="9">
        <v>205</v>
      </c>
      <c r="AB911" s="9">
        <v>366.07144</v>
      </c>
    </row>
    <row r="912" spans="1:28" x14ac:dyDescent="0.25">
      <c r="A912" s="8" t="s">
        <v>1910</v>
      </c>
      <c r="B912" s="8" t="s">
        <v>1911</v>
      </c>
      <c r="C912" s="8" t="s">
        <v>62</v>
      </c>
      <c r="D912" s="10">
        <v>5</v>
      </c>
      <c r="E912" s="10">
        <v>4</v>
      </c>
      <c r="F912" s="10">
        <v>1</v>
      </c>
      <c r="G912" s="10">
        <v>4</v>
      </c>
      <c r="H912" s="10">
        <v>1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8" t="s">
        <v>57</v>
      </c>
      <c r="P912" s="8" t="s">
        <v>31</v>
      </c>
      <c r="Q912" s="8" t="s">
        <v>31</v>
      </c>
      <c r="R912" s="8" t="s">
        <v>31</v>
      </c>
      <c r="S912" s="8" t="s">
        <v>31</v>
      </c>
      <c r="T912" s="8" t="s">
        <v>57</v>
      </c>
      <c r="U912" s="8" t="s">
        <v>31</v>
      </c>
      <c r="V912" s="8" t="s">
        <v>31</v>
      </c>
      <c r="W912" s="8" t="str">
        <f>_xlfn.IFNA(VLOOKUP(A912,[1]Sheet1!$A$1:$B$101,1,FALSE),"na")</f>
        <v>na</v>
      </c>
      <c r="X912" s="8" t="s">
        <v>35</v>
      </c>
      <c r="Y912" s="9">
        <v>555</v>
      </c>
      <c r="Z912" s="9">
        <v>111</v>
      </c>
      <c r="AA912" s="9">
        <v>138.75</v>
      </c>
      <c r="AB912" s="9">
        <v>555</v>
      </c>
    </row>
    <row r="913" spans="1:28" x14ac:dyDescent="0.25">
      <c r="A913" s="8" t="s">
        <v>1912</v>
      </c>
      <c r="B913" s="8" t="s">
        <v>1913</v>
      </c>
      <c r="C913" s="8" t="s">
        <v>67</v>
      </c>
      <c r="D913" s="10">
        <v>3.0999998999999998</v>
      </c>
      <c r="E913" s="10">
        <v>2</v>
      </c>
      <c r="F913" s="10">
        <v>1.1000000000000001</v>
      </c>
      <c r="G913" s="10">
        <v>2</v>
      </c>
      <c r="H913" s="10">
        <v>1.1000000000000001</v>
      </c>
      <c r="I913" s="10">
        <v>0</v>
      </c>
      <c r="J913" s="10">
        <v>0</v>
      </c>
      <c r="K913" s="10">
        <v>0</v>
      </c>
      <c r="L913" s="10">
        <v>0.1</v>
      </c>
      <c r="M913" s="10">
        <v>0</v>
      </c>
      <c r="N913" s="10">
        <v>0.1</v>
      </c>
      <c r="O913" s="8" t="s">
        <v>31</v>
      </c>
      <c r="P913" s="8" t="s">
        <v>57</v>
      </c>
      <c r="Q913" s="8" t="s">
        <v>31</v>
      </c>
      <c r="R913" s="8" t="s">
        <v>57</v>
      </c>
      <c r="S913" s="8" t="s">
        <v>31</v>
      </c>
      <c r="T913" s="8" t="s">
        <v>31</v>
      </c>
      <c r="U913" s="8" t="s">
        <v>31</v>
      </c>
      <c r="V913" s="8" t="s">
        <v>31</v>
      </c>
      <c r="W913" s="8" t="str">
        <f>_xlfn.IFNA(VLOOKUP(A913,[1]Sheet1!$A$1:$B$101,1,FALSE),"na")</f>
        <v>na</v>
      </c>
      <c r="X913" s="8" t="s">
        <v>35</v>
      </c>
      <c r="Y913" s="9">
        <v>436</v>
      </c>
      <c r="Z913" s="9">
        <v>140.64517000000001</v>
      </c>
      <c r="AA913" s="9">
        <v>218</v>
      </c>
      <c r="AB913" s="9">
        <v>396.36362000000003</v>
      </c>
    </row>
    <row r="914" spans="1:28" x14ac:dyDescent="0.25">
      <c r="A914" s="8" t="s">
        <v>1914</v>
      </c>
      <c r="B914" s="8" t="s">
        <v>1915</v>
      </c>
      <c r="C914" s="8" t="s">
        <v>67</v>
      </c>
      <c r="D914" s="10">
        <v>2.0999998999999998</v>
      </c>
      <c r="E914" s="10">
        <v>1</v>
      </c>
      <c r="F914" s="10">
        <v>1.1000000000000001</v>
      </c>
      <c r="G914" s="10">
        <v>1</v>
      </c>
      <c r="H914" s="10">
        <v>1.1000000000000001</v>
      </c>
      <c r="I914" s="10">
        <v>0</v>
      </c>
      <c r="J914" s="10">
        <v>0</v>
      </c>
      <c r="K914" s="10">
        <v>0</v>
      </c>
      <c r="L914" s="10">
        <v>0.1</v>
      </c>
      <c r="M914" s="10">
        <v>0</v>
      </c>
      <c r="N914" s="10">
        <v>0.1</v>
      </c>
      <c r="O914" s="8" t="s">
        <v>31</v>
      </c>
      <c r="P914" s="8" t="s">
        <v>31</v>
      </c>
      <c r="Q914" s="8" t="s">
        <v>31</v>
      </c>
      <c r="R914" s="8" t="s">
        <v>31</v>
      </c>
      <c r="S914" s="8" t="s">
        <v>31</v>
      </c>
      <c r="T914" s="8" t="s">
        <v>31</v>
      </c>
      <c r="U914" s="8" t="s">
        <v>31</v>
      </c>
      <c r="V914" s="8" t="s">
        <v>31</v>
      </c>
      <c r="W914" s="8" t="str">
        <f>_xlfn.IFNA(VLOOKUP(A914,[1]Sheet1!$A$1:$B$101,1,FALSE),"na")</f>
        <v>na</v>
      </c>
      <c r="X914" s="8" t="s">
        <v>35</v>
      </c>
      <c r="Y914" s="9">
        <v>456</v>
      </c>
      <c r="Z914" s="9">
        <v>217.14286999999999</v>
      </c>
      <c r="AA914" s="9">
        <v>456</v>
      </c>
      <c r="AB914" s="9">
        <v>414.54543999999999</v>
      </c>
    </row>
    <row r="915" spans="1:28" x14ac:dyDescent="0.25">
      <c r="A915" s="8" t="s">
        <v>1916</v>
      </c>
      <c r="B915" s="8" t="s">
        <v>1917</v>
      </c>
      <c r="C915" s="8" t="s">
        <v>67</v>
      </c>
      <c r="D915" s="10">
        <v>2.2000000000000002</v>
      </c>
      <c r="E915" s="10">
        <v>1</v>
      </c>
      <c r="F915" s="10">
        <v>1.2</v>
      </c>
      <c r="G915" s="10">
        <v>1</v>
      </c>
      <c r="H915" s="10">
        <v>1.2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0.2</v>
      </c>
      <c r="O915" s="8" t="s">
        <v>57</v>
      </c>
      <c r="P915" s="8" t="s">
        <v>57</v>
      </c>
      <c r="Q915" s="8" t="s">
        <v>31</v>
      </c>
      <c r="R915" s="8" t="s">
        <v>31</v>
      </c>
      <c r="S915" s="8" t="s">
        <v>31</v>
      </c>
      <c r="T915" s="8" t="s">
        <v>31</v>
      </c>
      <c r="U915" s="8" t="s">
        <v>31</v>
      </c>
      <c r="V915" s="8" t="s">
        <v>31</v>
      </c>
      <c r="W915" s="8" t="str">
        <f>_xlfn.IFNA(VLOOKUP(A915,[1]Sheet1!$A$1:$B$101,1,FALSE),"na")</f>
        <v>na</v>
      </c>
      <c r="X915" s="8" t="s">
        <v>35</v>
      </c>
      <c r="Y915" s="9">
        <v>116</v>
      </c>
      <c r="Z915" s="9">
        <v>52.727271999999999</v>
      </c>
      <c r="AA915" s="9">
        <v>116</v>
      </c>
      <c r="AB915" s="9">
        <v>96.666663999999997</v>
      </c>
    </row>
    <row r="916" spans="1:28" x14ac:dyDescent="0.25">
      <c r="A916" s="8" t="s">
        <v>1918</v>
      </c>
      <c r="B916" s="8" t="s">
        <v>1919</v>
      </c>
      <c r="C916" s="8" t="s">
        <v>30</v>
      </c>
      <c r="D916" s="10">
        <v>1.2</v>
      </c>
      <c r="E916" s="10">
        <v>1</v>
      </c>
      <c r="F916" s="10">
        <v>0.2</v>
      </c>
      <c r="G916" s="10">
        <v>1</v>
      </c>
      <c r="H916" s="10">
        <v>0.2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0.2</v>
      </c>
      <c r="O916" s="8" t="s">
        <v>31</v>
      </c>
      <c r="P916" s="8" t="s">
        <v>31</v>
      </c>
      <c r="Q916" s="8" t="s">
        <v>31</v>
      </c>
      <c r="R916" s="8" t="s">
        <v>31</v>
      </c>
      <c r="S916" s="8" t="s">
        <v>31</v>
      </c>
      <c r="T916" s="8" t="s">
        <v>31</v>
      </c>
      <c r="U916" s="8" t="s">
        <v>31</v>
      </c>
      <c r="V916" s="8" t="s">
        <v>31</v>
      </c>
      <c r="W916" s="8" t="str">
        <f>_xlfn.IFNA(VLOOKUP(A916,[1]Sheet1!$A$1:$B$101,1,FALSE),"na")</f>
        <v>na</v>
      </c>
      <c r="X916" s="8" t="s">
        <v>35</v>
      </c>
      <c r="Y916" s="9">
        <v>351</v>
      </c>
      <c r="Z916" s="9">
        <v>292.5</v>
      </c>
      <c r="AA916" s="9">
        <v>351</v>
      </c>
      <c r="AB916" s="9">
        <v>351</v>
      </c>
    </row>
    <row r="917" spans="1:28" x14ac:dyDescent="0.25">
      <c r="A917" s="8" t="s">
        <v>1920</v>
      </c>
      <c r="B917" s="8" t="s">
        <v>1921</v>
      </c>
      <c r="C917" s="8" t="s">
        <v>67</v>
      </c>
      <c r="D917" s="10">
        <v>1.2</v>
      </c>
      <c r="E917" s="10">
        <v>1</v>
      </c>
      <c r="F917" s="10">
        <v>0.2</v>
      </c>
      <c r="G917" s="10">
        <v>1</v>
      </c>
      <c r="H917" s="10">
        <v>0.2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0">
        <v>0.2</v>
      </c>
      <c r="O917" s="8" t="s">
        <v>31</v>
      </c>
      <c r="P917" s="8" t="s">
        <v>31</v>
      </c>
      <c r="Q917" s="8" t="s">
        <v>31</v>
      </c>
      <c r="R917" s="8" t="s">
        <v>31</v>
      </c>
      <c r="S917" s="8" t="s">
        <v>31</v>
      </c>
      <c r="T917" s="8" t="s">
        <v>31</v>
      </c>
      <c r="U917" s="8" t="s">
        <v>31</v>
      </c>
      <c r="V917" s="8" t="s">
        <v>31</v>
      </c>
      <c r="W917" s="8" t="str">
        <f>_xlfn.IFNA(VLOOKUP(A917,[1]Sheet1!$A$1:$B$101,1,FALSE),"na")</f>
        <v>na</v>
      </c>
      <c r="X917" s="8" t="s">
        <v>35</v>
      </c>
      <c r="Y917" s="9">
        <v>236</v>
      </c>
      <c r="Z917" s="9">
        <v>196.66666000000001</v>
      </c>
      <c r="AA917" s="9">
        <v>236</v>
      </c>
      <c r="AB917" s="9">
        <v>236</v>
      </c>
    </row>
    <row r="918" spans="1:28" x14ac:dyDescent="0.25">
      <c r="A918" s="8" t="s">
        <v>1922</v>
      </c>
      <c r="B918" s="8" t="s">
        <v>1923</v>
      </c>
      <c r="C918" s="8" t="s">
        <v>62</v>
      </c>
      <c r="D918" s="10">
        <v>3</v>
      </c>
      <c r="E918" s="10">
        <v>2</v>
      </c>
      <c r="F918" s="10">
        <v>1</v>
      </c>
      <c r="G918" s="10">
        <v>2</v>
      </c>
      <c r="H918" s="10">
        <v>1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8" t="s">
        <v>57</v>
      </c>
      <c r="P918" s="8" t="s">
        <v>31</v>
      </c>
      <c r="Q918" s="8" t="s">
        <v>31</v>
      </c>
      <c r="R918" s="8" t="s">
        <v>31</v>
      </c>
      <c r="S918" s="8" t="s">
        <v>31</v>
      </c>
      <c r="T918" s="8" t="s">
        <v>31</v>
      </c>
      <c r="U918" s="8" t="s">
        <v>31</v>
      </c>
      <c r="V918" s="8" t="s">
        <v>31</v>
      </c>
      <c r="W918" s="8" t="str">
        <f>_xlfn.IFNA(VLOOKUP(A918,[1]Sheet1!$A$1:$B$101,1,FALSE),"na")</f>
        <v>na</v>
      </c>
      <c r="X918" s="8" t="s">
        <v>35</v>
      </c>
      <c r="Y918" s="9">
        <v>356</v>
      </c>
      <c r="Z918" s="9">
        <v>118.66665999999999</v>
      </c>
      <c r="AA918" s="9">
        <v>178</v>
      </c>
      <c r="AB918" s="9">
        <v>356</v>
      </c>
    </row>
    <row r="919" spans="1:28" x14ac:dyDescent="0.25">
      <c r="A919" s="8" t="s">
        <v>1924</v>
      </c>
      <c r="B919" s="8" t="s">
        <v>1925</v>
      </c>
      <c r="C919" s="8" t="s">
        <v>67</v>
      </c>
      <c r="D919" s="10">
        <v>1.1000000000000001</v>
      </c>
      <c r="E919" s="10">
        <v>1</v>
      </c>
      <c r="F919" s="10">
        <v>0.1</v>
      </c>
      <c r="G919" s="10">
        <v>1</v>
      </c>
      <c r="H919" s="10">
        <v>0.1</v>
      </c>
      <c r="I919" s="10">
        <v>0</v>
      </c>
      <c r="J919" s="10">
        <v>0</v>
      </c>
      <c r="K919" s="10">
        <v>0</v>
      </c>
      <c r="L919" s="10">
        <v>0.1</v>
      </c>
      <c r="M919" s="10">
        <v>0</v>
      </c>
      <c r="N919" s="10">
        <v>0.1</v>
      </c>
      <c r="O919" s="8" t="s">
        <v>31</v>
      </c>
      <c r="P919" s="8" t="s">
        <v>31</v>
      </c>
      <c r="Q919" s="8" t="s">
        <v>31</v>
      </c>
      <c r="R919" s="8" t="s">
        <v>31</v>
      </c>
      <c r="S919" s="8" t="s">
        <v>31</v>
      </c>
      <c r="T919" s="8" t="s">
        <v>31</v>
      </c>
      <c r="U919" s="8" t="s">
        <v>31</v>
      </c>
      <c r="V919" s="8" t="s">
        <v>31</v>
      </c>
      <c r="W919" s="8" t="str">
        <f>_xlfn.IFNA(VLOOKUP(A919,[1]Sheet1!$A$1:$B$101,1,FALSE),"na")</f>
        <v>na</v>
      </c>
      <c r="X919" s="8" t="s">
        <v>35</v>
      </c>
      <c r="Y919" s="9">
        <v>219</v>
      </c>
      <c r="Z919" s="9">
        <v>199.09091000000001</v>
      </c>
      <c r="AA919" s="9">
        <v>219</v>
      </c>
      <c r="AB919" s="9">
        <v>219</v>
      </c>
    </row>
    <row r="920" spans="1:28" x14ac:dyDescent="0.25">
      <c r="A920" s="8" t="s">
        <v>1926</v>
      </c>
      <c r="B920" s="8" t="s">
        <v>1927</v>
      </c>
      <c r="C920" s="8" t="s">
        <v>62</v>
      </c>
      <c r="D920" s="10">
        <v>3.1199998999999998</v>
      </c>
      <c r="E920" s="10">
        <v>2</v>
      </c>
      <c r="F920" s="10">
        <v>1.1200000000000001</v>
      </c>
      <c r="G920" s="10">
        <v>2</v>
      </c>
      <c r="H920" s="10">
        <v>1.1200000000000001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  <c r="N920" s="10">
        <v>0.12</v>
      </c>
      <c r="O920" s="8" t="s">
        <v>31</v>
      </c>
      <c r="P920" s="8" t="s">
        <v>31</v>
      </c>
      <c r="Q920" s="8" t="s">
        <v>31</v>
      </c>
      <c r="R920" s="8" t="s">
        <v>31</v>
      </c>
      <c r="S920" s="8" t="s">
        <v>31</v>
      </c>
      <c r="T920" s="8" t="s">
        <v>31</v>
      </c>
      <c r="U920" s="8" t="s">
        <v>57</v>
      </c>
      <c r="V920" s="8" t="s">
        <v>31</v>
      </c>
      <c r="W920" s="8" t="str">
        <f>_xlfn.IFNA(VLOOKUP(A920,[1]Sheet1!$A$1:$B$101,1,FALSE),"na")</f>
        <v>na</v>
      </c>
      <c r="X920" s="8" t="s">
        <v>35</v>
      </c>
      <c r="Y920" s="9">
        <v>375</v>
      </c>
      <c r="Z920" s="9">
        <v>120.19231000000001</v>
      </c>
      <c r="AA920" s="9">
        <v>187.5</v>
      </c>
      <c r="AB920" s="9">
        <v>334.82144</v>
      </c>
    </row>
    <row r="921" spans="1:28" x14ac:dyDescent="0.25">
      <c r="A921" s="8" t="s">
        <v>1928</v>
      </c>
      <c r="B921" s="8" t="s">
        <v>1929</v>
      </c>
      <c r="C921" s="8" t="s">
        <v>67</v>
      </c>
      <c r="D921" s="10">
        <v>3.3</v>
      </c>
      <c r="E921" s="10">
        <v>1</v>
      </c>
      <c r="F921" s="10">
        <v>2.2999999999999998</v>
      </c>
      <c r="G921" s="10">
        <v>1</v>
      </c>
      <c r="H921" s="10">
        <v>2.2999999999999998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0.30000000999999998</v>
      </c>
      <c r="O921" s="8" t="s">
        <v>57</v>
      </c>
      <c r="P921" s="8" t="s">
        <v>57</v>
      </c>
      <c r="Q921" s="8" t="s">
        <v>31</v>
      </c>
      <c r="R921" s="8" t="s">
        <v>31</v>
      </c>
      <c r="S921" s="8" t="s">
        <v>31</v>
      </c>
      <c r="T921" s="8" t="s">
        <v>31</v>
      </c>
      <c r="U921" s="8" t="s">
        <v>31</v>
      </c>
      <c r="V921" s="8" t="s">
        <v>31</v>
      </c>
      <c r="W921" s="8" t="str">
        <f>_xlfn.IFNA(VLOOKUP(A921,[1]Sheet1!$A$1:$B$101,1,FALSE),"na")</f>
        <v>na</v>
      </c>
      <c r="X921" s="8" t="s">
        <v>35</v>
      </c>
      <c r="Y921" s="9">
        <v>163</v>
      </c>
      <c r="Z921" s="9">
        <v>49.393940000000001</v>
      </c>
      <c r="AA921" s="9">
        <v>163</v>
      </c>
      <c r="AB921" s="9">
        <v>70.869568000000001</v>
      </c>
    </row>
    <row r="922" spans="1:28" x14ac:dyDescent="0.25">
      <c r="A922" s="8" t="s">
        <v>1930</v>
      </c>
      <c r="B922" s="8" t="s">
        <v>1931</v>
      </c>
      <c r="C922" s="8" t="s">
        <v>67</v>
      </c>
      <c r="D922" s="10">
        <v>3.0666698999999999</v>
      </c>
      <c r="E922" s="10">
        <v>1</v>
      </c>
      <c r="F922" s="10">
        <v>2.0666698999999999</v>
      </c>
      <c r="G922" s="10">
        <v>1</v>
      </c>
      <c r="H922" s="10">
        <v>2.0666698999999999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6.6670001000000007E-2</v>
      </c>
      <c r="O922" s="8" t="s">
        <v>31</v>
      </c>
      <c r="P922" s="8" t="s">
        <v>31</v>
      </c>
      <c r="Q922" s="8" t="s">
        <v>31</v>
      </c>
      <c r="R922" s="8" t="s">
        <v>31</v>
      </c>
      <c r="S922" s="8" t="s">
        <v>31</v>
      </c>
      <c r="T922" s="8" t="s">
        <v>31</v>
      </c>
      <c r="U922" s="8" t="s">
        <v>31</v>
      </c>
      <c r="V922" s="8" t="s">
        <v>31</v>
      </c>
      <c r="W922" s="8" t="str">
        <f>_xlfn.IFNA(VLOOKUP(A922,[1]Sheet1!$A$1:$B$101,1,FALSE),"na")</f>
        <v>na</v>
      </c>
      <c r="X922" s="8" t="s">
        <v>35</v>
      </c>
      <c r="Y922" s="9">
        <v>305</v>
      </c>
      <c r="Z922" s="9">
        <v>99.456412999999998</v>
      </c>
      <c r="AA922" s="9">
        <v>305</v>
      </c>
      <c r="AB922" s="9">
        <v>147.58041</v>
      </c>
    </row>
    <row r="923" spans="1:28" x14ac:dyDescent="0.25">
      <c r="A923" s="8" t="s">
        <v>1932</v>
      </c>
      <c r="B923" s="8" t="s">
        <v>1933</v>
      </c>
      <c r="C923" s="8" t="s">
        <v>30</v>
      </c>
      <c r="D923" s="10">
        <v>1.0666698999999999</v>
      </c>
      <c r="E923" s="10">
        <v>0</v>
      </c>
      <c r="F923" s="10">
        <v>1.0666698999999999</v>
      </c>
      <c r="G923" s="10">
        <v>0</v>
      </c>
      <c r="H923" s="10">
        <v>1.0666698999999999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  <c r="N923" s="10">
        <v>6.6670001000000007E-2</v>
      </c>
      <c r="O923" s="8" t="s">
        <v>57</v>
      </c>
      <c r="P923" s="8" t="s">
        <v>31</v>
      </c>
      <c r="Q923" s="8" t="s">
        <v>31</v>
      </c>
      <c r="R923" s="8" t="s">
        <v>31</v>
      </c>
      <c r="S923" s="8" t="s">
        <v>31</v>
      </c>
      <c r="T923" s="8" t="s">
        <v>31</v>
      </c>
      <c r="U923" s="8" t="s">
        <v>31</v>
      </c>
      <c r="V923" s="8" t="s">
        <v>31</v>
      </c>
      <c r="W923" s="8" t="str">
        <f>_xlfn.IFNA(VLOOKUP(A923,[1]Sheet1!$A$1:$B$101,1,FALSE),"na")</f>
        <v>na</v>
      </c>
      <c r="X923" s="8" t="s">
        <v>35</v>
      </c>
      <c r="Y923" s="9">
        <v>243</v>
      </c>
      <c r="Z923" s="9">
        <v>227.81180000000001</v>
      </c>
      <c r="AA923" s="9">
        <v>243</v>
      </c>
      <c r="AB923" s="9">
        <v>227.81180000000001</v>
      </c>
    </row>
    <row r="924" spans="1:28" x14ac:dyDescent="0.25">
      <c r="A924" s="8" t="s">
        <v>1934</v>
      </c>
      <c r="B924" s="8" t="s">
        <v>1935</v>
      </c>
      <c r="C924" s="8" t="s">
        <v>62</v>
      </c>
      <c r="D924" s="10">
        <v>2</v>
      </c>
      <c r="E924" s="10">
        <v>1</v>
      </c>
      <c r="F924" s="10">
        <v>1</v>
      </c>
      <c r="G924" s="10">
        <v>1</v>
      </c>
      <c r="H924" s="10">
        <v>1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8" t="s">
        <v>57</v>
      </c>
      <c r="P924" s="8" t="s">
        <v>31</v>
      </c>
      <c r="Q924" s="8" t="s">
        <v>31</v>
      </c>
      <c r="R924" s="8" t="s">
        <v>31</v>
      </c>
      <c r="S924" s="8" t="s">
        <v>31</v>
      </c>
      <c r="T924" s="8" t="s">
        <v>31</v>
      </c>
      <c r="U924" s="8" t="s">
        <v>31</v>
      </c>
      <c r="V924" s="8" t="s">
        <v>31</v>
      </c>
      <c r="W924" s="8" t="str">
        <f>_xlfn.IFNA(VLOOKUP(A924,[1]Sheet1!$A$1:$B$101,1,FALSE),"na")</f>
        <v>na</v>
      </c>
      <c r="X924" s="8" t="s">
        <v>35</v>
      </c>
      <c r="Y924" s="9">
        <v>136</v>
      </c>
      <c r="Z924" s="9">
        <v>68</v>
      </c>
      <c r="AA924" s="9">
        <v>136</v>
      </c>
      <c r="AB924" s="9">
        <v>136</v>
      </c>
    </row>
    <row r="925" spans="1:28" x14ac:dyDescent="0.25">
      <c r="A925" s="8" t="s">
        <v>1936</v>
      </c>
      <c r="B925" s="8" t="s">
        <v>1937</v>
      </c>
      <c r="C925" s="8" t="s">
        <v>62</v>
      </c>
      <c r="D925" s="10">
        <v>2</v>
      </c>
      <c r="E925" s="10">
        <v>1</v>
      </c>
      <c r="F925" s="10">
        <v>1</v>
      </c>
      <c r="G925" s="10">
        <v>1</v>
      </c>
      <c r="H925" s="10">
        <v>1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8" t="s">
        <v>31</v>
      </c>
      <c r="P925" s="8" t="s">
        <v>31</v>
      </c>
      <c r="Q925" s="8" t="s">
        <v>31</v>
      </c>
      <c r="R925" s="8" t="s">
        <v>31</v>
      </c>
      <c r="S925" s="8" t="s">
        <v>31</v>
      </c>
      <c r="T925" s="8" t="s">
        <v>31</v>
      </c>
      <c r="U925" s="8" t="s">
        <v>31</v>
      </c>
      <c r="V925" s="8" t="s">
        <v>31</v>
      </c>
      <c r="W925" s="8" t="str">
        <f>_xlfn.IFNA(VLOOKUP(A925,[1]Sheet1!$A$1:$B$101,1,FALSE),"na")</f>
        <v>na</v>
      </c>
      <c r="X925" s="8" t="s">
        <v>35</v>
      </c>
      <c r="Y925" s="9">
        <v>146</v>
      </c>
      <c r="Z925" s="9">
        <v>73</v>
      </c>
      <c r="AA925" s="9">
        <v>146</v>
      </c>
      <c r="AB925" s="9">
        <v>146</v>
      </c>
    </row>
    <row r="926" spans="1:28" x14ac:dyDescent="0.25">
      <c r="A926" s="8" t="s">
        <v>1938</v>
      </c>
      <c r="B926" s="8" t="s">
        <v>1939</v>
      </c>
      <c r="C926" s="8" t="s">
        <v>38</v>
      </c>
      <c r="D926" s="10">
        <v>4.5</v>
      </c>
      <c r="E926" s="10">
        <v>3</v>
      </c>
      <c r="F926" s="10">
        <v>1.5</v>
      </c>
      <c r="G926" s="10">
        <v>3</v>
      </c>
      <c r="H926" s="10">
        <v>1.5</v>
      </c>
      <c r="I926" s="10">
        <v>0</v>
      </c>
      <c r="J926" s="10">
        <v>0</v>
      </c>
      <c r="K926" s="10">
        <v>0</v>
      </c>
      <c r="L926" s="10">
        <v>0.5</v>
      </c>
      <c r="M926" s="10">
        <v>0</v>
      </c>
      <c r="N926" s="10">
        <v>0.5</v>
      </c>
      <c r="O926" s="8" t="s">
        <v>57</v>
      </c>
      <c r="P926" s="8" t="s">
        <v>31</v>
      </c>
      <c r="Q926" s="8" t="s">
        <v>31</v>
      </c>
      <c r="R926" s="8" t="s">
        <v>31</v>
      </c>
      <c r="S926" s="8" t="s">
        <v>31</v>
      </c>
      <c r="T926" s="8" t="s">
        <v>31</v>
      </c>
      <c r="U926" s="8" t="s">
        <v>31</v>
      </c>
      <c r="V926" s="8" t="s">
        <v>31</v>
      </c>
      <c r="W926" s="8" t="str">
        <f>_xlfn.IFNA(VLOOKUP(A926,[1]Sheet1!$A$1:$B$101,1,FALSE),"na")</f>
        <v>na</v>
      </c>
      <c r="X926" s="8" t="s">
        <v>35</v>
      </c>
      <c r="Y926" s="9">
        <v>849</v>
      </c>
      <c r="Z926" s="9">
        <v>188.66667000000001</v>
      </c>
      <c r="AA926" s="9">
        <v>283</v>
      </c>
      <c r="AB926" s="9">
        <v>566</v>
      </c>
    </row>
    <row r="927" spans="1:28" x14ac:dyDescent="0.25">
      <c r="A927" s="8" t="s">
        <v>1940</v>
      </c>
      <c r="B927" s="8" t="s">
        <v>1941</v>
      </c>
      <c r="C927" s="8" t="s">
        <v>30</v>
      </c>
      <c r="D927" s="10">
        <v>2.4000001000000002</v>
      </c>
      <c r="E927" s="10">
        <v>1</v>
      </c>
      <c r="F927" s="10">
        <v>1.4</v>
      </c>
      <c r="G927" s="10">
        <v>1</v>
      </c>
      <c r="H927" s="10">
        <v>1.4</v>
      </c>
      <c r="I927" s="10">
        <v>0</v>
      </c>
      <c r="J927" s="10">
        <v>0</v>
      </c>
      <c r="K927" s="10">
        <v>0</v>
      </c>
      <c r="L927" s="10">
        <v>0.40000001000000002</v>
      </c>
      <c r="M927" s="10">
        <v>0</v>
      </c>
      <c r="N927" s="10">
        <v>0.40000001000000002</v>
      </c>
      <c r="O927" s="8" t="s">
        <v>57</v>
      </c>
      <c r="P927" s="8" t="s">
        <v>31</v>
      </c>
      <c r="Q927" s="8" t="s">
        <v>31</v>
      </c>
      <c r="R927" s="8" t="s">
        <v>31</v>
      </c>
      <c r="S927" s="8" t="s">
        <v>31</v>
      </c>
      <c r="T927" s="8" t="s">
        <v>31</v>
      </c>
      <c r="U927" s="8" t="s">
        <v>31</v>
      </c>
      <c r="V927" s="8" t="s">
        <v>31</v>
      </c>
      <c r="W927" s="8" t="str">
        <f>_xlfn.IFNA(VLOOKUP(A927,[1]Sheet1!$A$1:$B$101,1,FALSE),"na")</f>
        <v>na</v>
      </c>
      <c r="X927" s="8" t="s">
        <v>35</v>
      </c>
      <c r="Y927" s="9">
        <v>488</v>
      </c>
      <c r="Z927" s="9">
        <v>203.33332999999999</v>
      </c>
      <c r="AA927" s="9">
        <v>488</v>
      </c>
      <c r="AB927" s="9">
        <v>348.57144</v>
      </c>
    </row>
    <row r="928" spans="1:28" x14ac:dyDescent="0.25">
      <c r="A928" s="8" t="s">
        <v>1942</v>
      </c>
      <c r="B928" s="8" t="s">
        <v>1943</v>
      </c>
      <c r="C928" s="8" t="s">
        <v>67</v>
      </c>
      <c r="D928" s="10">
        <v>4.0999999000000003</v>
      </c>
      <c r="E928" s="10">
        <v>3</v>
      </c>
      <c r="F928" s="10">
        <v>1.1000000000000001</v>
      </c>
      <c r="G928" s="10">
        <v>3</v>
      </c>
      <c r="H928" s="10">
        <v>1.1000000000000001</v>
      </c>
      <c r="I928" s="10">
        <v>0</v>
      </c>
      <c r="J928" s="10">
        <v>0</v>
      </c>
      <c r="K928" s="10">
        <v>0</v>
      </c>
      <c r="L928" s="10">
        <v>0.1</v>
      </c>
      <c r="M928" s="10">
        <v>0</v>
      </c>
      <c r="N928" s="10">
        <v>0.1</v>
      </c>
      <c r="O928" s="8" t="s">
        <v>57</v>
      </c>
      <c r="P928" s="8" t="s">
        <v>31</v>
      </c>
      <c r="Q928" s="8" t="s">
        <v>31</v>
      </c>
      <c r="R928" s="8" t="s">
        <v>31</v>
      </c>
      <c r="S928" s="8" t="s">
        <v>31</v>
      </c>
      <c r="T928" s="8" t="s">
        <v>31</v>
      </c>
      <c r="U928" s="8" t="s">
        <v>31</v>
      </c>
      <c r="V928" s="8" t="s">
        <v>31</v>
      </c>
      <c r="W928" s="8" t="str">
        <f>_xlfn.IFNA(VLOOKUP(A928,[1]Sheet1!$A$1:$B$101,1,FALSE),"na")</f>
        <v>na</v>
      </c>
      <c r="X928" s="8" t="s">
        <v>35</v>
      </c>
      <c r="Y928" s="9">
        <v>872</v>
      </c>
      <c r="Z928" s="9">
        <v>212.68294</v>
      </c>
      <c r="AA928" s="9">
        <v>290.66665999999998</v>
      </c>
      <c r="AB928" s="9">
        <v>792.72722999999996</v>
      </c>
    </row>
    <row r="929" spans="1:28" x14ac:dyDescent="0.25">
      <c r="A929" s="8" t="s">
        <v>1944</v>
      </c>
      <c r="B929" s="8" t="s">
        <v>1945</v>
      </c>
      <c r="C929" s="8" t="s">
        <v>30</v>
      </c>
      <c r="D929" s="10">
        <v>2.5999998999999998</v>
      </c>
      <c r="E929" s="10">
        <v>2</v>
      </c>
      <c r="F929" s="10">
        <v>0.60000001999999997</v>
      </c>
      <c r="G929" s="10">
        <v>2</v>
      </c>
      <c r="H929" s="10">
        <v>0.60000001999999997</v>
      </c>
      <c r="I929" s="10">
        <v>0</v>
      </c>
      <c r="J929" s="10">
        <v>0</v>
      </c>
      <c r="K929" s="10">
        <v>0</v>
      </c>
      <c r="L929" s="10">
        <v>0.60000001999999997</v>
      </c>
      <c r="M929" s="10">
        <v>0</v>
      </c>
      <c r="N929" s="10">
        <v>0.60000001999999997</v>
      </c>
      <c r="O929" s="8" t="s">
        <v>31</v>
      </c>
      <c r="P929" s="8" t="s">
        <v>31</v>
      </c>
      <c r="Q929" s="8" t="s">
        <v>31</v>
      </c>
      <c r="R929" s="8" t="s">
        <v>31</v>
      </c>
      <c r="S929" s="8" t="s">
        <v>31</v>
      </c>
      <c r="T929" s="8" t="s">
        <v>31</v>
      </c>
      <c r="U929" s="8" t="s">
        <v>31</v>
      </c>
      <c r="V929" s="8" t="s">
        <v>31</v>
      </c>
      <c r="W929" s="8" t="str">
        <f>_xlfn.IFNA(VLOOKUP(A929,[1]Sheet1!$A$1:$B$101,1,FALSE),"na")</f>
        <v>na</v>
      </c>
      <c r="X929" s="8" t="s">
        <v>35</v>
      </c>
      <c r="Y929" s="9">
        <v>559</v>
      </c>
      <c r="Z929" s="9">
        <v>215.00002000000001</v>
      </c>
      <c r="AA929" s="9">
        <v>279.5</v>
      </c>
      <c r="AB929" s="9">
        <v>559</v>
      </c>
    </row>
    <row r="930" spans="1:28" x14ac:dyDescent="0.25">
      <c r="A930" s="8" t="s">
        <v>1946</v>
      </c>
      <c r="B930" s="8" t="s">
        <v>1947</v>
      </c>
      <c r="C930" s="8" t="s">
        <v>30</v>
      </c>
      <c r="D930" s="10">
        <v>3</v>
      </c>
      <c r="E930" s="10">
        <v>2</v>
      </c>
      <c r="F930" s="10">
        <v>1</v>
      </c>
      <c r="G930" s="10">
        <v>2</v>
      </c>
      <c r="H930" s="10">
        <v>1</v>
      </c>
      <c r="I930" s="10">
        <v>0</v>
      </c>
      <c r="J930" s="10">
        <v>0</v>
      </c>
      <c r="K930" s="10">
        <v>0</v>
      </c>
      <c r="L930" s="10">
        <v>1</v>
      </c>
      <c r="M930" s="10">
        <v>0</v>
      </c>
      <c r="N930" s="10">
        <v>1</v>
      </c>
      <c r="O930" s="8" t="s">
        <v>31</v>
      </c>
      <c r="P930" s="8" t="s">
        <v>31</v>
      </c>
      <c r="Q930" s="8" t="s">
        <v>31</v>
      </c>
      <c r="R930" s="8" t="s">
        <v>31</v>
      </c>
      <c r="S930" s="8" t="s">
        <v>31</v>
      </c>
      <c r="T930" s="8" t="s">
        <v>31</v>
      </c>
      <c r="U930" s="8" t="s">
        <v>31</v>
      </c>
      <c r="V930" s="8" t="s">
        <v>31</v>
      </c>
      <c r="W930" s="8" t="str">
        <f>_xlfn.IFNA(VLOOKUP(A930,[1]Sheet1!$A$1:$B$101,1,FALSE),"na")</f>
        <v>na</v>
      </c>
      <c r="X930" s="8" t="s">
        <v>35</v>
      </c>
      <c r="Y930" s="9">
        <v>1076</v>
      </c>
      <c r="Z930" s="9">
        <v>358.66665999999998</v>
      </c>
      <c r="AA930" s="9">
        <v>538</v>
      </c>
      <c r="AB930" s="9">
        <v>1076</v>
      </c>
    </row>
    <row r="931" spans="1:28" x14ac:dyDescent="0.25">
      <c r="A931" s="8" t="s">
        <v>1948</v>
      </c>
      <c r="B931" s="8" t="s">
        <v>1949</v>
      </c>
      <c r="C931" s="8" t="s">
        <v>38</v>
      </c>
      <c r="D931" s="10">
        <v>2</v>
      </c>
      <c r="E931" s="10">
        <v>1.4</v>
      </c>
      <c r="F931" s="10">
        <v>0.60000001999999997</v>
      </c>
      <c r="G931" s="10">
        <v>1</v>
      </c>
      <c r="H931" s="10">
        <v>0.60000001999999997</v>
      </c>
      <c r="I931" s="10">
        <v>0.40000001000000002</v>
      </c>
      <c r="J931" s="10">
        <v>0</v>
      </c>
      <c r="K931" s="10">
        <v>0</v>
      </c>
      <c r="L931" s="10">
        <v>0.60000001999999997</v>
      </c>
      <c r="M931" s="10">
        <v>1</v>
      </c>
      <c r="N931" s="10">
        <v>0.60000001999999997</v>
      </c>
      <c r="O931" s="8" t="s">
        <v>31</v>
      </c>
      <c r="P931" s="8" t="s">
        <v>31</v>
      </c>
      <c r="Q931" s="8" t="s">
        <v>31</v>
      </c>
      <c r="R931" s="8" t="s">
        <v>31</v>
      </c>
      <c r="S931" s="8" t="s">
        <v>31</v>
      </c>
      <c r="T931" s="8" t="s">
        <v>31</v>
      </c>
      <c r="U931" s="8" t="s">
        <v>31</v>
      </c>
      <c r="V931" s="8" t="s">
        <v>31</v>
      </c>
      <c r="W931" s="8" t="str">
        <f>_xlfn.IFNA(VLOOKUP(A931,[1]Sheet1!$A$1:$B$101,1,FALSE),"na")</f>
        <v>na</v>
      </c>
      <c r="X931" s="8" t="s">
        <v>35</v>
      </c>
      <c r="Y931" s="9">
        <v>1023</v>
      </c>
      <c r="Z931" s="9">
        <v>511.5</v>
      </c>
      <c r="AA931" s="9">
        <v>730.71429000000001</v>
      </c>
      <c r="AB931" s="9">
        <v>1023</v>
      </c>
    </row>
    <row r="932" spans="1:28" x14ac:dyDescent="0.25">
      <c r="A932" s="8" t="s">
        <v>1950</v>
      </c>
      <c r="B932" s="8" t="s">
        <v>1951</v>
      </c>
      <c r="C932" s="8" t="s">
        <v>30</v>
      </c>
      <c r="D932" s="10">
        <v>4.8000002000000004</v>
      </c>
      <c r="E932" s="10">
        <v>4</v>
      </c>
      <c r="F932" s="10">
        <v>0.80000000999999998</v>
      </c>
      <c r="G932" s="10">
        <v>4</v>
      </c>
      <c r="H932" s="10">
        <v>0.80000000999999998</v>
      </c>
      <c r="I932" s="10">
        <v>0</v>
      </c>
      <c r="J932" s="10">
        <v>0</v>
      </c>
      <c r="K932" s="10">
        <v>3</v>
      </c>
      <c r="L932" s="10">
        <v>0.80000000999999998</v>
      </c>
      <c r="M932" s="10">
        <v>0</v>
      </c>
      <c r="N932" s="10">
        <v>0.80000000999999998</v>
      </c>
      <c r="O932" s="8" t="s">
        <v>31</v>
      </c>
      <c r="P932" s="8" t="s">
        <v>31</v>
      </c>
      <c r="Q932" s="8" t="s">
        <v>31</v>
      </c>
      <c r="R932" s="8" t="s">
        <v>31</v>
      </c>
      <c r="S932" s="8" t="s">
        <v>31</v>
      </c>
      <c r="T932" s="8" t="s">
        <v>31</v>
      </c>
      <c r="U932" s="8" t="s">
        <v>31</v>
      </c>
      <c r="V932" s="8" t="s">
        <v>31</v>
      </c>
      <c r="W932" s="8" t="str">
        <f>_xlfn.IFNA(VLOOKUP(A932,[1]Sheet1!$A$1:$B$101,1,FALSE),"na")</f>
        <v>na</v>
      </c>
      <c r="X932" s="8" t="s">
        <v>35</v>
      </c>
      <c r="Y932" s="9">
        <v>1118</v>
      </c>
      <c r="Z932" s="9">
        <v>232.91666000000001</v>
      </c>
      <c r="AA932" s="9">
        <v>279.5</v>
      </c>
      <c r="AB932" s="9">
        <v>1118</v>
      </c>
    </row>
    <row r="933" spans="1:28" x14ac:dyDescent="0.25">
      <c r="A933" s="8" t="s">
        <v>1952</v>
      </c>
      <c r="B933" s="8" t="s">
        <v>1953</v>
      </c>
      <c r="C933" s="8" t="s">
        <v>30</v>
      </c>
      <c r="D933" s="10">
        <v>2.5999998999999998</v>
      </c>
      <c r="E933" s="10">
        <v>1</v>
      </c>
      <c r="F933" s="10">
        <v>1.6</v>
      </c>
      <c r="G933" s="10">
        <v>1</v>
      </c>
      <c r="H933" s="10">
        <v>1.6</v>
      </c>
      <c r="I933" s="10">
        <v>0</v>
      </c>
      <c r="J933" s="10">
        <v>0</v>
      </c>
      <c r="K933" s="10">
        <v>0</v>
      </c>
      <c r="L933" s="10">
        <v>0.60000001999999997</v>
      </c>
      <c r="M933" s="10">
        <v>0</v>
      </c>
      <c r="N933" s="10">
        <v>0.60000001999999997</v>
      </c>
      <c r="O933" s="8" t="s">
        <v>57</v>
      </c>
      <c r="P933" s="8" t="s">
        <v>31</v>
      </c>
      <c r="Q933" s="8" t="s">
        <v>31</v>
      </c>
      <c r="R933" s="8" t="s">
        <v>31</v>
      </c>
      <c r="S933" s="8" t="s">
        <v>31</v>
      </c>
      <c r="T933" s="8" t="s">
        <v>31</v>
      </c>
      <c r="U933" s="8" t="s">
        <v>31</v>
      </c>
      <c r="V933" s="8" t="s">
        <v>31</v>
      </c>
      <c r="W933" s="8" t="str">
        <f>_xlfn.IFNA(VLOOKUP(A933,[1]Sheet1!$A$1:$B$101,1,FALSE),"na")</f>
        <v>na</v>
      </c>
      <c r="X933" s="8" t="s">
        <v>35</v>
      </c>
      <c r="Y933" s="9">
        <v>746</v>
      </c>
      <c r="Z933" s="9">
        <v>286.92309999999998</v>
      </c>
      <c r="AA933" s="9">
        <v>746</v>
      </c>
      <c r="AB933" s="9">
        <v>466.25</v>
      </c>
    </row>
    <row r="934" spans="1:28" x14ac:dyDescent="0.25">
      <c r="A934" s="8" t="s">
        <v>1954</v>
      </c>
      <c r="B934" s="8" t="s">
        <v>1955</v>
      </c>
      <c r="C934" s="8" t="s">
        <v>30</v>
      </c>
      <c r="D934" s="10">
        <v>2.5999998999999998</v>
      </c>
      <c r="E934" s="10">
        <v>1</v>
      </c>
      <c r="F934" s="10">
        <v>1.6</v>
      </c>
      <c r="G934" s="10">
        <v>1</v>
      </c>
      <c r="H934" s="10">
        <v>1.6</v>
      </c>
      <c r="I934" s="10">
        <v>0</v>
      </c>
      <c r="J934" s="10">
        <v>0</v>
      </c>
      <c r="K934" s="10">
        <v>0</v>
      </c>
      <c r="L934" s="10">
        <v>0.60000001999999997</v>
      </c>
      <c r="M934" s="10">
        <v>0</v>
      </c>
      <c r="N934" s="10">
        <v>0.60000001999999997</v>
      </c>
      <c r="O934" s="8" t="s">
        <v>57</v>
      </c>
      <c r="P934" s="8" t="s">
        <v>31</v>
      </c>
      <c r="Q934" s="8" t="s">
        <v>31</v>
      </c>
      <c r="R934" s="8" t="s">
        <v>31</v>
      </c>
      <c r="S934" s="8" t="s">
        <v>31</v>
      </c>
      <c r="T934" s="8" t="s">
        <v>31</v>
      </c>
      <c r="U934" s="8" t="s">
        <v>31</v>
      </c>
      <c r="V934" s="8" t="s">
        <v>31</v>
      </c>
      <c r="W934" s="8" t="str">
        <f>_xlfn.IFNA(VLOOKUP(A934,[1]Sheet1!$A$1:$B$101,1,FALSE),"na")</f>
        <v>na</v>
      </c>
      <c r="X934" s="8" t="s">
        <v>35</v>
      </c>
      <c r="Y934" s="9">
        <v>660</v>
      </c>
      <c r="Z934" s="9">
        <v>253.84616</v>
      </c>
      <c r="AA934" s="9">
        <v>660</v>
      </c>
      <c r="AB934" s="9">
        <v>412.5</v>
      </c>
    </row>
    <row r="935" spans="1:28" x14ac:dyDescent="0.25">
      <c r="A935" s="8" t="s">
        <v>1956</v>
      </c>
      <c r="B935" s="8" t="s">
        <v>1957</v>
      </c>
      <c r="C935" s="8" t="s">
        <v>30</v>
      </c>
      <c r="D935" s="10">
        <v>3.8</v>
      </c>
      <c r="E935" s="10">
        <v>3</v>
      </c>
      <c r="F935" s="10">
        <v>0.80000000999999998</v>
      </c>
      <c r="G935" s="10">
        <v>3</v>
      </c>
      <c r="H935" s="10">
        <v>0.80000000999999998</v>
      </c>
      <c r="I935" s="10">
        <v>0</v>
      </c>
      <c r="J935" s="10">
        <v>0</v>
      </c>
      <c r="K935" s="10">
        <v>0</v>
      </c>
      <c r="L935" s="10">
        <v>0.80000000999999998</v>
      </c>
      <c r="M935" s="10">
        <v>0</v>
      </c>
      <c r="N935" s="10">
        <v>0.80000000999999998</v>
      </c>
      <c r="O935" s="8" t="s">
        <v>31</v>
      </c>
      <c r="P935" s="8" t="s">
        <v>31</v>
      </c>
      <c r="Q935" s="8" t="s">
        <v>31</v>
      </c>
      <c r="R935" s="8" t="s">
        <v>31</v>
      </c>
      <c r="S935" s="8" t="s">
        <v>31</v>
      </c>
      <c r="T935" s="8" t="s">
        <v>31</v>
      </c>
      <c r="U935" s="8" t="s">
        <v>31</v>
      </c>
      <c r="V935" s="8" t="s">
        <v>31</v>
      </c>
      <c r="W935" s="8" t="str">
        <f>_xlfn.IFNA(VLOOKUP(A935,[1]Sheet1!$A$1:$B$101,1,FALSE),"na")</f>
        <v>na</v>
      </c>
      <c r="X935" s="8" t="s">
        <v>35</v>
      </c>
      <c r="Y935" s="9">
        <v>973</v>
      </c>
      <c r="Z935" s="9">
        <v>256.05264</v>
      </c>
      <c r="AA935" s="9">
        <v>324.33334000000002</v>
      </c>
      <c r="AB935" s="9">
        <v>973</v>
      </c>
    </row>
    <row r="936" spans="1:28" x14ac:dyDescent="0.25">
      <c r="A936" s="8" t="s">
        <v>1958</v>
      </c>
      <c r="B936" s="8" t="s">
        <v>1959</v>
      </c>
      <c r="C936" s="8" t="s">
        <v>38</v>
      </c>
      <c r="D936" s="10">
        <v>2.2000000000000002</v>
      </c>
      <c r="E936" s="10">
        <v>1</v>
      </c>
      <c r="F936" s="10">
        <v>1.2</v>
      </c>
      <c r="G936" s="10">
        <v>1</v>
      </c>
      <c r="H936" s="10">
        <v>1.2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0.2</v>
      </c>
      <c r="O936" s="8" t="s">
        <v>57</v>
      </c>
      <c r="P936" s="8" t="s">
        <v>31</v>
      </c>
      <c r="Q936" s="8" t="s">
        <v>31</v>
      </c>
      <c r="R936" s="8" t="s">
        <v>31</v>
      </c>
      <c r="S936" s="8" t="s">
        <v>31</v>
      </c>
      <c r="T936" s="8" t="s">
        <v>31</v>
      </c>
      <c r="U936" s="8" t="s">
        <v>31</v>
      </c>
      <c r="V936" s="8" t="s">
        <v>31</v>
      </c>
      <c r="W936" s="8" t="str">
        <f>_xlfn.IFNA(VLOOKUP(A936,[1]Sheet1!$A$1:$B$101,1,FALSE),"na")</f>
        <v>na</v>
      </c>
      <c r="X936" s="8" t="s">
        <v>35</v>
      </c>
      <c r="Y936" s="9">
        <v>631</v>
      </c>
      <c r="Z936" s="9">
        <v>286.81817999999998</v>
      </c>
      <c r="AA936" s="9">
        <v>631</v>
      </c>
      <c r="AB936" s="9">
        <v>525.83330999999998</v>
      </c>
    </row>
    <row r="937" spans="1:28" x14ac:dyDescent="0.25">
      <c r="A937" s="8" t="s">
        <v>1960</v>
      </c>
      <c r="B937" s="8" t="s">
        <v>1961</v>
      </c>
      <c r="C937" s="8" t="s">
        <v>30</v>
      </c>
      <c r="D937" s="10">
        <v>2.5</v>
      </c>
      <c r="E937" s="10">
        <v>1</v>
      </c>
      <c r="F937" s="10">
        <v>1.5</v>
      </c>
      <c r="G937" s="10">
        <v>1</v>
      </c>
      <c r="H937" s="10">
        <v>1.5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0.5</v>
      </c>
      <c r="O937" s="8" t="s">
        <v>31</v>
      </c>
      <c r="P937" s="8" t="s">
        <v>31</v>
      </c>
      <c r="Q937" s="8" t="s">
        <v>31</v>
      </c>
      <c r="R937" s="8" t="s">
        <v>31</v>
      </c>
      <c r="S937" s="8" t="s">
        <v>31</v>
      </c>
      <c r="T937" s="8" t="s">
        <v>31</v>
      </c>
      <c r="U937" s="8" t="s">
        <v>31</v>
      </c>
      <c r="V937" s="8" t="s">
        <v>31</v>
      </c>
      <c r="W937" s="8" t="str">
        <f>_xlfn.IFNA(VLOOKUP(A937,[1]Sheet1!$A$1:$B$101,1,FALSE),"na")</f>
        <v>na</v>
      </c>
      <c r="X937" s="8" t="s">
        <v>1636</v>
      </c>
      <c r="Y937" s="9">
        <v>497</v>
      </c>
      <c r="Z937" s="9">
        <v>198.8</v>
      </c>
      <c r="AA937" s="9">
        <v>497</v>
      </c>
      <c r="AB937" s="9">
        <v>331.33334000000002</v>
      </c>
    </row>
    <row r="938" spans="1:28" x14ac:dyDescent="0.25">
      <c r="A938" s="8" t="s">
        <v>1962</v>
      </c>
      <c r="B938" s="8" t="s">
        <v>1963</v>
      </c>
      <c r="C938" s="8" t="s">
        <v>30</v>
      </c>
      <c r="D938" s="10">
        <v>1.6</v>
      </c>
      <c r="E938" s="10">
        <v>1</v>
      </c>
      <c r="F938" s="10">
        <v>0.60000001999999997</v>
      </c>
      <c r="G938" s="10">
        <v>1</v>
      </c>
      <c r="H938" s="10">
        <v>0.60000001999999997</v>
      </c>
      <c r="I938" s="10">
        <v>0</v>
      </c>
      <c r="J938" s="10">
        <v>0</v>
      </c>
      <c r="K938" s="10">
        <v>0</v>
      </c>
      <c r="L938" s="10">
        <v>0.60000001999999997</v>
      </c>
      <c r="M938" s="10">
        <v>0</v>
      </c>
      <c r="N938" s="10">
        <v>0.60000001999999997</v>
      </c>
      <c r="O938" s="8" t="s">
        <v>31</v>
      </c>
      <c r="P938" s="8" t="s">
        <v>31</v>
      </c>
      <c r="Q938" s="8" t="s">
        <v>31</v>
      </c>
      <c r="R938" s="8" t="s">
        <v>31</v>
      </c>
      <c r="S938" s="8" t="s">
        <v>31</v>
      </c>
      <c r="T938" s="8" t="s">
        <v>31</v>
      </c>
      <c r="U938" s="8" t="s">
        <v>31</v>
      </c>
      <c r="V938" s="8" t="s">
        <v>31</v>
      </c>
      <c r="W938" s="8" t="str">
        <f>_xlfn.IFNA(VLOOKUP(A938,[1]Sheet1!$A$1:$B$101,1,FALSE),"na")</f>
        <v>na</v>
      </c>
      <c r="X938" s="8" t="s">
        <v>35</v>
      </c>
      <c r="Y938" s="9">
        <v>830</v>
      </c>
      <c r="Z938" s="9">
        <v>518.75</v>
      </c>
      <c r="AA938" s="9">
        <v>830</v>
      </c>
      <c r="AB938" s="9">
        <v>830</v>
      </c>
    </row>
    <row r="939" spans="1:28" x14ac:dyDescent="0.25">
      <c r="A939" s="8" t="s">
        <v>1964</v>
      </c>
      <c r="B939" s="8" t="s">
        <v>1965</v>
      </c>
      <c r="C939" s="8" t="s">
        <v>30</v>
      </c>
      <c r="D939" s="10">
        <v>2.5999998999999998</v>
      </c>
      <c r="E939" s="10">
        <v>2</v>
      </c>
      <c r="F939" s="10">
        <v>0.60000001999999997</v>
      </c>
      <c r="G939" s="10">
        <v>2</v>
      </c>
      <c r="H939" s="10">
        <v>0.60000001999999997</v>
      </c>
      <c r="I939" s="10">
        <v>0</v>
      </c>
      <c r="J939" s="10">
        <v>0</v>
      </c>
      <c r="K939" s="10">
        <v>0</v>
      </c>
      <c r="L939" s="10">
        <v>0.60000001999999997</v>
      </c>
      <c r="M939" s="10">
        <v>0</v>
      </c>
      <c r="N939" s="10">
        <v>0.60000001999999997</v>
      </c>
      <c r="O939" s="8" t="s">
        <v>31</v>
      </c>
      <c r="P939" s="8" t="s">
        <v>31</v>
      </c>
      <c r="Q939" s="8" t="s">
        <v>31</v>
      </c>
      <c r="R939" s="8" t="s">
        <v>31</v>
      </c>
      <c r="S939" s="8" t="s">
        <v>31</v>
      </c>
      <c r="T939" s="8" t="s">
        <v>31</v>
      </c>
      <c r="U939" s="8" t="s">
        <v>31</v>
      </c>
      <c r="V939" s="8" t="s">
        <v>31</v>
      </c>
      <c r="W939" s="8" t="str">
        <f>_xlfn.IFNA(VLOOKUP(A939,[1]Sheet1!$A$1:$B$101,1,FALSE),"na")</f>
        <v>na</v>
      </c>
      <c r="X939" s="8" t="s">
        <v>35</v>
      </c>
      <c r="Y939" s="9">
        <v>1058</v>
      </c>
      <c r="Z939" s="9">
        <v>406.92309999999998</v>
      </c>
      <c r="AA939" s="9">
        <v>529</v>
      </c>
      <c r="AB939" s="9">
        <v>1058</v>
      </c>
    </row>
    <row r="940" spans="1:28" x14ac:dyDescent="0.25">
      <c r="A940" s="8" t="s">
        <v>1966</v>
      </c>
      <c r="B940" s="8" t="s">
        <v>1967</v>
      </c>
      <c r="C940" s="8" t="s">
        <v>30</v>
      </c>
      <c r="D940" s="10">
        <v>2.5999998999999998</v>
      </c>
      <c r="E940" s="10">
        <v>2</v>
      </c>
      <c r="F940" s="10">
        <v>0.60000001999999997</v>
      </c>
      <c r="G940" s="10">
        <v>2</v>
      </c>
      <c r="H940" s="10">
        <v>0.60000001999999997</v>
      </c>
      <c r="I940" s="10">
        <v>0</v>
      </c>
      <c r="J940" s="10">
        <v>0</v>
      </c>
      <c r="K940" s="10">
        <v>0</v>
      </c>
      <c r="L940" s="10">
        <v>0.60000001999999997</v>
      </c>
      <c r="M940" s="10">
        <v>0</v>
      </c>
      <c r="N940" s="10">
        <v>0.60000001999999997</v>
      </c>
      <c r="O940" s="8" t="s">
        <v>31</v>
      </c>
      <c r="P940" s="8" t="s">
        <v>31</v>
      </c>
      <c r="Q940" s="8" t="s">
        <v>31</v>
      </c>
      <c r="R940" s="8" t="s">
        <v>31</v>
      </c>
      <c r="S940" s="8" t="s">
        <v>31</v>
      </c>
      <c r="T940" s="8" t="s">
        <v>31</v>
      </c>
      <c r="U940" s="8" t="s">
        <v>31</v>
      </c>
      <c r="V940" s="8" t="s">
        <v>31</v>
      </c>
      <c r="W940" s="8" t="str">
        <f>_xlfn.IFNA(VLOOKUP(A940,[1]Sheet1!$A$1:$B$101,1,FALSE),"na")</f>
        <v>na</v>
      </c>
      <c r="X940" s="8" t="s">
        <v>1636</v>
      </c>
      <c r="Y940" s="9">
        <v>671</v>
      </c>
      <c r="Z940" s="9">
        <v>258.07693</v>
      </c>
      <c r="AA940" s="9">
        <v>335.5</v>
      </c>
      <c r="AB940" s="9">
        <v>671</v>
      </c>
    </row>
    <row r="941" spans="1:28" x14ac:dyDescent="0.25">
      <c r="A941" s="8" t="s">
        <v>1968</v>
      </c>
      <c r="B941" s="8" t="s">
        <v>1969</v>
      </c>
      <c r="C941" s="8" t="s">
        <v>38</v>
      </c>
      <c r="D941" s="10">
        <v>4.5</v>
      </c>
      <c r="E941" s="10">
        <v>3</v>
      </c>
      <c r="F941" s="10">
        <v>1.5</v>
      </c>
      <c r="G941" s="10">
        <v>3</v>
      </c>
      <c r="H941" s="10">
        <v>1.5</v>
      </c>
      <c r="I941" s="10">
        <v>0</v>
      </c>
      <c r="J941" s="10">
        <v>0</v>
      </c>
      <c r="K941" s="10">
        <v>0</v>
      </c>
      <c r="L941" s="10">
        <v>0.5</v>
      </c>
      <c r="M941" s="10">
        <v>0</v>
      </c>
      <c r="N941" s="10">
        <v>0.5</v>
      </c>
      <c r="O941" s="8" t="s">
        <v>57</v>
      </c>
      <c r="P941" s="8" t="s">
        <v>31</v>
      </c>
      <c r="Q941" s="8" t="s">
        <v>31</v>
      </c>
      <c r="R941" s="8" t="s">
        <v>31</v>
      </c>
      <c r="S941" s="8" t="s">
        <v>31</v>
      </c>
      <c r="T941" s="8" t="s">
        <v>31</v>
      </c>
      <c r="U941" s="8" t="s">
        <v>31</v>
      </c>
      <c r="V941" s="8" t="s">
        <v>31</v>
      </c>
      <c r="W941" s="8" t="str">
        <f>_xlfn.IFNA(VLOOKUP(A941,[1]Sheet1!$A$1:$B$101,1,FALSE),"na")</f>
        <v>na</v>
      </c>
      <c r="X941" s="8" t="s">
        <v>35</v>
      </c>
      <c r="Y941" s="9">
        <v>853</v>
      </c>
      <c r="Z941" s="9">
        <v>189.55556000000001</v>
      </c>
      <c r="AA941" s="9">
        <v>284.33334000000002</v>
      </c>
      <c r="AB941" s="9">
        <v>568.66669000000002</v>
      </c>
    </row>
    <row r="942" spans="1:28" x14ac:dyDescent="0.25">
      <c r="A942" s="8" t="s">
        <v>1970</v>
      </c>
      <c r="B942" s="8" t="s">
        <v>1971</v>
      </c>
      <c r="C942" s="8" t="s">
        <v>30</v>
      </c>
      <c r="D942" s="10">
        <v>2.2000000000000002</v>
      </c>
      <c r="E942" s="10">
        <v>1.6</v>
      </c>
      <c r="F942" s="10">
        <v>0.60000001999999997</v>
      </c>
      <c r="G942" s="10">
        <v>1</v>
      </c>
      <c r="H942" s="10">
        <v>0.60000001999999997</v>
      </c>
      <c r="I942" s="10">
        <v>0.60000001999999997</v>
      </c>
      <c r="J942" s="10">
        <v>0</v>
      </c>
      <c r="K942" s="10">
        <v>0</v>
      </c>
      <c r="L942" s="10">
        <v>0</v>
      </c>
      <c r="M942" s="10">
        <v>0</v>
      </c>
      <c r="N942" s="10">
        <v>0.60000001999999997</v>
      </c>
      <c r="O942" s="8" t="s">
        <v>31</v>
      </c>
      <c r="P942" s="8" t="s">
        <v>31</v>
      </c>
      <c r="Q942" s="8" t="s">
        <v>31</v>
      </c>
      <c r="R942" s="8" t="s">
        <v>31</v>
      </c>
      <c r="S942" s="8" t="s">
        <v>31</v>
      </c>
      <c r="T942" s="8" t="s">
        <v>31</v>
      </c>
      <c r="U942" s="8" t="s">
        <v>31</v>
      </c>
      <c r="V942" s="8" t="s">
        <v>31</v>
      </c>
      <c r="W942" s="8" t="str">
        <f>_xlfn.IFNA(VLOOKUP(A942,[1]Sheet1!$A$1:$B$101,1,FALSE),"na")</f>
        <v>na</v>
      </c>
      <c r="X942" s="8" t="s">
        <v>35</v>
      </c>
      <c r="Y942" s="9">
        <v>578</v>
      </c>
      <c r="Z942" s="9">
        <v>262.72726</v>
      </c>
      <c r="AA942" s="9">
        <v>361.25</v>
      </c>
      <c r="AB942" s="9">
        <v>578</v>
      </c>
    </row>
    <row r="943" spans="1:28" x14ac:dyDescent="0.25">
      <c r="A943" s="8" t="s">
        <v>1972</v>
      </c>
      <c r="B943" s="8" t="s">
        <v>1973</v>
      </c>
      <c r="C943" s="8" t="s">
        <v>30</v>
      </c>
      <c r="D943" s="10">
        <v>4</v>
      </c>
      <c r="E943" s="10">
        <v>2</v>
      </c>
      <c r="F943" s="10">
        <v>2</v>
      </c>
      <c r="G943" s="10">
        <v>2</v>
      </c>
      <c r="H943" s="10">
        <v>2</v>
      </c>
      <c r="I943" s="10">
        <v>0</v>
      </c>
      <c r="J943" s="10">
        <v>0</v>
      </c>
      <c r="K943" s="10">
        <v>0</v>
      </c>
      <c r="L943" s="10">
        <v>1</v>
      </c>
      <c r="M943" s="10">
        <v>0</v>
      </c>
      <c r="N943" s="10">
        <v>1</v>
      </c>
      <c r="O943" s="8" t="s">
        <v>31</v>
      </c>
      <c r="P943" s="8" t="s">
        <v>31</v>
      </c>
      <c r="Q943" s="8" t="s">
        <v>31</v>
      </c>
      <c r="R943" s="8" t="s">
        <v>31</v>
      </c>
      <c r="S943" s="8" t="s">
        <v>31</v>
      </c>
      <c r="T943" s="8" t="s">
        <v>31</v>
      </c>
      <c r="U943" s="8" t="s">
        <v>31</v>
      </c>
      <c r="V943" s="8" t="s">
        <v>31</v>
      </c>
      <c r="W943" s="8" t="str">
        <f>_xlfn.IFNA(VLOOKUP(A943,[1]Sheet1!$A$1:$B$101,1,FALSE),"na")</f>
        <v>na</v>
      </c>
      <c r="X943" s="8" t="s">
        <v>35</v>
      </c>
      <c r="Y943" s="9">
        <v>975</v>
      </c>
      <c r="Z943" s="9">
        <v>243.75</v>
      </c>
      <c r="AA943" s="9">
        <v>487.5</v>
      </c>
      <c r="AB943" s="9">
        <v>487.5</v>
      </c>
    </row>
    <row r="944" spans="1:28" x14ac:dyDescent="0.25">
      <c r="A944" s="8" t="s">
        <v>1974</v>
      </c>
      <c r="B944" s="8" t="s">
        <v>1975</v>
      </c>
      <c r="C944" s="8" t="s">
        <v>67</v>
      </c>
      <c r="D944" s="10">
        <v>3</v>
      </c>
      <c r="E944" s="10">
        <v>2</v>
      </c>
      <c r="F944" s="10">
        <v>1</v>
      </c>
      <c r="G944" s="10">
        <v>2</v>
      </c>
      <c r="H944" s="10">
        <v>1</v>
      </c>
      <c r="I944" s="10">
        <v>0</v>
      </c>
      <c r="J944" s="10">
        <v>0</v>
      </c>
      <c r="K944" s="10">
        <v>0</v>
      </c>
      <c r="L944" s="10">
        <v>0</v>
      </c>
      <c r="M944" s="10">
        <v>0</v>
      </c>
      <c r="N944" s="10">
        <v>0</v>
      </c>
      <c r="O944" s="8" t="s">
        <v>31</v>
      </c>
      <c r="P944" s="8" t="s">
        <v>31</v>
      </c>
      <c r="Q944" s="8" t="s">
        <v>31</v>
      </c>
      <c r="R944" s="8" t="s">
        <v>57</v>
      </c>
      <c r="S944" s="8" t="s">
        <v>31</v>
      </c>
      <c r="T944" s="8" t="s">
        <v>31</v>
      </c>
      <c r="U944" s="8" t="s">
        <v>31</v>
      </c>
      <c r="V944" s="8" t="s">
        <v>31</v>
      </c>
      <c r="W944" s="8" t="str">
        <f>_xlfn.IFNA(VLOOKUP(A944,[1]Sheet1!$A$1:$B$101,1,FALSE),"na")</f>
        <v>na</v>
      </c>
      <c r="X944" s="8" t="s">
        <v>35</v>
      </c>
      <c r="Y944" s="9">
        <v>954</v>
      </c>
      <c r="Z944" s="9">
        <v>318</v>
      </c>
      <c r="AA944" s="9">
        <v>477</v>
      </c>
      <c r="AB944" s="9">
        <v>954</v>
      </c>
    </row>
    <row r="945" spans="1:28" x14ac:dyDescent="0.25">
      <c r="A945" s="8" t="s">
        <v>1976</v>
      </c>
      <c r="B945" s="8" t="s">
        <v>1977</v>
      </c>
      <c r="C945" s="8" t="s">
        <v>38</v>
      </c>
      <c r="D945" s="10">
        <v>4.5</v>
      </c>
      <c r="E945" s="10">
        <v>3</v>
      </c>
      <c r="F945" s="10">
        <v>1.5</v>
      </c>
      <c r="G945" s="10">
        <v>3</v>
      </c>
      <c r="H945" s="10">
        <v>1.5</v>
      </c>
      <c r="I945" s="10">
        <v>0</v>
      </c>
      <c r="J945" s="10">
        <v>0</v>
      </c>
      <c r="K945" s="10">
        <v>0</v>
      </c>
      <c r="L945" s="10">
        <v>0.5</v>
      </c>
      <c r="M945" s="10">
        <v>0</v>
      </c>
      <c r="N945" s="10">
        <v>0.5</v>
      </c>
      <c r="O945" s="8" t="s">
        <v>57</v>
      </c>
      <c r="P945" s="8" t="s">
        <v>57</v>
      </c>
      <c r="Q945" s="8" t="s">
        <v>31</v>
      </c>
      <c r="R945" s="8" t="s">
        <v>31</v>
      </c>
      <c r="S945" s="8" t="s">
        <v>31</v>
      </c>
      <c r="T945" s="8" t="s">
        <v>31</v>
      </c>
      <c r="U945" s="8" t="s">
        <v>31</v>
      </c>
      <c r="V945" s="8" t="s">
        <v>31</v>
      </c>
      <c r="W945" s="8" t="str">
        <f>_xlfn.IFNA(VLOOKUP(A945,[1]Sheet1!$A$1:$B$101,1,FALSE),"na")</f>
        <v>na</v>
      </c>
      <c r="X945" s="8" t="s">
        <v>35</v>
      </c>
      <c r="Y945" s="9">
        <v>597</v>
      </c>
      <c r="Z945" s="9">
        <v>132.66667000000001</v>
      </c>
      <c r="AA945" s="9">
        <v>199</v>
      </c>
      <c r="AB945" s="9">
        <v>398</v>
      </c>
    </row>
    <row r="946" spans="1:28" x14ac:dyDescent="0.25">
      <c r="A946" s="8" t="s">
        <v>1978</v>
      </c>
      <c r="B946" s="8" t="s">
        <v>1979</v>
      </c>
      <c r="C946" s="8" t="s">
        <v>30</v>
      </c>
      <c r="D946" s="10">
        <v>5</v>
      </c>
      <c r="E946" s="10">
        <v>3.8</v>
      </c>
      <c r="F946" s="10">
        <v>1.2</v>
      </c>
      <c r="G946" s="10">
        <v>3</v>
      </c>
      <c r="H946" s="10">
        <v>1.2</v>
      </c>
      <c r="I946" s="10">
        <v>0.80000000999999998</v>
      </c>
      <c r="J946" s="10">
        <v>0</v>
      </c>
      <c r="K946" s="10">
        <v>1</v>
      </c>
      <c r="L946" s="10">
        <v>1.2</v>
      </c>
      <c r="M946" s="10">
        <v>0</v>
      </c>
      <c r="N946" s="10">
        <v>1.2</v>
      </c>
      <c r="O946" s="8" t="s">
        <v>31</v>
      </c>
      <c r="P946" s="8" t="s">
        <v>31</v>
      </c>
      <c r="Q946" s="8" t="s">
        <v>31</v>
      </c>
      <c r="R946" s="8" t="s">
        <v>31</v>
      </c>
      <c r="S946" s="8" t="s">
        <v>31</v>
      </c>
      <c r="T946" s="8" t="s">
        <v>31</v>
      </c>
      <c r="U946" s="8" t="s">
        <v>31</v>
      </c>
      <c r="V946" s="8" t="s">
        <v>31</v>
      </c>
      <c r="W946" s="8" t="str">
        <f>_xlfn.IFNA(VLOOKUP(A946,[1]Sheet1!$A$1:$B$101,1,FALSE),"na")</f>
        <v>na</v>
      </c>
      <c r="X946" s="8" t="s">
        <v>35</v>
      </c>
      <c r="Y946" s="9">
        <v>1210</v>
      </c>
      <c r="Z946" s="9">
        <v>242</v>
      </c>
      <c r="AA946" s="9">
        <v>318.42104999999998</v>
      </c>
      <c r="AB946" s="9">
        <v>1008.3333</v>
      </c>
    </row>
    <row r="947" spans="1:28" x14ac:dyDescent="0.25">
      <c r="A947" s="8" t="s">
        <v>1980</v>
      </c>
      <c r="B947" s="8" t="s">
        <v>1981</v>
      </c>
      <c r="C947" s="8" t="s">
        <v>67</v>
      </c>
      <c r="D947" s="10">
        <v>4.4000000999999997</v>
      </c>
      <c r="E947" s="10">
        <v>3.4000001000000002</v>
      </c>
      <c r="F947" s="10">
        <v>1</v>
      </c>
      <c r="G947" s="10">
        <v>3</v>
      </c>
      <c r="H947" s="10">
        <v>1</v>
      </c>
      <c r="I947" s="10">
        <v>0.40000001000000002</v>
      </c>
      <c r="J947" s="10">
        <v>0</v>
      </c>
      <c r="K947" s="10">
        <v>0</v>
      </c>
      <c r="L947" s="10">
        <v>0</v>
      </c>
      <c r="M947" s="10">
        <v>0</v>
      </c>
      <c r="N947" s="10">
        <v>0</v>
      </c>
      <c r="O947" s="8" t="s">
        <v>57</v>
      </c>
      <c r="P947" s="8" t="s">
        <v>31</v>
      </c>
      <c r="Q947" s="8" t="s">
        <v>31</v>
      </c>
      <c r="R947" s="8" t="s">
        <v>31</v>
      </c>
      <c r="S947" s="8" t="s">
        <v>31</v>
      </c>
      <c r="T947" s="8" t="s">
        <v>31</v>
      </c>
      <c r="U947" s="8" t="s">
        <v>31</v>
      </c>
      <c r="V947" s="8" t="s">
        <v>31</v>
      </c>
      <c r="W947" s="8" t="str">
        <f>_xlfn.IFNA(VLOOKUP(A947,[1]Sheet1!$A$1:$B$101,1,FALSE),"na")</f>
        <v>na</v>
      </c>
      <c r="X947" s="8" t="s">
        <v>35</v>
      </c>
      <c r="Y947" s="9">
        <v>1526</v>
      </c>
      <c r="Z947" s="9">
        <v>346.81817999999998</v>
      </c>
      <c r="AA947" s="9">
        <v>448.82351999999997</v>
      </c>
      <c r="AB947" s="9">
        <v>1526</v>
      </c>
    </row>
    <row r="948" spans="1:28" x14ac:dyDescent="0.25">
      <c r="A948" s="8" t="s">
        <v>1982</v>
      </c>
      <c r="B948" s="8" t="s">
        <v>1983</v>
      </c>
      <c r="C948" s="8" t="s">
        <v>30</v>
      </c>
      <c r="D948" s="10">
        <v>2.5999998999999998</v>
      </c>
      <c r="E948" s="10">
        <v>2</v>
      </c>
      <c r="F948" s="10">
        <v>0.60000001999999997</v>
      </c>
      <c r="G948" s="10">
        <v>2</v>
      </c>
      <c r="H948" s="10">
        <v>0.60000001999999997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0.60000001999999997</v>
      </c>
      <c r="O948" s="8" t="s">
        <v>31</v>
      </c>
      <c r="P948" s="8" t="s">
        <v>31</v>
      </c>
      <c r="Q948" s="8" t="s">
        <v>31</v>
      </c>
      <c r="R948" s="8" t="s">
        <v>31</v>
      </c>
      <c r="S948" s="8" t="s">
        <v>31</v>
      </c>
      <c r="T948" s="8" t="s">
        <v>31</v>
      </c>
      <c r="U948" s="8" t="s">
        <v>31</v>
      </c>
      <c r="V948" s="8" t="s">
        <v>31</v>
      </c>
      <c r="W948" s="8" t="str">
        <f>_xlfn.IFNA(VLOOKUP(A948,[1]Sheet1!$A$1:$B$101,1,FALSE),"na")</f>
        <v>na</v>
      </c>
      <c r="X948" s="8" t="s">
        <v>35</v>
      </c>
      <c r="Y948" s="9">
        <v>1000</v>
      </c>
      <c r="Z948" s="9">
        <v>384.61538999999999</v>
      </c>
      <c r="AA948" s="9">
        <v>500</v>
      </c>
      <c r="AB948" s="9">
        <v>1000</v>
      </c>
    </row>
    <row r="949" spans="1:28" x14ac:dyDescent="0.25">
      <c r="A949" s="8" t="s">
        <v>1984</v>
      </c>
      <c r="B949" s="8" t="s">
        <v>1985</v>
      </c>
      <c r="C949" s="8" t="s">
        <v>30</v>
      </c>
      <c r="D949" s="10">
        <v>2.8</v>
      </c>
      <c r="E949" s="10">
        <v>2</v>
      </c>
      <c r="F949" s="10">
        <v>0.80000000999999998</v>
      </c>
      <c r="G949" s="10">
        <v>2</v>
      </c>
      <c r="H949" s="10">
        <v>0.80000000999999998</v>
      </c>
      <c r="I949" s="10">
        <v>0</v>
      </c>
      <c r="J949" s="10">
        <v>0</v>
      </c>
      <c r="K949" s="10">
        <v>0</v>
      </c>
      <c r="L949" s="10">
        <v>0.80000000999999998</v>
      </c>
      <c r="M949" s="10">
        <v>0</v>
      </c>
      <c r="N949" s="10">
        <v>0.80000000999999998</v>
      </c>
      <c r="O949" s="8" t="s">
        <v>31</v>
      </c>
      <c r="P949" s="8" t="s">
        <v>31</v>
      </c>
      <c r="Q949" s="8" t="s">
        <v>31</v>
      </c>
      <c r="R949" s="8" t="s">
        <v>31</v>
      </c>
      <c r="S949" s="8" t="s">
        <v>31</v>
      </c>
      <c r="T949" s="8" t="s">
        <v>31</v>
      </c>
      <c r="U949" s="8" t="s">
        <v>31</v>
      </c>
      <c r="V949" s="8" t="s">
        <v>31</v>
      </c>
      <c r="W949" s="8" t="str">
        <f>_xlfn.IFNA(VLOOKUP(A949,[1]Sheet1!$A$1:$B$101,1,FALSE),"na")</f>
        <v>na</v>
      </c>
      <c r="X949" s="8" t="s">
        <v>35</v>
      </c>
      <c r="Y949" s="9">
        <v>1098</v>
      </c>
      <c r="Z949" s="9">
        <v>392.14285000000001</v>
      </c>
      <c r="AA949" s="9">
        <v>549</v>
      </c>
      <c r="AB949" s="9">
        <v>1098</v>
      </c>
    </row>
    <row r="950" spans="1:28" x14ac:dyDescent="0.25">
      <c r="A950" s="8" t="s">
        <v>1986</v>
      </c>
      <c r="B950" s="8" t="s">
        <v>1987</v>
      </c>
      <c r="C950" s="8" t="s">
        <v>67</v>
      </c>
      <c r="D950" s="10">
        <v>5.4000000999999997</v>
      </c>
      <c r="E950" s="10">
        <v>3</v>
      </c>
      <c r="F950" s="10">
        <v>2.4000001000000002</v>
      </c>
      <c r="G950" s="10">
        <v>3</v>
      </c>
      <c r="H950" s="10">
        <v>2.4000001000000002</v>
      </c>
      <c r="I950" s="10">
        <v>0</v>
      </c>
      <c r="J950" s="10">
        <v>0</v>
      </c>
      <c r="K950" s="10">
        <v>0</v>
      </c>
      <c r="L950" s="10">
        <v>1.4</v>
      </c>
      <c r="M950" s="10">
        <v>0</v>
      </c>
      <c r="N950" s="10">
        <v>0.40000001000000002</v>
      </c>
      <c r="O950" s="8" t="s">
        <v>57</v>
      </c>
      <c r="P950" s="8" t="s">
        <v>31</v>
      </c>
      <c r="Q950" s="8" t="s">
        <v>31</v>
      </c>
      <c r="R950" s="8" t="s">
        <v>31</v>
      </c>
      <c r="S950" s="8" t="s">
        <v>31</v>
      </c>
      <c r="T950" s="8" t="s">
        <v>31</v>
      </c>
      <c r="U950" s="8" t="s">
        <v>31</v>
      </c>
      <c r="V950" s="8" t="s">
        <v>31</v>
      </c>
      <c r="W950" s="8" t="str">
        <f>_xlfn.IFNA(VLOOKUP(A950,[1]Sheet1!$A$1:$B$101,1,FALSE),"na")</f>
        <v>na</v>
      </c>
      <c r="X950" s="8" t="s">
        <v>35</v>
      </c>
      <c r="Y950" s="9">
        <v>1263</v>
      </c>
      <c r="Z950" s="9">
        <v>233.88889</v>
      </c>
      <c r="AA950" s="9">
        <v>421</v>
      </c>
      <c r="AB950" s="9">
        <v>526.25</v>
      </c>
    </row>
    <row r="951" spans="1:28" x14ac:dyDescent="0.25">
      <c r="A951" s="8" t="s">
        <v>1988</v>
      </c>
      <c r="B951" s="8" t="s">
        <v>1989</v>
      </c>
      <c r="C951" s="8" t="s">
        <v>67</v>
      </c>
      <c r="D951" s="10">
        <v>4.1999997999999996</v>
      </c>
      <c r="E951" s="10">
        <v>3</v>
      </c>
      <c r="F951" s="10">
        <v>1.2</v>
      </c>
      <c r="G951" s="10">
        <v>3</v>
      </c>
      <c r="H951" s="10">
        <v>1.2</v>
      </c>
      <c r="I951" s="10">
        <v>0</v>
      </c>
      <c r="J951" s="10">
        <v>0</v>
      </c>
      <c r="K951" s="10">
        <v>1</v>
      </c>
      <c r="L951" s="10">
        <v>0.2</v>
      </c>
      <c r="M951" s="10">
        <v>0</v>
      </c>
      <c r="N951" s="10">
        <v>0.2</v>
      </c>
      <c r="O951" s="8" t="s">
        <v>57</v>
      </c>
      <c r="P951" s="8" t="s">
        <v>31</v>
      </c>
      <c r="Q951" s="8" t="s">
        <v>31</v>
      </c>
      <c r="R951" s="8" t="s">
        <v>31</v>
      </c>
      <c r="S951" s="8" t="s">
        <v>31</v>
      </c>
      <c r="T951" s="8" t="s">
        <v>31</v>
      </c>
      <c r="U951" s="8" t="s">
        <v>31</v>
      </c>
      <c r="V951" s="8" t="s">
        <v>31</v>
      </c>
      <c r="W951" s="8" t="str">
        <f>_xlfn.IFNA(VLOOKUP(A951,[1]Sheet1!$A$1:$B$101,1,FALSE),"na")</f>
        <v>na</v>
      </c>
      <c r="X951" s="8" t="s">
        <v>35</v>
      </c>
      <c r="Y951" s="9">
        <v>623</v>
      </c>
      <c r="Z951" s="9">
        <v>148.33333999999999</v>
      </c>
      <c r="AA951" s="9">
        <v>207.66667000000001</v>
      </c>
      <c r="AB951" s="9">
        <v>519.16663000000005</v>
      </c>
    </row>
    <row r="952" spans="1:28" x14ac:dyDescent="0.25">
      <c r="A952" s="8" t="s">
        <v>1990</v>
      </c>
      <c r="B952" s="8" t="s">
        <v>1991</v>
      </c>
      <c r="C952" s="8" t="s">
        <v>67</v>
      </c>
      <c r="D952" s="10">
        <v>4.1999997999999996</v>
      </c>
      <c r="E952" s="10">
        <v>3</v>
      </c>
      <c r="F952" s="10">
        <v>1.2</v>
      </c>
      <c r="G952" s="10">
        <v>3</v>
      </c>
      <c r="H952" s="10">
        <v>1.2</v>
      </c>
      <c r="I952" s="10">
        <v>0</v>
      </c>
      <c r="J952" s="10">
        <v>0</v>
      </c>
      <c r="K952" s="10">
        <v>0</v>
      </c>
      <c r="L952" s="10">
        <v>0.2</v>
      </c>
      <c r="M952" s="10">
        <v>0</v>
      </c>
      <c r="N952" s="10">
        <v>0.2</v>
      </c>
      <c r="O952" s="8" t="s">
        <v>57</v>
      </c>
      <c r="P952" s="8" t="s">
        <v>31</v>
      </c>
      <c r="Q952" s="8" t="s">
        <v>31</v>
      </c>
      <c r="R952" s="8" t="s">
        <v>31</v>
      </c>
      <c r="S952" s="8" t="s">
        <v>31</v>
      </c>
      <c r="T952" s="8" t="s">
        <v>31</v>
      </c>
      <c r="U952" s="8" t="s">
        <v>31</v>
      </c>
      <c r="V952" s="8" t="s">
        <v>31</v>
      </c>
      <c r="W952" s="8" t="str">
        <f>_xlfn.IFNA(VLOOKUP(A952,[1]Sheet1!$A$1:$B$101,1,FALSE),"na")</f>
        <v>na</v>
      </c>
      <c r="X952" s="8" t="s">
        <v>35</v>
      </c>
      <c r="Y952" s="9">
        <v>1325</v>
      </c>
      <c r="Z952" s="9">
        <v>315.47620000000001</v>
      </c>
      <c r="AA952" s="9">
        <v>441.66665999999998</v>
      </c>
      <c r="AB952" s="9">
        <v>1104.1666</v>
      </c>
    </row>
    <row r="953" spans="1:28" x14ac:dyDescent="0.25">
      <c r="A953" s="8" t="s">
        <v>1992</v>
      </c>
      <c r="B953" s="8" t="s">
        <v>1993</v>
      </c>
      <c r="C953" s="8" t="s">
        <v>38</v>
      </c>
      <c r="D953" s="10">
        <v>2</v>
      </c>
      <c r="E953" s="10">
        <v>2</v>
      </c>
      <c r="F953" s="10">
        <v>0</v>
      </c>
      <c r="G953" s="10">
        <v>2</v>
      </c>
      <c r="H953" s="10">
        <v>0</v>
      </c>
      <c r="I953" s="10">
        <v>0</v>
      </c>
      <c r="J953" s="10">
        <v>0</v>
      </c>
      <c r="K953" s="10">
        <v>0</v>
      </c>
      <c r="L953" s="10">
        <v>0</v>
      </c>
      <c r="M953" s="10">
        <v>0</v>
      </c>
      <c r="N953" s="10">
        <v>0</v>
      </c>
      <c r="O953" s="8" t="s">
        <v>31</v>
      </c>
      <c r="P953" s="8" t="s">
        <v>31</v>
      </c>
      <c r="Q953" s="8" t="s">
        <v>31</v>
      </c>
      <c r="R953" s="8" t="s">
        <v>31</v>
      </c>
      <c r="S953" s="8" t="s">
        <v>31</v>
      </c>
      <c r="T953" s="8" t="s">
        <v>31</v>
      </c>
      <c r="U953" s="8" t="s">
        <v>31</v>
      </c>
      <c r="V953" s="8" t="s">
        <v>31</v>
      </c>
      <c r="W953" s="8" t="str">
        <f>_xlfn.IFNA(VLOOKUP(A953,[1]Sheet1!$A$1:$B$101,1,FALSE),"na")</f>
        <v>na</v>
      </c>
      <c r="X953" s="8" t="s">
        <v>35</v>
      </c>
      <c r="Y953" s="9">
        <v>1118</v>
      </c>
      <c r="Z953" s="9">
        <v>559</v>
      </c>
      <c r="AA953" s="9">
        <v>559</v>
      </c>
      <c r="AB953" s="9">
        <v>1118</v>
      </c>
    </row>
    <row r="954" spans="1:28" x14ac:dyDescent="0.25">
      <c r="A954" s="8" t="s">
        <v>1994</v>
      </c>
      <c r="B954" s="8" t="s">
        <v>1995</v>
      </c>
      <c r="C954" s="8" t="s">
        <v>30</v>
      </c>
      <c r="D954" s="10">
        <v>3</v>
      </c>
      <c r="E954" s="10">
        <v>1</v>
      </c>
      <c r="F954" s="10">
        <v>2</v>
      </c>
      <c r="G954" s="10">
        <v>1</v>
      </c>
      <c r="H954" s="10">
        <v>2</v>
      </c>
      <c r="I954" s="10">
        <v>0</v>
      </c>
      <c r="J954" s="10">
        <v>0</v>
      </c>
      <c r="K954" s="10">
        <v>0</v>
      </c>
      <c r="L954" s="10">
        <v>1</v>
      </c>
      <c r="M954" s="10">
        <v>0</v>
      </c>
      <c r="N954" s="10">
        <v>1</v>
      </c>
      <c r="O954" s="8" t="s">
        <v>57</v>
      </c>
      <c r="P954" s="8" t="s">
        <v>31</v>
      </c>
      <c r="Q954" s="8" t="s">
        <v>31</v>
      </c>
      <c r="R954" s="8" t="s">
        <v>31</v>
      </c>
      <c r="S954" s="8" t="s">
        <v>31</v>
      </c>
      <c r="T954" s="8" t="s">
        <v>31</v>
      </c>
      <c r="U954" s="8" t="s">
        <v>31</v>
      </c>
      <c r="V954" s="8" t="s">
        <v>31</v>
      </c>
      <c r="W954" s="8" t="str">
        <f>_xlfn.IFNA(VLOOKUP(A954,[1]Sheet1!$A$1:$B$101,1,FALSE),"na")</f>
        <v>na</v>
      </c>
      <c r="X954" s="8" t="s">
        <v>35</v>
      </c>
      <c r="Y954" s="9">
        <v>753</v>
      </c>
      <c r="Z954" s="9">
        <v>251</v>
      </c>
      <c r="AA954" s="9">
        <v>753</v>
      </c>
      <c r="AB954" s="9">
        <v>376.5</v>
      </c>
    </row>
    <row r="955" spans="1:28" x14ac:dyDescent="0.25">
      <c r="A955" s="8" t="s">
        <v>1996</v>
      </c>
      <c r="B955" s="8" t="s">
        <v>1997</v>
      </c>
      <c r="C955" s="8" t="s">
        <v>67</v>
      </c>
      <c r="D955" s="10">
        <v>3.2</v>
      </c>
      <c r="E955" s="10">
        <v>3</v>
      </c>
      <c r="F955" s="10">
        <v>0.2</v>
      </c>
      <c r="G955" s="10">
        <v>3</v>
      </c>
      <c r="H955" s="10">
        <v>0.2</v>
      </c>
      <c r="I955" s="10">
        <v>0</v>
      </c>
      <c r="J955" s="10">
        <v>0</v>
      </c>
      <c r="K955" s="10">
        <v>0</v>
      </c>
      <c r="L955" s="10">
        <v>0.2</v>
      </c>
      <c r="M955" s="10">
        <v>0</v>
      </c>
      <c r="N955" s="10">
        <v>0.2</v>
      </c>
      <c r="O955" s="8" t="s">
        <v>57</v>
      </c>
      <c r="P955" s="8" t="s">
        <v>31</v>
      </c>
      <c r="Q955" s="8" t="s">
        <v>31</v>
      </c>
      <c r="R955" s="8" t="s">
        <v>31</v>
      </c>
      <c r="S955" s="8" t="s">
        <v>31</v>
      </c>
      <c r="T955" s="8" t="s">
        <v>31</v>
      </c>
      <c r="U955" s="8" t="s">
        <v>31</v>
      </c>
      <c r="V955" s="8" t="s">
        <v>31</v>
      </c>
      <c r="W955" s="8" t="str">
        <f>_xlfn.IFNA(VLOOKUP(A955,[1]Sheet1!$A$1:$B$101,1,FALSE),"na")</f>
        <v>na</v>
      </c>
      <c r="X955" s="8" t="s">
        <v>345</v>
      </c>
      <c r="Y955" s="9">
        <v>1798</v>
      </c>
      <c r="Z955" s="9">
        <v>561.875</v>
      </c>
      <c r="AA955" s="9">
        <v>599.33330999999998</v>
      </c>
      <c r="AB955" s="9">
        <v>1798</v>
      </c>
    </row>
    <row r="956" spans="1:28" x14ac:dyDescent="0.25">
      <c r="A956" s="8" t="s">
        <v>1998</v>
      </c>
      <c r="B956" s="8" t="s">
        <v>1999</v>
      </c>
      <c r="C956" s="8" t="s">
        <v>30</v>
      </c>
      <c r="D956" s="10">
        <v>2.2000000000000002</v>
      </c>
      <c r="E956" s="10">
        <v>1</v>
      </c>
      <c r="F956" s="10">
        <v>1.2</v>
      </c>
      <c r="G956" s="10">
        <v>1</v>
      </c>
      <c r="H956" s="10">
        <v>1.2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  <c r="N956" s="10">
        <v>0.2</v>
      </c>
      <c r="O956" s="8" t="s">
        <v>57</v>
      </c>
      <c r="P956" s="8" t="s">
        <v>31</v>
      </c>
      <c r="Q956" s="8" t="s">
        <v>31</v>
      </c>
      <c r="R956" s="8" t="s">
        <v>31</v>
      </c>
      <c r="S956" s="8" t="s">
        <v>31</v>
      </c>
      <c r="T956" s="8" t="s">
        <v>31</v>
      </c>
      <c r="U956" s="8" t="s">
        <v>31</v>
      </c>
      <c r="V956" s="8" t="s">
        <v>31</v>
      </c>
      <c r="W956" s="8" t="str">
        <f>_xlfn.IFNA(VLOOKUP(A956,[1]Sheet1!$A$1:$B$101,1,FALSE),"na")</f>
        <v>na</v>
      </c>
      <c r="X956" s="8" t="s">
        <v>35</v>
      </c>
      <c r="Y956" s="9">
        <v>383</v>
      </c>
      <c r="Z956" s="9">
        <v>174.09091000000001</v>
      </c>
      <c r="AA956" s="9">
        <v>383</v>
      </c>
      <c r="AB956" s="9">
        <v>319.16665999999998</v>
      </c>
    </row>
    <row r="957" spans="1:28" x14ac:dyDescent="0.25">
      <c r="A957" s="8" t="s">
        <v>2000</v>
      </c>
      <c r="B957" s="8" t="s">
        <v>2001</v>
      </c>
      <c r="C957" s="8" t="s">
        <v>30</v>
      </c>
      <c r="D957" s="10">
        <v>2.4000001000000002</v>
      </c>
      <c r="E957" s="10">
        <v>1</v>
      </c>
      <c r="F957" s="10">
        <v>1.4</v>
      </c>
      <c r="G957" s="10">
        <v>1</v>
      </c>
      <c r="H957" s="10">
        <v>1.4</v>
      </c>
      <c r="I957" s="10">
        <v>0</v>
      </c>
      <c r="J957" s="10">
        <v>0</v>
      </c>
      <c r="K957" s="10">
        <v>1</v>
      </c>
      <c r="L957" s="10">
        <v>0.40000001000000002</v>
      </c>
      <c r="M957" s="10">
        <v>0</v>
      </c>
      <c r="N957" s="10">
        <v>0.40000001000000002</v>
      </c>
      <c r="O957" s="8" t="s">
        <v>57</v>
      </c>
      <c r="P957" s="8" t="s">
        <v>31</v>
      </c>
      <c r="Q957" s="8" t="s">
        <v>31</v>
      </c>
      <c r="R957" s="8" t="s">
        <v>31</v>
      </c>
      <c r="S957" s="8" t="s">
        <v>31</v>
      </c>
      <c r="T957" s="8" t="s">
        <v>31</v>
      </c>
      <c r="U957" s="8" t="s">
        <v>31</v>
      </c>
      <c r="V957" s="8" t="s">
        <v>31</v>
      </c>
      <c r="W957" s="8" t="str">
        <f>_xlfn.IFNA(VLOOKUP(A957,[1]Sheet1!$A$1:$B$101,1,FALSE),"na")</f>
        <v>na</v>
      </c>
      <c r="X957" s="8" t="s">
        <v>35</v>
      </c>
      <c r="Y957" s="9">
        <v>539</v>
      </c>
      <c r="Z957" s="9">
        <v>224.58332999999999</v>
      </c>
      <c r="AA957" s="9">
        <v>539</v>
      </c>
      <c r="AB957" s="9">
        <v>385</v>
      </c>
    </row>
    <row r="958" spans="1:28" x14ac:dyDescent="0.25">
      <c r="A958" s="8" t="s">
        <v>2002</v>
      </c>
      <c r="B958" s="8" t="s">
        <v>2003</v>
      </c>
      <c r="C958" s="8" t="s">
        <v>30</v>
      </c>
      <c r="D958" s="10">
        <v>0.1</v>
      </c>
      <c r="E958" s="10">
        <v>0.1</v>
      </c>
      <c r="F958" s="10">
        <v>0</v>
      </c>
      <c r="G958" s="10">
        <v>0</v>
      </c>
      <c r="H958" s="10">
        <v>0</v>
      </c>
      <c r="I958" s="10">
        <v>0.1</v>
      </c>
      <c r="J958" s="10">
        <v>0</v>
      </c>
      <c r="K958" s="10">
        <v>0</v>
      </c>
      <c r="L958" s="10">
        <v>0</v>
      </c>
      <c r="M958" s="10">
        <v>1</v>
      </c>
      <c r="N958" s="10">
        <v>0</v>
      </c>
      <c r="O958" s="8" t="s">
        <v>31</v>
      </c>
      <c r="P958" s="8" t="s">
        <v>31</v>
      </c>
      <c r="Q958" s="8" t="s">
        <v>31</v>
      </c>
      <c r="R958" s="8" t="s">
        <v>31</v>
      </c>
      <c r="S958" s="8" t="s">
        <v>31</v>
      </c>
      <c r="T958" s="8" t="s">
        <v>31</v>
      </c>
      <c r="U958" s="8" t="s">
        <v>31</v>
      </c>
      <c r="V958" s="8" t="s">
        <v>31</v>
      </c>
      <c r="W958" s="8" t="str">
        <f>_xlfn.IFNA(VLOOKUP(A958,[1]Sheet1!$A$1:$B$101,1,FALSE),"na")</f>
        <v>na</v>
      </c>
      <c r="X958" s="8" t="s">
        <v>35</v>
      </c>
      <c r="Y958" s="9">
        <v>31</v>
      </c>
      <c r="Z958" s="9">
        <v>31</v>
      </c>
      <c r="AA958" s="9">
        <v>31</v>
      </c>
      <c r="AB958" s="9">
        <v>31</v>
      </c>
    </row>
    <row r="959" spans="1:28" x14ac:dyDescent="0.25">
      <c r="A959" s="8" t="s">
        <v>2004</v>
      </c>
      <c r="B959" s="8" t="s">
        <v>2005</v>
      </c>
      <c r="C959" s="8" t="s">
        <v>67</v>
      </c>
      <c r="D959" s="10">
        <v>1</v>
      </c>
      <c r="E959" s="10">
        <v>1</v>
      </c>
      <c r="F959" s="10">
        <v>0</v>
      </c>
      <c r="G959" s="10">
        <v>1</v>
      </c>
      <c r="H959" s="10">
        <v>0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  <c r="N959" s="10">
        <v>0</v>
      </c>
      <c r="O959" s="8" t="s">
        <v>31</v>
      </c>
      <c r="P959" s="8" t="s">
        <v>31</v>
      </c>
      <c r="Q959" s="8" t="s">
        <v>31</v>
      </c>
      <c r="R959" s="8" t="s">
        <v>31</v>
      </c>
      <c r="S959" s="8" t="s">
        <v>31</v>
      </c>
      <c r="T959" s="8" t="s">
        <v>31</v>
      </c>
      <c r="U959" s="8" t="s">
        <v>31</v>
      </c>
      <c r="V959" s="8" t="s">
        <v>31</v>
      </c>
      <c r="W959" s="8" t="str">
        <f>_xlfn.IFNA(VLOOKUP(A959,[1]Sheet1!$A$1:$B$101,1,FALSE),"na")</f>
        <v>na</v>
      </c>
      <c r="X959" s="8" t="s">
        <v>35</v>
      </c>
      <c r="Y959" s="9">
        <v>116</v>
      </c>
      <c r="Z959" s="9">
        <v>116</v>
      </c>
      <c r="AA959" s="9">
        <v>116</v>
      </c>
      <c r="AB959" s="9">
        <v>116</v>
      </c>
    </row>
    <row r="960" spans="1:28" x14ac:dyDescent="0.25">
      <c r="A960" s="8" t="s">
        <v>2006</v>
      </c>
      <c r="B960" s="8" t="s">
        <v>2007</v>
      </c>
      <c r="C960" s="8" t="s">
        <v>30</v>
      </c>
      <c r="D960" s="10">
        <v>0</v>
      </c>
      <c r="E960" s="10">
        <v>0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  <c r="N960" s="10">
        <v>0</v>
      </c>
      <c r="O960" s="8" t="s">
        <v>31</v>
      </c>
      <c r="P960" s="8" t="s">
        <v>31</v>
      </c>
      <c r="Q960" s="8" t="s">
        <v>31</v>
      </c>
      <c r="R960" s="8" t="s">
        <v>31</v>
      </c>
      <c r="S960" s="8" t="s">
        <v>31</v>
      </c>
      <c r="T960" s="8" t="s">
        <v>31</v>
      </c>
      <c r="U960" s="8" t="s">
        <v>31</v>
      </c>
      <c r="V960" s="8" t="s">
        <v>31</v>
      </c>
      <c r="W960" s="8" t="str">
        <f>_xlfn.IFNA(VLOOKUP(A960,[1]Sheet1!$A$1:$B$101,1,FALSE),"na")</f>
        <v>na</v>
      </c>
      <c r="X960" s="8" t="s">
        <v>35</v>
      </c>
      <c r="Y960" s="9">
        <v>27</v>
      </c>
      <c r="Z960" s="9"/>
      <c r="AA960" s="9"/>
      <c r="AB960" s="9"/>
    </row>
    <row r="961" spans="1:28" x14ac:dyDescent="0.25">
      <c r="A961" s="8" t="s">
        <v>2008</v>
      </c>
      <c r="B961" s="8" t="s">
        <v>2009</v>
      </c>
      <c r="C961" s="8" t="s">
        <v>62</v>
      </c>
      <c r="D961" s="10">
        <v>20.5</v>
      </c>
      <c r="E961" s="10">
        <v>16</v>
      </c>
      <c r="F961" s="10">
        <v>4.5</v>
      </c>
      <c r="G961" s="10">
        <v>16</v>
      </c>
      <c r="H961" s="10">
        <v>4.5</v>
      </c>
      <c r="I961" s="10">
        <v>0</v>
      </c>
      <c r="J961" s="10">
        <v>0</v>
      </c>
      <c r="K961" s="10">
        <v>3</v>
      </c>
      <c r="L961" s="10">
        <v>0.1</v>
      </c>
      <c r="M961" s="10">
        <v>0</v>
      </c>
      <c r="N961" s="10">
        <v>0.5</v>
      </c>
      <c r="O961" s="8" t="s">
        <v>31</v>
      </c>
      <c r="P961" s="8" t="s">
        <v>31</v>
      </c>
      <c r="Q961" s="8" t="s">
        <v>31</v>
      </c>
      <c r="R961" s="8" t="s">
        <v>31</v>
      </c>
      <c r="S961" s="8" t="s">
        <v>31</v>
      </c>
      <c r="T961" s="8" t="s">
        <v>31</v>
      </c>
      <c r="U961" s="8" t="s">
        <v>31</v>
      </c>
      <c r="V961" s="8" t="s">
        <v>31</v>
      </c>
      <c r="W961" s="8" t="str">
        <f>_xlfn.IFNA(VLOOKUP(A961,[1]Sheet1!$A$1:$B$101,1,FALSE),"na")</f>
        <v>na</v>
      </c>
      <c r="X961" s="8" t="s">
        <v>35</v>
      </c>
      <c r="Y961" s="9">
        <v>3212</v>
      </c>
      <c r="Z961" s="9">
        <v>156.68292</v>
      </c>
      <c r="AA961" s="9">
        <v>200.75</v>
      </c>
      <c r="AB961" s="9">
        <v>713.77777000000003</v>
      </c>
    </row>
    <row r="962" spans="1:28" x14ac:dyDescent="0.25">
      <c r="A962" s="8" t="s">
        <v>2010</v>
      </c>
      <c r="B962" s="8" t="s">
        <v>2011</v>
      </c>
      <c r="C962" s="8" t="s">
        <v>62</v>
      </c>
      <c r="D962" s="10">
        <v>8.3999995999999992</v>
      </c>
      <c r="E962" s="10">
        <v>6</v>
      </c>
      <c r="F962" s="10">
        <v>2.4000001000000002</v>
      </c>
      <c r="G962" s="10">
        <v>6</v>
      </c>
      <c r="H962" s="10">
        <v>2.4000001000000002</v>
      </c>
      <c r="I962" s="10">
        <v>0</v>
      </c>
      <c r="J962" s="10">
        <v>0</v>
      </c>
      <c r="K962" s="10">
        <v>1</v>
      </c>
      <c r="L962" s="10">
        <v>0.40000001000000002</v>
      </c>
      <c r="M962" s="10">
        <v>0</v>
      </c>
      <c r="N962" s="10">
        <v>0.40000001000000002</v>
      </c>
      <c r="O962" s="8" t="s">
        <v>31</v>
      </c>
      <c r="P962" s="8" t="s">
        <v>31</v>
      </c>
      <c r="Q962" s="8" t="s">
        <v>31</v>
      </c>
      <c r="R962" s="8" t="s">
        <v>31</v>
      </c>
      <c r="S962" s="8" t="s">
        <v>31</v>
      </c>
      <c r="T962" s="8" t="s">
        <v>31</v>
      </c>
      <c r="U962" s="8" t="s">
        <v>31</v>
      </c>
      <c r="V962" s="8" t="s">
        <v>31</v>
      </c>
      <c r="W962" s="8" t="str">
        <f>_xlfn.IFNA(VLOOKUP(A962,[1]Sheet1!$A$1:$B$101,1,FALSE),"na")</f>
        <v>na</v>
      </c>
      <c r="X962" s="8" t="s">
        <v>35</v>
      </c>
      <c r="Y962" s="9">
        <v>1209</v>
      </c>
      <c r="Z962" s="9">
        <v>143.92857000000001</v>
      </c>
      <c r="AA962" s="9">
        <v>201.5</v>
      </c>
      <c r="AB962" s="9">
        <v>503.74997000000002</v>
      </c>
    </row>
    <row r="963" spans="1:28" x14ac:dyDescent="0.25">
      <c r="A963" s="8" t="s">
        <v>2012</v>
      </c>
      <c r="B963" s="8" t="s">
        <v>2013</v>
      </c>
      <c r="C963" s="8" t="s">
        <v>62</v>
      </c>
      <c r="D963" s="10">
        <v>24.799999</v>
      </c>
      <c r="E963" s="10">
        <v>20.799999</v>
      </c>
      <c r="F963" s="10">
        <v>4</v>
      </c>
      <c r="G963" s="10">
        <v>19</v>
      </c>
      <c r="H963" s="10">
        <v>4</v>
      </c>
      <c r="I963" s="10">
        <v>1.8</v>
      </c>
      <c r="J963" s="10">
        <v>0</v>
      </c>
      <c r="K963" s="10">
        <v>0</v>
      </c>
      <c r="L963" s="10">
        <v>0</v>
      </c>
      <c r="M963" s="10">
        <v>0</v>
      </c>
      <c r="N963" s="10">
        <v>1</v>
      </c>
      <c r="O963" s="8" t="s">
        <v>31</v>
      </c>
      <c r="P963" s="8" t="s">
        <v>31</v>
      </c>
      <c r="Q963" s="8" t="s">
        <v>31</v>
      </c>
      <c r="R963" s="8" t="s">
        <v>31</v>
      </c>
      <c r="S963" s="8" t="s">
        <v>31</v>
      </c>
      <c r="T963" s="8" t="s">
        <v>31</v>
      </c>
      <c r="U963" s="8" t="s">
        <v>31</v>
      </c>
      <c r="V963" s="8" t="s">
        <v>31</v>
      </c>
      <c r="W963" s="8" t="str">
        <f>_xlfn.IFNA(VLOOKUP(A963,[1]Sheet1!$A$1:$B$101,1,FALSE),"na")</f>
        <v>na</v>
      </c>
      <c r="X963" s="8" t="s">
        <v>35</v>
      </c>
      <c r="Y963" s="9">
        <v>4066</v>
      </c>
      <c r="Z963" s="9">
        <v>163.95160999999999</v>
      </c>
      <c r="AA963" s="9">
        <v>195.48077000000001</v>
      </c>
      <c r="AB963" s="9">
        <v>1016.5</v>
      </c>
    </row>
    <row r="964" spans="1:28" x14ac:dyDescent="0.25">
      <c r="A964" s="8" t="s">
        <v>2014</v>
      </c>
      <c r="B964" s="8" t="s">
        <v>2015</v>
      </c>
      <c r="C964" s="8" t="s">
        <v>30</v>
      </c>
      <c r="D964" s="10">
        <v>2</v>
      </c>
      <c r="E964" s="10">
        <v>1</v>
      </c>
      <c r="F964" s="10">
        <v>1</v>
      </c>
      <c r="G964" s="10">
        <v>1</v>
      </c>
      <c r="H964" s="10">
        <v>1</v>
      </c>
      <c r="I964" s="10">
        <v>0</v>
      </c>
      <c r="J964" s="10">
        <v>0</v>
      </c>
      <c r="K964" s="10">
        <v>0</v>
      </c>
      <c r="L964" s="10">
        <v>1</v>
      </c>
      <c r="M964" s="10">
        <v>0</v>
      </c>
      <c r="N964" s="10">
        <v>1</v>
      </c>
      <c r="O964" s="8" t="s">
        <v>31</v>
      </c>
      <c r="P964" s="8" t="s">
        <v>31</v>
      </c>
      <c r="Q964" s="8" t="s">
        <v>31</v>
      </c>
      <c r="R964" s="8" t="s">
        <v>31</v>
      </c>
      <c r="S964" s="8" t="s">
        <v>31</v>
      </c>
      <c r="T964" s="8" t="s">
        <v>31</v>
      </c>
      <c r="U964" s="8" t="s">
        <v>31</v>
      </c>
      <c r="V964" s="8" t="s">
        <v>31</v>
      </c>
      <c r="W964" s="8" t="str">
        <f>_xlfn.IFNA(VLOOKUP(A964,[1]Sheet1!$A$1:$B$101,1,FALSE),"na")</f>
        <v>na</v>
      </c>
      <c r="X964" s="8" t="s">
        <v>2016</v>
      </c>
      <c r="Y964" s="9">
        <v>557</v>
      </c>
      <c r="Z964" s="9">
        <v>278.5</v>
      </c>
      <c r="AA964" s="9">
        <v>557</v>
      </c>
      <c r="AB964" s="9">
        <v>557</v>
      </c>
    </row>
    <row r="965" spans="1:28" x14ac:dyDescent="0.25">
      <c r="A965" s="8" t="s">
        <v>2017</v>
      </c>
      <c r="B965" s="8" t="s">
        <v>2018</v>
      </c>
      <c r="C965" s="8" t="s">
        <v>62</v>
      </c>
      <c r="D965" s="10">
        <v>22</v>
      </c>
      <c r="E965" s="10">
        <v>19</v>
      </c>
      <c r="F965" s="10">
        <v>3</v>
      </c>
      <c r="G965" s="10">
        <v>19</v>
      </c>
      <c r="H965" s="10">
        <v>3</v>
      </c>
      <c r="I965" s="10">
        <v>0</v>
      </c>
      <c r="J965" s="10">
        <v>0</v>
      </c>
      <c r="K965" s="10">
        <v>2</v>
      </c>
      <c r="L965" s="10">
        <v>1</v>
      </c>
      <c r="M965" s="10">
        <v>0</v>
      </c>
      <c r="N965" s="10">
        <v>1</v>
      </c>
      <c r="O965" s="8" t="s">
        <v>31</v>
      </c>
      <c r="P965" s="8" t="s">
        <v>31</v>
      </c>
      <c r="Q965" s="8" t="s">
        <v>31</v>
      </c>
      <c r="R965" s="8" t="s">
        <v>31</v>
      </c>
      <c r="S965" s="8" t="s">
        <v>31</v>
      </c>
      <c r="T965" s="8" t="s">
        <v>57</v>
      </c>
      <c r="U965" s="8" t="s">
        <v>31</v>
      </c>
      <c r="V965" s="8" t="s">
        <v>57</v>
      </c>
      <c r="W965" s="8" t="str">
        <f>_xlfn.IFNA(VLOOKUP(A965,[1]Sheet1!$A$1:$B$101,1,FALSE),"na")</f>
        <v>na</v>
      </c>
      <c r="X965" s="8" t="s">
        <v>35</v>
      </c>
      <c r="Y965" s="9">
        <v>3412</v>
      </c>
      <c r="Z965" s="9">
        <v>155.09091000000001</v>
      </c>
      <c r="AA965" s="9">
        <v>179.57894999999999</v>
      </c>
      <c r="AB965" s="9">
        <v>1137.3334</v>
      </c>
    </row>
    <row r="966" spans="1:28" x14ac:dyDescent="0.25">
      <c r="A966" s="8" t="s">
        <v>2019</v>
      </c>
      <c r="B966" s="8" t="s">
        <v>2020</v>
      </c>
      <c r="C966" s="8" t="s">
        <v>30</v>
      </c>
      <c r="D966" s="10">
        <v>2.8</v>
      </c>
      <c r="E966" s="10">
        <v>2</v>
      </c>
      <c r="F966" s="10">
        <v>0.80000000999999998</v>
      </c>
      <c r="G966" s="10">
        <v>2</v>
      </c>
      <c r="H966" s="10">
        <v>0.80000000999999998</v>
      </c>
      <c r="I966" s="10">
        <v>0</v>
      </c>
      <c r="J966" s="10">
        <v>0</v>
      </c>
      <c r="K966" s="10">
        <v>0</v>
      </c>
      <c r="L966" s="10">
        <v>0.80000000999999998</v>
      </c>
      <c r="M966" s="10">
        <v>0</v>
      </c>
      <c r="N966" s="10">
        <v>0.80000000999999998</v>
      </c>
      <c r="O966" s="8" t="s">
        <v>31</v>
      </c>
      <c r="P966" s="8" t="s">
        <v>31</v>
      </c>
      <c r="Q966" s="8" t="s">
        <v>31</v>
      </c>
      <c r="R966" s="8" t="s">
        <v>31</v>
      </c>
      <c r="S966" s="8" t="s">
        <v>31</v>
      </c>
      <c r="T966" s="8" t="s">
        <v>31</v>
      </c>
      <c r="U966" s="8" t="s">
        <v>31</v>
      </c>
      <c r="V966" s="8" t="s">
        <v>31</v>
      </c>
      <c r="W966" s="8" t="str">
        <f>_xlfn.IFNA(VLOOKUP(A966,[1]Sheet1!$A$1:$B$101,1,FALSE),"na")</f>
        <v>na</v>
      </c>
      <c r="X966" s="8" t="s">
        <v>2016</v>
      </c>
      <c r="Y966" s="9">
        <v>335</v>
      </c>
      <c r="Z966" s="9">
        <v>119.64286</v>
      </c>
      <c r="AA966" s="9">
        <v>167.5</v>
      </c>
      <c r="AB966" s="9">
        <v>335</v>
      </c>
    </row>
    <row r="967" spans="1:28" x14ac:dyDescent="0.25">
      <c r="A967" s="8" t="s">
        <v>2021</v>
      </c>
      <c r="B967" s="8" t="s">
        <v>2022</v>
      </c>
      <c r="C967" s="8" t="s">
        <v>80</v>
      </c>
      <c r="D967" s="10">
        <v>3.2</v>
      </c>
      <c r="E967" s="10">
        <v>2</v>
      </c>
      <c r="F967" s="10">
        <v>1.2</v>
      </c>
      <c r="G967" s="10">
        <v>2</v>
      </c>
      <c r="H967" s="10">
        <v>1.2</v>
      </c>
      <c r="I967" s="10">
        <v>0</v>
      </c>
      <c r="J967" s="10">
        <v>0</v>
      </c>
      <c r="K967" s="10">
        <v>0</v>
      </c>
      <c r="L967" s="10">
        <v>0.2</v>
      </c>
      <c r="M967" s="10">
        <v>0</v>
      </c>
      <c r="N967" s="10">
        <v>0.2</v>
      </c>
      <c r="O967" s="8" t="s">
        <v>57</v>
      </c>
      <c r="P967" s="8" t="s">
        <v>31</v>
      </c>
      <c r="Q967" s="8" t="s">
        <v>31</v>
      </c>
      <c r="R967" s="8" t="s">
        <v>31</v>
      </c>
      <c r="S967" s="8" t="s">
        <v>31</v>
      </c>
      <c r="T967" s="8" t="s">
        <v>31</v>
      </c>
      <c r="U967" s="8" t="s">
        <v>31</v>
      </c>
      <c r="V967" s="8" t="s">
        <v>31</v>
      </c>
      <c r="W967" s="8" t="str">
        <f>_xlfn.IFNA(VLOOKUP(A967,[1]Sheet1!$A$1:$B$101,1,FALSE),"na")</f>
        <v>na</v>
      </c>
      <c r="X967" s="8" t="s">
        <v>35</v>
      </c>
      <c r="Y967" s="9">
        <v>497</v>
      </c>
      <c r="Z967" s="9">
        <v>155.3125</v>
      </c>
      <c r="AA967" s="9">
        <v>248.5</v>
      </c>
      <c r="AB967" s="9">
        <v>414.16665999999998</v>
      </c>
    </row>
    <row r="968" spans="1:28" x14ac:dyDescent="0.25">
      <c r="A968" s="8" t="s">
        <v>2023</v>
      </c>
      <c r="B968" s="8" t="s">
        <v>2024</v>
      </c>
      <c r="C968" s="8" t="s">
        <v>30</v>
      </c>
      <c r="D968" s="10">
        <v>2.4000001000000002</v>
      </c>
      <c r="E968" s="10">
        <v>1</v>
      </c>
      <c r="F968" s="10">
        <v>1.4</v>
      </c>
      <c r="G968" s="10">
        <v>1</v>
      </c>
      <c r="H968" s="10">
        <v>1.4</v>
      </c>
      <c r="I968" s="10">
        <v>0</v>
      </c>
      <c r="J968" s="10">
        <v>0</v>
      </c>
      <c r="K968" s="10">
        <v>0</v>
      </c>
      <c r="L968" s="10">
        <v>0.40000001000000002</v>
      </c>
      <c r="M968" s="10">
        <v>0</v>
      </c>
      <c r="N968" s="10">
        <v>0.40000001000000002</v>
      </c>
      <c r="O968" s="8" t="s">
        <v>57</v>
      </c>
      <c r="P968" s="8" t="s">
        <v>31</v>
      </c>
      <c r="Q968" s="8" t="s">
        <v>31</v>
      </c>
      <c r="R968" s="8" t="s">
        <v>31</v>
      </c>
      <c r="S968" s="8" t="s">
        <v>31</v>
      </c>
      <c r="T968" s="8" t="s">
        <v>31</v>
      </c>
      <c r="U968" s="8" t="s">
        <v>31</v>
      </c>
      <c r="V968" s="8" t="s">
        <v>31</v>
      </c>
      <c r="W968" s="8" t="str">
        <f>_xlfn.IFNA(VLOOKUP(A968,[1]Sheet1!$A$1:$B$101,1,FALSE),"na")</f>
        <v>na</v>
      </c>
      <c r="X968" s="8" t="s">
        <v>35</v>
      </c>
      <c r="Y968" s="9">
        <v>385</v>
      </c>
      <c r="Z968" s="9">
        <v>160.41666000000001</v>
      </c>
      <c r="AA968" s="9">
        <v>385</v>
      </c>
      <c r="AB968" s="9">
        <v>275</v>
      </c>
    </row>
    <row r="969" spans="1:28" x14ac:dyDescent="0.25">
      <c r="A969" s="8" t="s">
        <v>2025</v>
      </c>
      <c r="B969" s="8" t="s">
        <v>2026</v>
      </c>
      <c r="C969" s="8" t="s">
        <v>38</v>
      </c>
      <c r="D969" s="10">
        <v>1.4</v>
      </c>
      <c r="E969" s="10">
        <v>1</v>
      </c>
      <c r="F969" s="10">
        <v>0.40000001000000002</v>
      </c>
      <c r="G969" s="10">
        <v>1</v>
      </c>
      <c r="H969" s="10">
        <v>0.40000001000000002</v>
      </c>
      <c r="I969" s="10">
        <v>0</v>
      </c>
      <c r="J969" s="10">
        <v>0</v>
      </c>
      <c r="K969" s="10">
        <v>0</v>
      </c>
      <c r="L969" s="10">
        <v>0.40000001000000002</v>
      </c>
      <c r="M969" s="10">
        <v>0</v>
      </c>
      <c r="N969" s="10">
        <v>0.40000001000000002</v>
      </c>
      <c r="O969" s="8" t="s">
        <v>31</v>
      </c>
      <c r="P969" s="8" t="s">
        <v>31</v>
      </c>
      <c r="Q969" s="8" t="s">
        <v>31</v>
      </c>
      <c r="R969" s="8" t="s">
        <v>31</v>
      </c>
      <c r="S969" s="8" t="s">
        <v>31</v>
      </c>
      <c r="T969" s="8" t="s">
        <v>31</v>
      </c>
      <c r="U969" s="8" t="s">
        <v>31</v>
      </c>
      <c r="V969" s="8" t="s">
        <v>31</v>
      </c>
      <c r="W969" s="8" t="str">
        <f>_xlfn.IFNA(VLOOKUP(A969,[1]Sheet1!$A$1:$B$101,1,FALSE),"na")</f>
        <v>na</v>
      </c>
      <c r="X969" s="8" t="s">
        <v>35</v>
      </c>
      <c r="Y969" s="9">
        <v>501</v>
      </c>
      <c r="Z969" s="9">
        <v>357.85714999999999</v>
      </c>
      <c r="AA969" s="9">
        <v>501</v>
      </c>
      <c r="AB969" s="9">
        <v>501</v>
      </c>
    </row>
    <row r="970" spans="1:28" x14ac:dyDescent="0.25">
      <c r="A970" s="8" t="s">
        <v>2027</v>
      </c>
      <c r="B970" s="8" t="s">
        <v>2028</v>
      </c>
      <c r="C970" s="8" t="s">
        <v>30</v>
      </c>
      <c r="D970" s="10">
        <v>2.2000000000000002</v>
      </c>
      <c r="E970" s="10">
        <v>1</v>
      </c>
      <c r="F970" s="10">
        <v>1.2</v>
      </c>
      <c r="G970" s="10">
        <v>1</v>
      </c>
      <c r="H970" s="10">
        <v>1.2</v>
      </c>
      <c r="I970" s="10">
        <v>0</v>
      </c>
      <c r="J970" s="10">
        <v>0</v>
      </c>
      <c r="K970" s="10">
        <v>0</v>
      </c>
      <c r="L970" s="10">
        <v>0.2</v>
      </c>
      <c r="M970" s="10">
        <v>0</v>
      </c>
      <c r="N970" s="10">
        <v>0.2</v>
      </c>
      <c r="O970" s="8" t="s">
        <v>57</v>
      </c>
      <c r="P970" s="8" t="s">
        <v>31</v>
      </c>
      <c r="Q970" s="8" t="s">
        <v>31</v>
      </c>
      <c r="R970" s="8" t="s">
        <v>31</v>
      </c>
      <c r="S970" s="8" t="s">
        <v>31</v>
      </c>
      <c r="T970" s="8" t="s">
        <v>31</v>
      </c>
      <c r="U970" s="8" t="s">
        <v>31</v>
      </c>
      <c r="V970" s="8" t="s">
        <v>31</v>
      </c>
      <c r="W970" s="8" t="str">
        <f>_xlfn.IFNA(VLOOKUP(A970,[1]Sheet1!$A$1:$B$101,1,FALSE),"na")</f>
        <v>na</v>
      </c>
      <c r="X970" s="8" t="s">
        <v>35</v>
      </c>
      <c r="Y970" s="9">
        <v>430</v>
      </c>
      <c r="Z970" s="9">
        <v>195.45454000000001</v>
      </c>
      <c r="AA970" s="9">
        <v>430</v>
      </c>
      <c r="AB970" s="9">
        <v>358.33330999999998</v>
      </c>
    </row>
    <row r="971" spans="1:28" x14ac:dyDescent="0.25">
      <c r="A971" s="8" t="s">
        <v>2029</v>
      </c>
      <c r="B971" s="8" t="s">
        <v>2030</v>
      </c>
      <c r="C971" s="8" t="s">
        <v>67</v>
      </c>
      <c r="D971" s="10">
        <v>3</v>
      </c>
      <c r="E971" s="10">
        <v>2</v>
      </c>
      <c r="F971" s="10">
        <v>1</v>
      </c>
      <c r="G971" s="10">
        <v>2</v>
      </c>
      <c r="H971" s="10">
        <v>1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8" t="s">
        <v>57</v>
      </c>
      <c r="P971" s="8" t="s">
        <v>31</v>
      </c>
      <c r="Q971" s="8" t="s">
        <v>31</v>
      </c>
      <c r="R971" s="8" t="s">
        <v>31</v>
      </c>
      <c r="S971" s="8" t="s">
        <v>31</v>
      </c>
      <c r="T971" s="8" t="s">
        <v>31</v>
      </c>
      <c r="U971" s="8" t="s">
        <v>31</v>
      </c>
      <c r="V971" s="8" t="s">
        <v>31</v>
      </c>
      <c r="W971" s="8" t="str">
        <f>_xlfn.IFNA(VLOOKUP(A971,[1]Sheet1!$A$1:$B$101,1,FALSE),"na")</f>
        <v>na</v>
      </c>
      <c r="X971" s="8" t="s">
        <v>35</v>
      </c>
      <c r="Y971" s="9">
        <v>442</v>
      </c>
      <c r="Z971" s="9">
        <v>147.33332999999999</v>
      </c>
      <c r="AA971" s="9">
        <v>221</v>
      </c>
      <c r="AB971" s="9">
        <v>442</v>
      </c>
    </row>
    <row r="972" spans="1:28" x14ac:dyDescent="0.25">
      <c r="A972" s="8" t="s">
        <v>2031</v>
      </c>
      <c r="B972" s="8" t="s">
        <v>2032</v>
      </c>
      <c r="C972" s="8" t="s">
        <v>30</v>
      </c>
      <c r="D972" s="10">
        <v>1.2</v>
      </c>
      <c r="E972" s="10">
        <v>1</v>
      </c>
      <c r="F972" s="10">
        <v>0.2</v>
      </c>
      <c r="G972" s="10">
        <v>1</v>
      </c>
      <c r="H972" s="10">
        <v>0.2</v>
      </c>
      <c r="I972" s="10">
        <v>0</v>
      </c>
      <c r="J972" s="10">
        <v>0</v>
      </c>
      <c r="K972" s="10">
        <v>0</v>
      </c>
      <c r="L972" s="10">
        <v>0.2</v>
      </c>
      <c r="M972" s="10">
        <v>0</v>
      </c>
      <c r="N972" s="10">
        <v>0.2</v>
      </c>
      <c r="O972" s="8" t="s">
        <v>31</v>
      </c>
      <c r="P972" s="8" t="s">
        <v>31</v>
      </c>
      <c r="Q972" s="8" t="s">
        <v>31</v>
      </c>
      <c r="R972" s="8" t="s">
        <v>31</v>
      </c>
      <c r="S972" s="8" t="s">
        <v>31</v>
      </c>
      <c r="T972" s="8" t="s">
        <v>31</v>
      </c>
      <c r="U972" s="8" t="s">
        <v>31</v>
      </c>
      <c r="V972" s="8" t="s">
        <v>31</v>
      </c>
      <c r="W972" s="8" t="str">
        <f>_xlfn.IFNA(VLOOKUP(A972,[1]Sheet1!$A$1:$B$101,1,FALSE),"na")</f>
        <v>na</v>
      </c>
      <c r="X972" s="8" t="s">
        <v>35</v>
      </c>
      <c r="Y972" s="9">
        <v>269</v>
      </c>
      <c r="Z972" s="9">
        <v>224.16666000000001</v>
      </c>
      <c r="AA972" s="9">
        <v>269</v>
      </c>
      <c r="AB972" s="9">
        <v>269</v>
      </c>
    </row>
    <row r="973" spans="1:28" x14ac:dyDescent="0.25">
      <c r="A973" s="8" t="s">
        <v>2033</v>
      </c>
      <c r="B973" s="8" t="s">
        <v>2034</v>
      </c>
      <c r="C973" s="8" t="s">
        <v>30</v>
      </c>
      <c r="D973" s="10">
        <v>1.4</v>
      </c>
      <c r="E973" s="10">
        <v>0</v>
      </c>
      <c r="F973" s="10">
        <v>1.4</v>
      </c>
      <c r="G973" s="10">
        <v>0</v>
      </c>
      <c r="H973" s="10">
        <v>1.4</v>
      </c>
      <c r="I973" s="10">
        <v>0</v>
      </c>
      <c r="J973" s="10">
        <v>0</v>
      </c>
      <c r="K973" s="10">
        <v>0</v>
      </c>
      <c r="L973" s="10">
        <v>0.40000001000000002</v>
      </c>
      <c r="M973" s="10">
        <v>0</v>
      </c>
      <c r="N973" s="10">
        <v>0.40000001000000002</v>
      </c>
      <c r="O973" s="8" t="s">
        <v>57</v>
      </c>
      <c r="P973" s="8" t="s">
        <v>31</v>
      </c>
      <c r="Q973" s="8" t="s">
        <v>31</v>
      </c>
      <c r="R973" s="8" t="s">
        <v>31</v>
      </c>
      <c r="S973" s="8" t="s">
        <v>31</v>
      </c>
      <c r="T973" s="8" t="s">
        <v>31</v>
      </c>
      <c r="U973" s="8" t="s">
        <v>31</v>
      </c>
      <c r="V973" s="8" t="s">
        <v>31</v>
      </c>
      <c r="W973" s="8" t="str">
        <f>_xlfn.IFNA(VLOOKUP(A973,[1]Sheet1!$A$1:$B$101,1,FALSE),"na")</f>
        <v>na</v>
      </c>
      <c r="X973" s="8" t="s">
        <v>35</v>
      </c>
      <c r="Y973" s="9">
        <v>170</v>
      </c>
      <c r="Z973" s="9">
        <v>121.42856999999999</v>
      </c>
      <c r="AA973" s="9">
        <v>170</v>
      </c>
      <c r="AB973" s="9">
        <v>121.42856999999999</v>
      </c>
    </row>
    <row r="974" spans="1:28" x14ac:dyDescent="0.25">
      <c r="A974" s="8" t="s">
        <v>2035</v>
      </c>
      <c r="B974" s="8" t="s">
        <v>2036</v>
      </c>
      <c r="C974" s="8" t="s">
        <v>30</v>
      </c>
      <c r="D974" s="10">
        <v>3.4000001000000002</v>
      </c>
      <c r="E974" s="10">
        <v>1</v>
      </c>
      <c r="F974" s="10">
        <v>2.4000001000000002</v>
      </c>
      <c r="G974" s="10">
        <v>1</v>
      </c>
      <c r="H974" s="10">
        <v>2.4000001000000002</v>
      </c>
      <c r="I974" s="10">
        <v>0</v>
      </c>
      <c r="J974" s="10">
        <v>0</v>
      </c>
      <c r="K974" s="10">
        <v>0</v>
      </c>
      <c r="L974" s="10">
        <v>0.40000001000000002</v>
      </c>
      <c r="M974" s="10">
        <v>0</v>
      </c>
      <c r="N974" s="10">
        <v>0.40000001000000002</v>
      </c>
      <c r="O974" s="8" t="s">
        <v>57</v>
      </c>
      <c r="P974" s="8" t="s">
        <v>31</v>
      </c>
      <c r="Q974" s="8" t="s">
        <v>31</v>
      </c>
      <c r="R974" s="8" t="s">
        <v>31</v>
      </c>
      <c r="S974" s="8" t="s">
        <v>31</v>
      </c>
      <c r="T974" s="8" t="s">
        <v>31</v>
      </c>
      <c r="U974" s="8" t="s">
        <v>31</v>
      </c>
      <c r="V974" s="8" t="s">
        <v>31</v>
      </c>
      <c r="W974" s="8" t="str">
        <f>_xlfn.IFNA(VLOOKUP(A974,[1]Sheet1!$A$1:$B$101,1,FALSE),"na")</f>
        <v>na</v>
      </c>
      <c r="X974" s="8" t="s">
        <v>35</v>
      </c>
      <c r="Y974" s="9">
        <v>496</v>
      </c>
      <c r="Z974" s="9">
        <v>145.88235</v>
      </c>
      <c r="AA974" s="9">
        <v>496</v>
      </c>
      <c r="AB974" s="9">
        <v>206.66666000000001</v>
      </c>
    </row>
    <row r="975" spans="1:28" x14ac:dyDescent="0.25">
      <c r="A975" s="8" t="s">
        <v>2037</v>
      </c>
      <c r="B975" s="8" t="s">
        <v>2038</v>
      </c>
      <c r="C975" s="8" t="s">
        <v>38</v>
      </c>
      <c r="D975" s="10">
        <v>3.8</v>
      </c>
      <c r="E975" s="10">
        <v>2</v>
      </c>
      <c r="F975" s="10">
        <v>1.8</v>
      </c>
      <c r="G975" s="10">
        <v>2</v>
      </c>
      <c r="H975" s="10">
        <v>1.8</v>
      </c>
      <c r="I975" s="10">
        <v>0</v>
      </c>
      <c r="J975" s="10">
        <v>0</v>
      </c>
      <c r="K975" s="10">
        <v>0</v>
      </c>
      <c r="L975" s="10">
        <v>0.60000001999999997</v>
      </c>
      <c r="M975" s="10">
        <v>0</v>
      </c>
      <c r="N975" s="10">
        <v>0.80000000999999998</v>
      </c>
      <c r="O975" s="8" t="s">
        <v>57</v>
      </c>
      <c r="P975" s="8" t="s">
        <v>31</v>
      </c>
      <c r="Q975" s="8" t="s">
        <v>31</v>
      </c>
      <c r="R975" s="8" t="s">
        <v>31</v>
      </c>
      <c r="S975" s="8" t="s">
        <v>31</v>
      </c>
      <c r="T975" s="8" t="s">
        <v>31</v>
      </c>
      <c r="U975" s="8" t="s">
        <v>31</v>
      </c>
      <c r="V975" s="8" t="s">
        <v>31</v>
      </c>
      <c r="W975" s="8" t="str">
        <f>_xlfn.IFNA(VLOOKUP(A975,[1]Sheet1!$A$1:$B$101,1,FALSE),"na")</f>
        <v>na</v>
      </c>
      <c r="X975" s="8" t="s">
        <v>35</v>
      </c>
      <c r="Y975" s="9">
        <v>924</v>
      </c>
      <c r="Z975" s="9">
        <v>243.15790000000001</v>
      </c>
      <c r="AA975" s="9">
        <v>462</v>
      </c>
      <c r="AB975" s="9">
        <v>513.33336999999995</v>
      </c>
    </row>
    <row r="976" spans="1:28" x14ac:dyDescent="0.25">
      <c r="A976" s="8" t="s">
        <v>2039</v>
      </c>
      <c r="B976" s="8" t="s">
        <v>2040</v>
      </c>
      <c r="C976" s="8" t="s">
        <v>67</v>
      </c>
      <c r="D976" s="10">
        <v>5.1999997999999996</v>
      </c>
      <c r="E976" s="10">
        <v>4</v>
      </c>
      <c r="F976" s="10">
        <v>1.2</v>
      </c>
      <c r="G976" s="10">
        <v>4</v>
      </c>
      <c r="H976" s="10">
        <v>1.2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0.2</v>
      </c>
      <c r="O976" s="8" t="s">
        <v>57</v>
      </c>
      <c r="P976" s="8" t="s">
        <v>31</v>
      </c>
      <c r="Q976" s="8" t="s">
        <v>31</v>
      </c>
      <c r="R976" s="8" t="s">
        <v>31</v>
      </c>
      <c r="S976" s="8" t="s">
        <v>31</v>
      </c>
      <c r="T976" s="8" t="s">
        <v>31</v>
      </c>
      <c r="U976" s="8" t="s">
        <v>31</v>
      </c>
      <c r="V976" s="8" t="s">
        <v>31</v>
      </c>
      <c r="W976" s="8" t="str">
        <f>_xlfn.IFNA(VLOOKUP(A976,[1]Sheet1!$A$1:$B$101,1,FALSE),"na")</f>
        <v>na</v>
      </c>
      <c r="X976" s="8" t="s">
        <v>487</v>
      </c>
      <c r="Y976" s="9">
        <v>868</v>
      </c>
      <c r="Z976" s="9">
        <v>166.92308</v>
      </c>
      <c r="AA976" s="9">
        <v>217</v>
      </c>
      <c r="AB976" s="9">
        <v>723.33330999999998</v>
      </c>
    </row>
    <row r="977" spans="1:28" x14ac:dyDescent="0.25">
      <c r="A977" s="8" t="s">
        <v>2041</v>
      </c>
      <c r="B977" s="8" t="s">
        <v>2042</v>
      </c>
      <c r="C977" s="8" t="s">
        <v>30</v>
      </c>
      <c r="D977" s="10">
        <v>2.8</v>
      </c>
      <c r="E977" s="10">
        <v>2</v>
      </c>
      <c r="F977" s="10">
        <v>0.80000000999999998</v>
      </c>
      <c r="G977" s="10">
        <v>2</v>
      </c>
      <c r="H977" s="10">
        <v>0.80000000999999998</v>
      </c>
      <c r="I977" s="10">
        <v>0</v>
      </c>
      <c r="J977" s="10">
        <v>0</v>
      </c>
      <c r="K977" s="10">
        <v>0</v>
      </c>
      <c r="L977" s="10">
        <v>0.80000000999999998</v>
      </c>
      <c r="M977" s="10">
        <v>0</v>
      </c>
      <c r="N977" s="10">
        <v>0.80000000999999998</v>
      </c>
      <c r="O977" s="8" t="s">
        <v>31</v>
      </c>
      <c r="P977" s="8" t="s">
        <v>31</v>
      </c>
      <c r="Q977" s="8" t="s">
        <v>31</v>
      </c>
      <c r="R977" s="8" t="s">
        <v>31</v>
      </c>
      <c r="S977" s="8" t="s">
        <v>31</v>
      </c>
      <c r="T977" s="8" t="s">
        <v>31</v>
      </c>
      <c r="U977" s="8" t="s">
        <v>31</v>
      </c>
      <c r="V977" s="8" t="s">
        <v>31</v>
      </c>
      <c r="W977" s="8" t="str">
        <f>_xlfn.IFNA(VLOOKUP(A977,[1]Sheet1!$A$1:$B$101,1,FALSE),"na")</f>
        <v>na</v>
      </c>
      <c r="X977" s="8" t="s">
        <v>35</v>
      </c>
      <c r="Y977" s="9">
        <v>896</v>
      </c>
      <c r="Z977" s="9">
        <v>320</v>
      </c>
      <c r="AA977" s="9">
        <v>448</v>
      </c>
      <c r="AB977" s="9">
        <v>896</v>
      </c>
    </row>
    <row r="978" spans="1:28" x14ac:dyDescent="0.25">
      <c r="A978" s="8" t="s">
        <v>2043</v>
      </c>
      <c r="B978" s="8" t="s">
        <v>2044</v>
      </c>
      <c r="C978" s="8" t="s">
        <v>67</v>
      </c>
      <c r="D978" s="10">
        <v>4</v>
      </c>
      <c r="E978" s="10">
        <v>2</v>
      </c>
      <c r="F978" s="10">
        <v>2</v>
      </c>
      <c r="G978" s="10">
        <v>2</v>
      </c>
      <c r="H978" s="10">
        <v>2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8" t="s">
        <v>31</v>
      </c>
      <c r="P978" s="8" t="s">
        <v>31</v>
      </c>
      <c r="Q978" s="8" t="s">
        <v>31</v>
      </c>
      <c r="R978" s="8" t="s">
        <v>31</v>
      </c>
      <c r="S978" s="8" t="s">
        <v>31</v>
      </c>
      <c r="T978" s="8" t="s">
        <v>31</v>
      </c>
      <c r="U978" s="8" t="s">
        <v>31</v>
      </c>
      <c r="V978" s="8" t="s">
        <v>31</v>
      </c>
      <c r="W978" s="8" t="str">
        <f>_xlfn.IFNA(VLOOKUP(A978,[1]Sheet1!$A$1:$B$101,1,FALSE),"na")</f>
        <v>na</v>
      </c>
      <c r="X978" s="8" t="s">
        <v>35</v>
      </c>
      <c r="Y978" s="9">
        <v>1440</v>
      </c>
      <c r="Z978" s="9">
        <v>360</v>
      </c>
      <c r="AA978" s="9">
        <v>720</v>
      </c>
      <c r="AB978" s="9">
        <v>720</v>
      </c>
    </row>
    <row r="979" spans="1:28" x14ac:dyDescent="0.25">
      <c r="A979" s="8" t="s">
        <v>2045</v>
      </c>
      <c r="B979" s="8" t="s">
        <v>2046</v>
      </c>
      <c r="C979" s="8" t="s">
        <v>38</v>
      </c>
      <c r="D979" s="10">
        <v>1.8</v>
      </c>
      <c r="E979" s="10">
        <v>1</v>
      </c>
      <c r="F979" s="10">
        <v>0.80000000999999998</v>
      </c>
      <c r="G979" s="10">
        <v>1</v>
      </c>
      <c r="H979" s="10">
        <v>0.80000000999999998</v>
      </c>
      <c r="I979" s="10">
        <v>0</v>
      </c>
      <c r="J979" s="10">
        <v>0</v>
      </c>
      <c r="K979" s="10">
        <v>0</v>
      </c>
      <c r="L979" s="10">
        <v>0.80000000999999998</v>
      </c>
      <c r="M979" s="10">
        <v>0</v>
      </c>
      <c r="N979" s="10">
        <v>0.80000000999999998</v>
      </c>
      <c r="O979" s="8" t="s">
        <v>31</v>
      </c>
      <c r="P979" s="8" t="s">
        <v>31</v>
      </c>
      <c r="Q979" s="8" t="s">
        <v>31</v>
      </c>
      <c r="R979" s="8" t="s">
        <v>31</v>
      </c>
      <c r="S979" s="8" t="s">
        <v>31</v>
      </c>
      <c r="T979" s="8" t="s">
        <v>31</v>
      </c>
      <c r="U979" s="8" t="s">
        <v>31</v>
      </c>
      <c r="V979" s="8" t="s">
        <v>31</v>
      </c>
      <c r="W979" s="8" t="str">
        <f>_xlfn.IFNA(VLOOKUP(A979,[1]Sheet1!$A$1:$B$101,1,FALSE),"na")</f>
        <v>na</v>
      </c>
      <c r="X979" s="8" t="s">
        <v>35</v>
      </c>
      <c r="Y979" s="9">
        <v>855</v>
      </c>
      <c r="Z979" s="9">
        <v>475</v>
      </c>
      <c r="AA979" s="9">
        <v>855</v>
      </c>
      <c r="AB979" s="9">
        <v>855</v>
      </c>
    </row>
    <row r="980" spans="1:28" x14ac:dyDescent="0.25">
      <c r="A980" s="8" t="s">
        <v>2047</v>
      </c>
      <c r="B980" s="8" t="s">
        <v>2048</v>
      </c>
      <c r="C980" s="8" t="s">
        <v>30</v>
      </c>
      <c r="D980" s="10">
        <v>1.4</v>
      </c>
      <c r="E980" s="10">
        <v>1</v>
      </c>
      <c r="F980" s="10">
        <v>0.40000001000000002</v>
      </c>
      <c r="G980" s="10">
        <v>1</v>
      </c>
      <c r="H980" s="10">
        <v>0.40000001000000002</v>
      </c>
      <c r="I980" s="10">
        <v>0</v>
      </c>
      <c r="J980" s="10">
        <v>0</v>
      </c>
      <c r="K980" s="10">
        <v>0</v>
      </c>
      <c r="L980" s="10">
        <v>0.40000001000000002</v>
      </c>
      <c r="M980" s="10">
        <v>0</v>
      </c>
      <c r="N980" s="10">
        <v>0.40000001000000002</v>
      </c>
      <c r="O980" s="8" t="s">
        <v>31</v>
      </c>
      <c r="P980" s="8" t="s">
        <v>31</v>
      </c>
      <c r="Q980" s="8" t="s">
        <v>31</v>
      </c>
      <c r="R980" s="8" t="s">
        <v>31</v>
      </c>
      <c r="S980" s="8" t="s">
        <v>31</v>
      </c>
      <c r="T980" s="8" t="s">
        <v>31</v>
      </c>
      <c r="U980" s="8" t="s">
        <v>31</v>
      </c>
      <c r="V980" s="8" t="s">
        <v>31</v>
      </c>
      <c r="W980" s="8" t="str">
        <f>_xlfn.IFNA(VLOOKUP(A980,[1]Sheet1!$A$1:$B$101,1,FALSE),"na")</f>
        <v>na</v>
      </c>
      <c r="X980" s="8" t="s">
        <v>35</v>
      </c>
      <c r="Y980" s="9">
        <v>584</v>
      </c>
      <c r="Z980" s="9">
        <v>417.14285000000001</v>
      </c>
      <c r="AA980" s="9">
        <v>584</v>
      </c>
      <c r="AB980" s="9">
        <v>584</v>
      </c>
    </row>
    <row r="981" spans="1:28" x14ac:dyDescent="0.25">
      <c r="A981" s="8" t="s">
        <v>2049</v>
      </c>
      <c r="B981" s="8" t="s">
        <v>2050</v>
      </c>
      <c r="C981" s="8" t="s">
        <v>30</v>
      </c>
      <c r="D981" s="10">
        <v>2.5</v>
      </c>
      <c r="E981" s="10">
        <v>1.5</v>
      </c>
      <c r="F981" s="10">
        <v>1</v>
      </c>
      <c r="G981" s="10">
        <v>1</v>
      </c>
      <c r="H981" s="10">
        <v>1</v>
      </c>
      <c r="I981" s="10">
        <v>0.5</v>
      </c>
      <c r="J981" s="10">
        <v>0</v>
      </c>
      <c r="K981" s="10">
        <v>0</v>
      </c>
      <c r="L981" s="10">
        <v>1</v>
      </c>
      <c r="M981" s="10">
        <v>1</v>
      </c>
      <c r="N981" s="10">
        <v>1</v>
      </c>
      <c r="O981" s="8" t="s">
        <v>31</v>
      </c>
      <c r="P981" s="8" t="s">
        <v>31</v>
      </c>
      <c r="Q981" s="8" t="s">
        <v>31</v>
      </c>
      <c r="R981" s="8" t="s">
        <v>31</v>
      </c>
      <c r="S981" s="8" t="s">
        <v>31</v>
      </c>
      <c r="T981" s="8" t="s">
        <v>31</v>
      </c>
      <c r="U981" s="8" t="s">
        <v>31</v>
      </c>
      <c r="V981" s="8" t="s">
        <v>31</v>
      </c>
      <c r="W981" s="8" t="str">
        <f>_xlfn.IFNA(VLOOKUP(A981,[1]Sheet1!$A$1:$B$101,1,FALSE),"na")</f>
        <v>na</v>
      </c>
      <c r="X981" s="8" t="s">
        <v>35</v>
      </c>
      <c r="Y981" s="9">
        <v>1117</v>
      </c>
      <c r="Z981" s="9">
        <v>446.79998999999998</v>
      </c>
      <c r="AA981" s="9">
        <v>744.66669000000002</v>
      </c>
      <c r="AB981" s="9">
        <v>1117</v>
      </c>
    </row>
    <row r="982" spans="1:28" x14ac:dyDescent="0.25">
      <c r="A982" s="8" t="s">
        <v>2051</v>
      </c>
      <c r="B982" s="8" t="s">
        <v>2052</v>
      </c>
      <c r="C982" s="8" t="s">
        <v>38</v>
      </c>
      <c r="D982" s="10">
        <v>2.5999998999999998</v>
      </c>
      <c r="E982" s="10">
        <v>1</v>
      </c>
      <c r="F982" s="10">
        <v>1.6</v>
      </c>
      <c r="G982" s="10">
        <v>1</v>
      </c>
      <c r="H982" s="10">
        <v>1.6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0.60000001999999997</v>
      </c>
      <c r="O982" s="8" t="s">
        <v>57</v>
      </c>
      <c r="P982" s="8" t="s">
        <v>31</v>
      </c>
      <c r="Q982" s="8" t="s">
        <v>31</v>
      </c>
      <c r="R982" s="8" t="s">
        <v>31</v>
      </c>
      <c r="S982" s="8" t="s">
        <v>31</v>
      </c>
      <c r="T982" s="8" t="s">
        <v>31</v>
      </c>
      <c r="U982" s="8" t="s">
        <v>31</v>
      </c>
      <c r="V982" s="8" t="s">
        <v>31</v>
      </c>
      <c r="W982" s="8" t="str">
        <f>_xlfn.IFNA(VLOOKUP(A982,[1]Sheet1!$A$1:$B$101,1,FALSE),"na")</f>
        <v>na</v>
      </c>
      <c r="X982" s="8" t="s">
        <v>35</v>
      </c>
      <c r="Y982" s="9">
        <v>306</v>
      </c>
      <c r="Z982" s="9">
        <v>117.69231000000001</v>
      </c>
      <c r="AA982" s="9">
        <v>306</v>
      </c>
      <c r="AB982" s="9">
        <v>191.25</v>
      </c>
    </row>
    <row r="983" spans="1:28" x14ac:dyDescent="0.25">
      <c r="A983" s="8" t="s">
        <v>2053</v>
      </c>
      <c r="B983" s="8" t="s">
        <v>2054</v>
      </c>
      <c r="C983" s="8" t="s">
        <v>30</v>
      </c>
      <c r="D983" s="10">
        <v>2.4000001000000002</v>
      </c>
      <c r="E983" s="10">
        <v>1</v>
      </c>
      <c r="F983" s="10">
        <v>1.4</v>
      </c>
      <c r="G983" s="10">
        <v>1</v>
      </c>
      <c r="H983" s="10">
        <v>1.4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  <c r="N983" s="10">
        <v>0.40000001000000002</v>
      </c>
      <c r="O983" s="8" t="s">
        <v>57</v>
      </c>
      <c r="P983" s="8" t="s">
        <v>31</v>
      </c>
      <c r="Q983" s="8" t="s">
        <v>31</v>
      </c>
      <c r="R983" s="8" t="s">
        <v>31</v>
      </c>
      <c r="S983" s="8" t="s">
        <v>31</v>
      </c>
      <c r="T983" s="8" t="s">
        <v>31</v>
      </c>
      <c r="U983" s="8" t="s">
        <v>31</v>
      </c>
      <c r="V983" s="8" t="s">
        <v>31</v>
      </c>
      <c r="W983" s="8" t="str">
        <f>_xlfn.IFNA(VLOOKUP(A983,[1]Sheet1!$A$1:$B$101,1,FALSE),"na")</f>
        <v>na</v>
      </c>
      <c r="X983" s="8" t="s">
        <v>35</v>
      </c>
      <c r="Y983" s="9">
        <v>442</v>
      </c>
      <c r="Z983" s="9">
        <v>184.16666000000001</v>
      </c>
      <c r="AA983" s="9">
        <v>442</v>
      </c>
      <c r="AB983" s="9">
        <v>315.71429000000001</v>
      </c>
    </row>
    <row r="984" spans="1:28" x14ac:dyDescent="0.25">
      <c r="A984" s="8" t="s">
        <v>2055</v>
      </c>
      <c r="B984" s="8" t="s">
        <v>2056</v>
      </c>
      <c r="C984" s="8" t="s">
        <v>30</v>
      </c>
      <c r="D984" s="10">
        <v>2.2000000000000002</v>
      </c>
      <c r="E984" s="10">
        <v>1</v>
      </c>
      <c r="F984" s="10">
        <v>1.2</v>
      </c>
      <c r="G984" s="10">
        <v>1</v>
      </c>
      <c r="H984" s="10">
        <v>1.2</v>
      </c>
      <c r="I984" s="10">
        <v>0</v>
      </c>
      <c r="J984" s="10">
        <v>0</v>
      </c>
      <c r="K984" s="10">
        <v>0</v>
      </c>
      <c r="L984" s="10">
        <v>1.2</v>
      </c>
      <c r="M984" s="10">
        <v>0</v>
      </c>
      <c r="N984" s="10">
        <v>0.2</v>
      </c>
      <c r="O984" s="8" t="s">
        <v>31</v>
      </c>
      <c r="P984" s="8" t="s">
        <v>31</v>
      </c>
      <c r="Q984" s="8" t="s">
        <v>31</v>
      </c>
      <c r="R984" s="8" t="s">
        <v>31</v>
      </c>
      <c r="S984" s="8" t="s">
        <v>31</v>
      </c>
      <c r="T984" s="8" t="s">
        <v>31</v>
      </c>
      <c r="U984" s="8" t="s">
        <v>31</v>
      </c>
      <c r="V984" s="8" t="s">
        <v>31</v>
      </c>
      <c r="W984" s="8" t="str">
        <f>_xlfn.IFNA(VLOOKUP(A984,[1]Sheet1!$A$1:$B$101,1,FALSE),"na")</f>
        <v>na</v>
      </c>
      <c r="X984" s="8" t="s">
        <v>35</v>
      </c>
      <c r="Y984" s="9">
        <v>511</v>
      </c>
      <c r="Z984" s="9">
        <v>232.27271999999999</v>
      </c>
      <c r="AA984" s="9">
        <v>511</v>
      </c>
      <c r="AB984" s="9">
        <v>425.83330999999998</v>
      </c>
    </row>
    <row r="985" spans="1:28" x14ac:dyDescent="0.25">
      <c r="A985" s="8" t="s">
        <v>2057</v>
      </c>
      <c r="B985" s="8" t="s">
        <v>2058</v>
      </c>
      <c r="C985" s="8" t="s">
        <v>30</v>
      </c>
      <c r="D985" s="10">
        <v>2.9000001000000002</v>
      </c>
      <c r="E985" s="10">
        <v>1.9</v>
      </c>
      <c r="F985" s="10">
        <v>1</v>
      </c>
      <c r="G985" s="10">
        <v>1</v>
      </c>
      <c r="H985" s="10">
        <v>1</v>
      </c>
      <c r="I985" s="10">
        <v>0.89999998000000003</v>
      </c>
      <c r="J985" s="10">
        <v>0</v>
      </c>
      <c r="K985" s="10">
        <v>0</v>
      </c>
      <c r="L985" s="10">
        <v>1</v>
      </c>
      <c r="M985" s="10">
        <v>0</v>
      </c>
      <c r="N985" s="10">
        <v>1</v>
      </c>
      <c r="O985" s="8" t="s">
        <v>31</v>
      </c>
      <c r="P985" s="8" t="s">
        <v>31</v>
      </c>
      <c r="Q985" s="8" t="s">
        <v>31</v>
      </c>
      <c r="R985" s="8" t="s">
        <v>31</v>
      </c>
      <c r="S985" s="8" t="s">
        <v>31</v>
      </c>
      <c r="T985" s="8" t="s">
        <v>31</v>
      </c>
      <c r="U985" s="8" t="s">
        <v>31</v>
      </c>
      <c r="V985" s="8" t="s">
        <v>31</v>
      </c>
      <c r="W985" s="8" t="str">
        <f>_xlfn.IFNA(VLOOKUP(A985,[1]Sheet1!$A$1:$B$101,1,FALSE),"na")</f>
        <v>na</v>
      </c>
      <c r="X985" s="8" t="s">
        <v>35</v>
      </c>
      <c r="Y985" s="9">
        <v>896</v>
      </c>
      <c r="Z985" s="9">
        <v>308.96552000000003</v>
      </c>
      <c r="AA985" s="9">
        <v>471.57895000000002</v>
      </c>
      <c r="AB985" s="9">
        <v>896</v>
      </c>
    </row>
    <row r="986" spans="1:28" x14ac:dyDescent="0.25">
      <c r="A986" s="8" t="s">
        <v>2059</v>
      </c>
      <c r="B986" s="8" t="s">
        <v>2060</v>
      </c>
      <c r="C986" s="8" t="s">
        <v>30</v>
      </c>
      <c r="D986" s="10">
        <v>2.8</v>
      </c>
      <c r="E986" s="10">
        <v>1</v>
      </c>
      <c r="F986" s="10">
        <v>1.8</v>
      </c>
      <c r="G986" s="10">
        <v>1</v>
      </c>
      <c r="H986" s="10">
        <v>1.8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  <c r="N986" s="10">
        <v>0.80000000999999998</v>
      </c>
      <c r="O986" s="8" t="s">
        <v>31</v>
      </c>
      <c r="P986" s="8" t="s">
        <v>31</v>
      </c>
      <c r="Q986" s="8" t="s">
        <v>31</v>
      </c>
      <c r="R986" s="8" t="s">
        <v>31</v>
      </c>
      <c r="S986" s="8" t="s">
        <v>31</v>
      </c>
      <c r="T986" s="8" t="s">
        <v>31</v>
      </c>
      <c r="U986" s="8" t="s">
        <v>31</v>
      </c>
      <c r="V986" s="8" t="s">
        <v>31</v>
      </c>
      <c r="W986" s="8" t="str">
        <f>_xlfn.IFNA(VLOOKUP(A986,[1]Sheet1!$A$1:$B$101,1,FALSE),"na")</f>
        <v>na</v>
      </c>
      <c r="X986" s="8" t="s">
        <v>375</v>
      </c>
      <c r="Y986" s="9">
        <v>233</v>
      </c>
      <c r="Z986" s="9">
        <v>83.214286999999999</v>
      </c>
      <c r="AA986" s="9">
        <v>233</v>
      </c>
      <c r="AB986" s="9">
        <v>129.44443999999999</v>
      </c>
    </row>
    <row r="987" spans="1:28" x14ac:dyDescent="0.25">
      <c r="A987" s="8" t="s">
        <v>2061</v>
      </c>
      <c r="B987" s="8" t="s">
        <v>2062</v>
      </c>
      <c r="C987" s="8" t="s">
        <v>30</v>
      </c>
      <c r="D987" s="10">
        <v>3.8</v>
      </c>
      <c r="E987" s="10">
        <v>2</v>
      </c>
      <c r="F987" s="10">
        <v>1.8</v>
      </c>
      <c r="G987" s="10">
        <v>2</v>
      </c>
      <c r="H987" s="10">
        <v>1.8</v>
      </c>
      <c r="I987" s="10">
        <v>0</v>
      </c>
      <c r="J987" s="10">
        <v>0</v>
      </c>
      <c r="K987" s="10">
        <v>0</v>
      </c>
      <c r="L987" s="10">
        <v>0.2</v>
      </c>
      <c r="M987" s="10">
        <v>0</v>
      </c>
      <c r="N987" s="10">
        <v>0.80000000999999998</v>
      </c>
      <c r="O987" s="8" t="s">
        <v>57</v>
      </c>
      <c r="P987" s="8" t="s">
        <v>31</v>
      </c>
      <c r="Q987" s="8" t="s">
        <v>31</v>
      </c>
      <c r="R987" s="8" t="s">
        <v>31</v>
      </c>
      <c r="S987" s="8" t="s">
        <v>31</v>
      </c>
      <c r="T987" s="8" t="s">
        <v>31</v>
      </c>
      <c r="U987" s="8" t="s">
        <v>31</v>
      </c>
      <c r="V987" s="8" t="s">
        <v>31</v>
      </c>
      <c r="W987" s="8" t="str">
        <f>_xlfn.IFNA(VLOOKUP(A987,[1]Sheet1!$A$1:$B$101,1,FALSE),"na")</f>
        <v>na</v>
      </c>
      <c r="X987" s="8" t="s">
        <v>35</v>
      </c>
      <c r="Y987" s="9">
        <v>520</v>
      </c>
      <c r="Z987" s="9">
        <v>136.84209999999999</v>
      </c>
      <c r="AA987" s="9">
        <v>260</v>
      </c>
      <c r="AB987" s="9">
        <v>288.88889</v>
      </c>
    </row>
    <row r="988" spans="1:28" x14ac:dyDescent="0.25">
      <c r="A988" s="8" t="s">
        <v>2063</v>
      </c>
      <c r="B988" s="8" t="s">
        <v>2064</v>
      </c>
      <c r="C988" s="8" t="s">
        <v>38</v>
      </c>
      <c r="D988" s="10">
        <v>3</v>
      </c>
      <c r="E988" s="10">
        <v>2</v>
      </c>
      <c r="F988" s="10">
        <v>1</v>
      </c>
      <c r="G988" s="10">
        <v>2</v>
      </c>
      <c r="H988" s="10">
        <v>1</v>
      </c>
      <c r="I988" s="10">
        <v>0</v>
      </c>
      <c r="J988" s="10">
        <v>0</v>
      </c>
      <c r="K988" s="10">
        <v>0</v>
      </c>
      <c r="L988" s="10">
        <v>0.40000001000000002</v>
      </c>
      <c r="M988" s="10">
        <v>0</v>
      </c>
      <c r="N988" s="10">
        <v>1</v>
      </c>
      <c r="O988" s="8" t="s">
        <v>31</v>
      </c>
      <c r="P988" s="8" t="s">
        <v>31</v>
      </c>
      <c r="Q988" s="8" t="s">
        <v>31</v>
      </c>
      <c r="R988" s="8" t="s">
        <v>31</v>
      </c>
      <c r="S988" s="8" t="s">
        <v>31</v>
      </c>
      <c r="T988" s="8" t="s">
        <v>31</v>
      </c>
      <c r="U988" s="8" t="s">
        <v>31</v>
      </c>
      <c r="V988" s="8" t="s">
        <v>31</v>
      </c>
      <c r="W988" s="8" t="str">
        <f>_xlfn.IFNA(VLOOKUP(A988,[1]Sheet1!$A$1:$B$101,1,FALSE),"na")</f>
        <v>na</v>
      </c>
      <c r="X988" s="8" t="s">
        <v>35</v>
      </c>
      <c r="Y988" s="9">
        <v>709</v>
      </c>
      <c r="Z988" s="9">
        <v>236.33332999999999</v>
      </c>
      <c r="AA988" s="9">
        <v>354.5</v>
      </c>
      <c r="AB988" s="9">
        <v>709</v>
      </c>
    </row>
    <row r="989" spans="1:28" x14ac:dyDescent="0.25">
      <c r="A989" s="8" t="s">
        <v>2065</v>
      </c>
      <c r="B989" s="8" t="s">
        <v>2066</v>
      </c>
      <c r="C989" s="8" t="s">
        <v>30</v>
      </c>
      <c r="D989" s="10">
        <v>3</v>
      </c>
      <c r="E989" s="10">
        <v>2</v>
      </c>
      <c r="F989" s="10">
        <v>1</v>
      </c>
      <c r="G989" s="10">
        <v>2</v>
      </c>
      <c r="H989" s="10">
        <v>1</v>
      </c>
      <c r="I989" s="10">
        <v>0</v>
      </c>
      <c r="J989" s="10">
        <v>0</v>
      </c>
      <c r="K989" s="10">
        <v>0</v>
      </c>
      <c r="L989" s="10">
        <v>0.60000001999999997</v>
      </c>
      <c r="M989" s="10">
        <v>0</v>
      </c>
      <c r="N989" s="10">
        <v>1</v>
      </c>
      <c r="O989" s="8" t="s">
        <v>31</v>
      </c>
      <c r="P989" s="8" t="s">
        <v>31</v>
      </c>
      <c r="Q989" s="8" t="s">
        <v>31</v>
      </c>
      <c r="R989" s="8" t="s">
        <v>31</v>
      </c>
      <c r="S989" s="8" t="s">
        <v>31</v>
      </c>
      <c r="T989" s="8" t="s">
        <v>31</v>
      </c>
      <c r="U989" s="8" t="s">
        <v>31</v>
      </c>
      <c r="V989" s="8" t="s">
        <v>31</v>
      </c>
      <c r="W989" s="8" t="str">
        <f>_xlfn.IFNA(VLOOKUP(A989,[1]Sheet1!$A$1:$B$101,1,FALSE),"na")</f>
        <v>na</v>
      </c>
      <c r="X989" s="8" t="s">
        <v>35</v>
      </c>
      <c r="Y989" s="9">
        <v>572</v>
      </c>
      <c r="Z989" s="9">
        <v>190.66667000000001</v>
      </c>
      <c r="AA989" s="9">
        <v>286</v>
      </c>
      <c r="AB989" s="9">
        <v>572</v>
      </c>
    </row>
    <row r="990" spans="1:28" x14ac:dyDescent="0.25">
      <c r="A990" s="8" t="s">
        <v>2067</v>
      </c>
      <c r="B990" s="8" t="s">
        <v>2068</v>
      </c>
      <c r="C990" s="8" t="s">
        <v>30</v>
      </c>
      <c r="D990" s="10">
        <v>2.4000001000000002</v>
      </c>
      <c r="E990" s="10">
        <v>2</v>
      </c>
      <c r="F990" s="10">
        <v>0.40000001000000002</v>
      </c>
      <c r="G990" s="10">
        <v>2</v>
      </c>
      <c r="H990" s="10">
        <v>0.40000001000000002</v>
      </c>
      <c r="I990" s="10">
        <v>0</v>
      </c>
      <c r="J990" s="10">
        <v>0</v>
      </c>
      <c r="K990" s="10">
        <v>0</v>
      </c>
      <c r="L990" s="10">
        <v>0.40000001000000002</v>
      </c>
      <c r="M990" s="10">
        <v>0</v>
      </c>
      <c r="N990" s="10">
        <v>0.40000001000000002</v>
      </c>
      <c r="O990" s="8" t="s">
        <v>31</v>
      </c>
      <c r="P990" s="8" t="s">
        <v>31</v>
      </c>
      <c r="Q990" s="8" t="s">
        <v>31</v>
      </c>
      <c r="R990" s="8" t="s">
        <v>31</v>
      </c>
      <c r="S990" s="8" t="s">
        <v>31</v>
      </c>
      <c r="T990" s="8" t="s">
        <v>31</v>
      </c>
      <c r="U990" s="8" t="s">
        <v>31</v>
      </c>
      <c r="V990" s="8" t="s">
        <v>31</v>
      </c>
      <c r="W990" s="8" t="str">
        <f>_xlfn.IFNA(VLOOKUP(A990,[1]Sheet1!$A$1:$B$101,1,FALSE),"na")</f>
        <v>na</v>
      </c>
      <c r="X990" s="8" t="s">
        <v>35</v>
      </c>
      <c r="Y990" s="9">
        <v>691</v>
      </c>
      <c r="Z990" s="9">
        <v>287.91665999999998</v>
      </c>
      <c r="AA990" s="9">
        <v>345.5</v>
      </c>
      <c r="AB990" s="9">
        <v>691</v>
      </c>
    </row>
    <row r="991" spans="1:28" x14ac:dyDescent="0.25">
      <c r="A991" s="8" t="s">
        <v>2069</v>
      </c>
      <c r="B991" s="8" t="s">
        <v>2070</v>
      </c>
      <c r="C991" s="8" t="s">
        <v>30</v>
      </c>
      <c r="D991" s="10">
        <v>2</v>
      </c>
      <c r="E991" s="10">
        <v>1</v>
      </c>
      <c r="F991" s="10">
        <v>1</v>
      </c>
      <c r="G991" s="10">
        <v>1</v>
      </c>
      <c r="H991" s="10">
        <v>1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8" t="s">
        <v>31</v>
      </c>
      <c r="P991" s="8" t="s">
        <v>31</v>
      </c>
      <c r="Q991" s="8" t="s">
        <v>31</v>
      </c>
      <c r="R991" s="8" t="s">
        <v>31</v>
      </c>
      <c r="S991" s="8" t="s">
        <v>31</v>
      </c>
      <c r="T991" s="8" t="s">
        <v>31</v>
      </c>
      <c r="U991" s="8" t="s">
        <v>31</v>
      </c>
      <c r="V991" s="8" t="s">
        <v>31</v>
      </c>
      <c r="W991" s="8" t="str">
        <f>_xlfn.IFNA(VLOOKUP(A991,[1]Sheet1!$A$1:$B$101,1,FALSE),"na")</f>
        <v>na</v>
      </c>
      <c r="X991" s="8" t="s">
        <v>35</v>
      </c>
      <c r="Y991" s="9">
        <v>718</v>
      </c>
      <c r="Z991" s="9">
        <v>359</v>
      </c>
      <c r="AA991" s="9">
        <v>718</v>
      </c>
      <c r="AB991" s="9">
        <v>718</v>
      </c>
    </row>
    <row r="992" spans="1:28" x14ac:dyDescent="0.25">
      <c r="A992" s="8" t="s">
        <v>2071</v>
      </c>
      <c r="B992" s="8" t="s">
        <v>2072</v>
      </c>
      <c r="C992" s="8" t="s">
        <v>38</v>
      </c>
      <c r="D992" s="10">
        <v>2.5999998999999998</v>
      </c>
      <c r="E992" s="10">
        <v>1</v>
      </c>
      <c r="F992" s="10">
        <v>1.6</v>
      </c>
      <c r="G992" s="10">
        <v>1</v>
      </c>
      <c r="H992" s="10">
        <v>1.6</v>
      </c>
      <c r="I992" s="10">
        <v>0</v>
      </c>
      <c r="J992" s="10">
        <v>0</v>
      </c>
      <c r="K992" s="10">
        <v>0</v>
      </c>
      <c r="L992" s="10">
        <v>0.60000001999999997</v>
      </c>
      <c r="M992" s="10">
        <v>0</v>
      </c>
      <c r="N992" s="10">
        <v>0.60000001999999997</v>
      </c>
      <c r="O992" s="8" t="s">
        <v>57</v>
      </c>
      <c r="P992" s="8" t="s">
        <v>31</v>
      </c>
      <c r="Q992" s="8" t="s">
        <v>31</v>
      </c>
      <c r="R992" s="8" t="s">
        <v>31</v>
      </c>
      <c r="S992" s="8" t="s">
        <v>31</v>
      </c>
      <c r="T992" s="8" t="s">
        <v>31</v>
      </c>
      <c r="U992" s="8" t="s">
        <v>31</v>
      </c>
      <c r="V992" s="8" t="s">
        <v>31</v>
      </c>
      <c r="W992" s="8" t="str">
        <f>_xlfn.IFNA(VLOOKUP(A992,[1]Sheet1!$A$1:$B$101,1,FALSE),"na")</f>
        <v>na</v>
      </c>
      <c r="X992" s="8" t="s">
        <v>35</v>
      </c>
      <c r="Y992" s="9">
        <v>1057</v>
      </c>
      <c r="Z992" s="9">
        <v>406.53847999999999</v>
      </c>
      <c r="AA992" s="9">
        <v>1057</v>
      </c>
      <c r="AB992" s="9">
        <v>660.625</v>
      </c>
    </row>
    <row r="993" spans="1:28" x14ac:dyDescent="0.25">
      <c r="A993" s="8" t="s">
        <v>2073</v>
      </c>
      <c r="B993" s="8" t="s">
        <v>2074</v>
      </c>
      <c r="C993" s="8" t="s">
        <v>38</v>
      </c>
      <c r="D993" s="10">
        <v>3.8</v>
      </c>
      <c r="E993" s="10">
        <v>2</v>
      </c>
      <c r="F993" s="10">
        <v>1.8</v>
      </c>
      <c r="G993" s="10">
        <v>2</v>
      </c>
      <c r="H993" s="10">
        <v>1.8</v>
      </c>
      <c r="I993" s="10">
        <v>0</v>
      </c>
      <c r="J993" s="10">
        <v>0</v>
      </c>
      <c r="K993" s="10">
        <v>0</v>
      </c>
      <c r="L993" s="10">
        <v>0.60000001999999997</v>
      </c>
      <c r="M993" s="10">
        <v>0</v>
      </c>
      <c r="N993" s="10">
        <v>0.80000000999999998</v>
      </c>
      <c r="O993" s="8" t="s">
        <v>57</v>
      </c>
      <c r="P993" s="8" t="s">
        <v>31</v>
      </c>
      <c r="Q993" s="8" t="s">
        <v>31</v>
      </c>
      <c r="R993" s="8" t="s">
        <v>31</v>
      </c>
      <c r="S993" s="8" t="s">
        <v>31</v>
      </c>
      <c r="T993" s="8" t="s">
        <v>31</v>
      </c>
      <c r="U993" s="8" t="s">
        <v>31</v>
      </c>
      <c r="V993" s="8" t="s">
        <v>31</v>
      </c>
      <c r="W993" s="8" t="str">
        <f>_xlfn.IFNA(VLOOKUP(A993,[1]Sheet1!$A$1:$B$101,1,FALSE),"na")</f>
        <v>na</v>
      </c>
      <c r="X993" s="8" t="s">
        <v>35</v>
      </c>
      <c r="Y993" s="9">
        <v>888</v>
      </c>
      <c r="Z993" s="9">
        <v>233.68422000000001</v>
      </c>
      <c r="AA993" s="9">
        <v>444</v>
      </c>
      <c r="AB993" s="9">
        <v>493.33334000000002</v>
      </c>
    </row>
    <row r="994" spans="1:28" x14ac:dyDescent="0.25">
      <c r="A994" s="8" t="s">
        <v>2075</v>
      </c>
      <c r="B994" s="8" t="s">
        <v>2076</v>
      </c>
      <c r="C994" s="8" t="s">
        <v>67</v>
      </c>
      <c r="D994" s="10">
        <v>4.1999997999999996</v>
      </c>
      <c r="E994" s="10">
        <v>2</v>
      </c>
      <c r="F994" s="10">
        <v>2.2000000000000002</v>
      </c>
      <c r="G994" s="10">
        <v>2</v>
      </c>
      <c r="H994" s="10">
        <v>2.2000000000000002</v>
      </c>
      <c r="I994" s="10">
        <v>0</v>
      </c>
      <c r="J994" s="10">
        <v>0</v>
      </c>
      <c r="K994" s="10">
        <v>0</v>
      </c>
      <c r="L994" s="10">
        <v>0.2</v>
      </c>
      <c r="M994" s="10">
        <v>0</v>
      </c>
      <c r="N994" s="10">
        <v>0.2</v>
      </c>
      <c r="O994" s="8" t="s">
        <v>31</v>
      </c>
      <c r="P994" s="8" t="s">
        <v>31</v>
      </c>
      <c r="Q994" s="8" t="s">
        <v>31</v>
      </c>
      <c r="R994" s="8" t="s">
        <v>31</v>
      </c>
      <c r="S994" s="8" t="s">
        <v>31</v>
      </c>
      <c r="T994" s="8" t="s">
        <v>31</v>
      </c>
      <c r="U994" s="8" t="s">
        <v>31</v>
      </c>
      <c r="V994" s="8" t="s">
        <v>31</v>
      </c>
      <c r="W994" s="8" t="str">
        <f>_xlfn.IFNA(VLOOKUP(A994,[1]Sheet1!$A$1:$B$101,1,FALSE),"na")</f>
        <v>na</v>
      </c>
      <c r="X994" s="8" t="s">
        <v>35</v>
      </c>
      <c r="Y994" s="9">
        <v>1559</v>
      </c>
      <c r="Z994" s="9">
        <v>371.19049000000001</v>
      </c>
      <c r="AA994" s="9">
        <v>779.5</v>
      </c>
      <c r="AB994" s="9">
        <v>708.63634999999999</v>
      </c>
    </row>
    <row r="995" spans="1:28" x14ac:dyDescent="0.25">
      <c r="A995" s="8" t="s">
        <v>2077</v>
      </c>
      <c r="B995" s="8" t="s">
        <v>2078</v>
      </c>
      <c r="C995" s="8" t="s">
        <v>38</v>
      </c>
      <c r="D995" s="10">
        <v>3.4000001000000002</v>
      </c>
      <c r="E995" s="10">
        <v>2</v>
      </c>
      <c r="F995" s="10">
        <v>1.4</v>
      </c>
      <c r="G995" s="10">
        <v>2</v>
      </c>
      <c r="H995" s="10">
        <v>1.4</v>
      </c>
      <c r="I995" s="10">
        <v>0</v>
      </c>
      <c r="J995" s="10">
        <v>0</v>
      </c>
      <c r="K995" s="10">
        <v>0</v>
      </c>
      <c r="L995" s="10">
        <v>1.2</v>
      </c>
      <c r="M995" s="10">
        <v>0</v>
      </c>
      <c r="N995" s="10">
        <v>0.40000001000000002</v>
      </c>
      <c r="O995" s="8" t="s">
        <v>31</v>
      </c>
      <c r="P995" s="8" t="s">
        <v>31</v>
      </c>
      <c r="Q995" s="8" t="s">
        <v>31</v>
      </c>
      <c r="R995" s="8" t="s">
        <v>31</v>
      </c>
      <c r="S995" s="8" t="s">
        <v>31</v>
      </c>
      <c r="T995" s="8" t="s">
        <v>31</v>
      </c>
      <c r="U995" s="8" t="s">
        <v>31</v>
      </c>
      <c r="V995" s="8" t="s">
        <v>31</v>
      </c>
      <c r="W995" s="8" t="str">
        <f>_xlfn.IFNA(VLOOKUP(A995,[1]Sheet1!$A$1:$B$101,1,FALSE),"na")</f>
        <v>na</v>
      </c>
      <c r="X995" s="8" t="s">
        <v>35</v>
      </c>
      <c r="Y995" s="9">
        <v>551</v>
      </c>
      <c r="Z995" s="9">
        <v>162.05882</v>
      </c>
      <c r="AA995" s="9">
        <v>275.5</v>
      </c>
      <c r="AB995" s="9">
        <v>393.57144</v>
      </c>
    </row>
    <row r="996" spans="1:28" x14ac:dyDescent="0.25">
      <c r="A996" s="8" t="s">
        <v>2079</v>
      </c>
      <c r="B996" s="8" t="s">
        <v>2080</v>
      </c>
      <c r="C996" s="8" t="s">
        <v>67</v>
      </c>
      <c r="D996" s="10">
        <v>3.2</v>
      </c>
      <c r="E996" s="10">
        <v>3</v>
      </c>
      <c r="F996" s="10">
        <v>0.2</v>
      </c>
      <c r="G996" s="10">
        <v>3</v>
      </c>
      <c r="H996" s="10">
        <v>0.2</v>
      </c>
      <c r="I996" s="10">
        <v>0</v>
      </c>
      <c r="J996" s="10">
        <v>0</v>
      </c>
      <c r="K996" s="10">
        <v>1</v>
      </c>
      <c r="L996" s="10">
        <v>0</v>
      </c>
      <c r="M996" s="10">
        <v>0</v>
      </c>
      <c r="N996" s="10">
        <v>0.2</v>
      </c>
      <c r="O996" s="8" t="s">
        <v>31</v>
      </c>
      <c r="P996" s="8" t="s">
        <v>31</v>
      </c>
      <c r="Q996" s="8" t="s">
        <v>31</v>
      </c>
      <c r="R996" s="8" t="s">
        <v>31</v>
      </c>
      <c r="S996" s="8" t="s">
        <v>31</v>
      </c>
      <c r="T996" s="8" t="s">
        <v>31</v>
      </c>
      <c r="U996" s="8" t="s">
        <v>31</v>
      </c>
      <c r="V996" s="8" t="s">
        <v>31</v>
      </c>
      <c r="W996" s="8" t="str">
        <f>_xlfn.IFNA(VLOOKUP(A996,[1]Sheet1!$A$1:$B$101,1,FALSE),"na")</f>
        <v>na</v>
      </c>
      <c r="X996" s="8" t="s">
        <v>35</v>
      </c>
      <c r="Y996" s="9">
        <v>1290</v>
      </c>
      <c r="Z996" s="9">
        <v>403.125</v>
      </c>
      <c r="AA996" s="9">
        <v>430</v>
      </c>
      <c r="AB996" s="9">
        <v>1290</v>
      </c>
    </row>
    <row r="997" spans="1:28" x14ac:dyDescent="0.25">
      <c r="A997" s="8" t="s">
        <v>2081</v>
      </c>
      <c r="B997" s="8" t="s">
        <v>2082</v>
      </c>
      <c r="C997" s="8" t="s">
        <v>30</v>
      </c>
      <c r="D997" s="10">
        <v>3.2</v>
      </c>
      <c r="E997" s="10">
        <v>2</v>
      </c>
      <c r="F997" s="10">
        <v>1.2</v>
      </c>
      <c r="G997" s="10">
        <v>2</v>
      </c>
      <c r="H997" s="10">
        <v>0.60000001999999997</v>
      </c>
      <c r="I997" s="10">
        <v>0</v>
      </c>
      <c r="J997" s="10">
        <v>0.60000001999999997</v>
      </c>
      <c r="K997" s="10">
        <v>0</v>
      </c>
      <c r="L997" s="10">
        <v>0.60000001999999997</v>
      </c>
      <c r="M997" s="10">
        <v>0</v>
      </c>
      <c r="N997" s="10">
        <v>0.60000001999999997</v>
      </c>
      <c r="O997" s="8" t="s">
        <v>31</v>
      </c>
      <c r="P997" s="8" t="s">
        <v>31</v>
      </c>
      <c r="Q997" s="8" t="s">
        <v>31</v>
      </c>
      <c r="R997" s="8" t="s">
        <v>31</v>
      </c>
      <c r="S997" s="8" t="s">
        <v>31</v>
      </c>
      <c r="T997" s="8" t="s">
        <v>31</v>
      </c>
      <c r="U997" s="8" t="s">
        <v>31</v>
      </c>
      <c r="V997" s="8" t="s">
        <v>31</v>
      </c>
      <c r="W997" s="8" t="str">
        <f>_xlfn.IFNA(VLOOKUP(A997,[1]Sheet1!$A$1:$B$101,1,FALSE),"na")</f>
        <v>na</v>
      </c>
      <c r="X997" s="8" t="s">
        <v>35</v>
      </c>
      <c r="Y997" s="9">
        <v>964</v>
      </c>
      <c r="Z997" s="9">
        <v>301.25</v>
      </c>
      <c r="AA997" s="9">
        <v>482</v>
      </c>
      <c r="AB997" s="9">
        <v>803.33330999999998</v>
      </c>
    </row>
    <row r="998" spans="1:28" x14ac:dyDescent="0.25">
      <c r="A998" s="8" t="s">
        <v>2083</v>
      </c>
      <c r="B998" s="8" t="s">
        <v>2084</v>
      </c>
      <c r="C998" s="8" t="s">
        <v>67</v>
      </c>
      <c r="D998" s="10">
        <v>4.1999997999999996</v>
      </c>
      <c r="E998" s="10">
        <v>3</v>
      </c>
      <c r="F998" s="10">
        <v>1.2</v>
      </c>
      <c r="G998" s="10">
        <v>3</v>
      </c>
      <c r="H998" s="10">
        <v>1.2</v>
      </c>
      <c r="I998" s="10">
        <v>0</v>
      </c>
      <c r="J998" s="10">
        <v>0</v>
      </c>
      <c r="K998" s="10">
        <v>0</v>
      </c>
      <c r="L998" s="10">
        <v>0</v>
      </c>
      <c r="M998" s="10">
        <v>0</v>
      </c>
      <c r="N998" s="10">
        <v>0.2</v>
      </c>
      <c r="O998" s="8" t="s">
        <v>31</v>
      </c>
      <c r="P998" s="8" t="s">
        <v>31</v>
      </c>
      <c r="Q998" s="8" t="s">
        <v>31</v>
      </c>
      <c r="R998" s="8" t="s">
        <v>31</v>
      </c>
      <c r="S998" s="8" t="s">
        <v>31</v>
      </c>
      <c r="T998" s="8" t="s">
        <v>31</v>
      </c>
      <c r="U998" s="8" t="s">
        <v>31</v>
      </c>
      <c r="V998" s="8" t="s">
        <v>31</v>
      </c>
      <c r="W998" s="8" t="str">
        <f>_xlfn.IFNA(VLOOKUP(A998,[1]Sheet1!$A$1:$B$101,1,FALSE),"na")</f>
        <v>na</v>
      </c>
      <c r="X998" s="8" t="s">
        <v>35</v>
      </c>
      <c r="Y998" s="9">
        <v>1203</v>
      </c>
      <c r="Z998" s="9">
        <v>286.42858999999999</v>
      </c>
      <c r="AA998" s="9">
        <v>401</v>
      </c>
      <c r="AB998" s="9">
        <v>1002.4999</v>
      </c>
    </row>
    <row r="999" spans="1:28" x14ac:dyDescent="0.25">
      <c r="A999" s="8" t="s">
        <v>2085</v>
      </c>
      <c r="B999" s="8" t="s">
        <v>2086</v>
      </c>
      <c r="C999" s="8" t="s">
        <v>38</v>
      </c>
      <c r="D999" s="10">
        <v>1.8</v>
      </c>
      <c r="E999" s="10">
        <v>1</v>
      </c>
      <c r="F999" s="10">
        <v>0.80000000999999998</v>
      </c>
      <c r="G999" s="10">
        <v>1</v>
      </c>
      <c r="H999" s="10">
        <v>0.80000000999999998</v>
      </c>
      <c r="I999" s="10">
        <v>0</v>
      </c>
      <c r="J999" s="10">
        <v>0</v>
      </c>
      <c r="K999" s="10">
        <v>0</v>
      </c>
      <c r="L999" s="10">
        <v>0.80000000999999998</v>
      </c>
      <c r="M999" s="10">
        <v>0</v>
      </c>
      <c r="N999" s="10">
        <v>0.80000000999999998</v>
      </c>
      <c r="O999" s="8" t="s">
        <v>31</v>
      </c>
      <c r="P999" s="8" t="s">
        <v>31</v>
      </c>
      <c r="Q999" s="8" t="s">
        <v>31</v>
      </c>
      <c r="R999" s="8" t="s">
        <v>31</v>
      </c>
      <c r="S999" s="8" t="s">
        <v>31</v>
      </c>
      <c r="T999" s="8" t="s">
        <v>31</v>
      </c>
      <c r="U999" s="8" t="s">
        <v>31</v>
      </c>
      <c r="V999" s="8" t="s">
        <v>31</v>
      </c>
      <c r="W999" s="8" t="str">
        <f>_xlfn.IFNA(VLOOKUP(A999,[1]Sheet1!$A$1:$B$101,1,FALSE),"na")</f>
        <v>na</v>
      </c>
      <c r="X999" s="8" t="s">
        <v>419</v>
      </c>
      <c r="Y999" s="9">
        <v>504</v>
      </c>
      <c r="Z999" s="9">
        <v>280</v>
      </c>
      <c r="AA999" s="9">
        <v>504</v>
      </c>
      <c r="AB999" s="9">
        <v>504</v>
      </c>
    </row>
    <row r="1000" spans="1:28" x14ac:dyDescent="0.25">
      <c r="A1000" s="8" t="s">
        <v>2087</v>
      </c>
      <c r="B1000" s="8" t="s">
        <v>2088</v>
      </c>
      <c r="C1000" s="8" t="s">
        <v>67</v>
      </c>
      <c r="D1000" s="10">
        <v>2.0999998999999998</v>
      </c>
      <c r="E1000" s="10">
        <v>1</v>
      </c>
      <c r="F1000" s="10">
        <v>1.1000000000000001</v>
      </c>
      <c r="G1000" s="10">
        <v>1</v>
      </c>
      <c r="H1000" s="10">
        <v>1.1000000000000001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0.1</v>
      </c>
      <c r="O1000" s="8" t="s">
        <v>57</v>
      </c>
      <c r="P1000" s="8" t="s">
        <v>31</v>
      </c>
      <c r="Q1000" s="8" t="s">
        <v>31</v>
      </c>
      <c r="R1000" s="8" t="s">
        <v>31</v>
      </c>
      <c r="S1000" s="8" t="s">
        <v>31</v>
      </c>
      <c r="T1000" s="8" t="s">
        <v>31</v>
      </c>
      <c r="U1000" s="8" t="s">
        <v>31</v>
      </c>
      <c r="V1000" s="8" t="s">
        <v>31</v>
      </c>
      <c r="W1000" s="8" t="str">
        <f>_xlfn.IFNA(VLOOKUP(A1000,[1]Sheet1!$A$1:$B$101,1,FALSE),"na")</f>
        <v>na</v>
      </c>
      <c r="X1000" s="8" t="s">
        <v>35</v>
      </c>
      <c r="Y1000" s="9">
        <v>433</v>
      </c>
      <c r="Z1000" s="9">
        <v>206.19049000000001</v>
      </c>
      <c r="AA1000" s="9">
        <v>433</v>
      </c>
      <c r="AB1000" s="9">
        <v>393.63634999999999</v>
      </c>
    </row>
    <row r="1001" spans="1:28" x14ac:dyDescent="0.25">
      <c r="A1001" s="8" t="s">
        <v>2089</v>
      </c>
      <c r="B1001" s="8" t="s">
        <v>2090</v>
      </c>
      <c r="C1001" s="8" t="s">
        <v>30</v>
      </c>
      <c r="D1001" s="10">
        <v>1.3</v>
      </c>
      <c r="E1001" s="10">
        <v>1</v>
      </c>
      <c r="F1001" s="10">
        <v>0.30000000999999998</v>
      </c>
      <c r="G1001" s="10">
        <v>1</v>
      </c>
      <c r="H1001" s="10">
        <v>0.30000000999999998</v>
      </c>
      <c r="I1001" s="10">
        <v>0</v>
      </c>
      <c r="J1001" s="10">
        <v>0</v>
      </c>
      <c r="K1001" s="10">
        <v>0</v>
      </c>
      <c r="L1001" s="10">
        <v>0</v>
      </c>
      <c r="M1001" s="10">
        <v>0</v>
      </c>
      <c r="N1001" s="10">
        <v>0.30000000999999998</v>
      </c>
      <c r="O1001" s="8" t="s">
        <v>31</v>
      </c>
      <c r="P1001" s="8" t="s">
        <v>31</v>
      </c>
      <c r="Q1001" s="8" t="s">
        <v>31</v>
      </c>
      <c r="R1001" s="8" t="s">
        <v>31</v>
      </c>
      <c r="S1001" s="8" t="s">
        <v>31</v>
      </c>
      <c r="T1001" s="8" t="s">
        <v>31</v>
      </c>
      <c r="U1001" s="8" t="s">
        <v>31</v>
      </c>
      <c r="V1001" s="8" t="s">
        <v>31</v>
      </c>
      <c r="W1001" s="8" t="str">
        <f>_xlfn.IFNA(VLOOKUP(A1001,[1]Sheet1!$A$1:$B$101,1,FALSE),"na")</f>
        <v>na</v>
      </c>
      <c r="X1001" s="8" t="s">
        <v>1334</v>
      </c>
      <c r="Y1001" s="9">
        <v>286</v>
      </c>
      <c r="Z1001" s="9">
        <v>220.00002000000001</v>
      </c>
      <c r="AA1001" s="9">
        <v>286</v>
      </c>
      <c r="AB1001" s="9">
        <v>286</v>
      </c>
    </row>
    <row r="1002" spans="1:28" x14ac:dyDescent="0.25">
      <c r="A1002" s="8" t="s">
        <v>2091</v>
      </c>
      <c r="B1002" s="8" t="s">
        <v>2092</v>
      </c>
      <c r="C1002" s="8" t="s">
        <v>62</v>
      </c>
      <c r="D1002" s="10">
        <v>4.1999997999999996</v>
      </c>
      <c r="E1002" s="10">
        <v>2</v>
      </c>
      <c r="F1002" s="10">
        <v>2.2000000000000002</v>
      </c>
      <c r="G1002" s="10">
        <v>2</v>
      </c>
      <c r="H1002" s="10">
        <v>2.2000000000000002</v>
      </c>
      <c r="I1002" s="10">
        <v>0</v>
      </c>
      <c r="J1002" s="10">
        <v>0</v>
      </c>
      <c r="K1002" s="10">
        <v>1</v>
      </c>
      <c r="L1002" s="10">
        <v>0</v>
      </c>
      <c r="M1002" s="10">
        <v>0</v>
      </c>
      <c r="N1002" s="10">
        <v>0.2</v>
      </c>
      <c r="O1002" s="8" t="s">
        <v>31</v>
      </c>
      <c r="P1002" s="8" t="s">
        <v>31</v>
      </c>
      <c r="Q1002" s="8" t="s">
        <v>31</v>
      </c>
      <c r="R1002" s="8" t="s">
        <v>31</v>
      </c>
      <c r="S1002" s="8" t="s">
        <v>31</v>
      </c>
      <c r="T1002" s="8" t="s">
        <v>57</v>
      </c>
      <c r="U1002" s="8" t="s">
        <v>31</v>
      </c>
      <c r="V1002" s="8" t="s">
        <v>31</v>
      </c>
      <c r="W1002" s="8" t="str">
        <f>_xlfn.IFNA(VLOOKUP(A1002,[1]Sheet1!$A$1:$B$101,1,FALSE),"na")</f>
        <v>na</v>
      </c>
      <c r="X1002" s="8" t="s">
        <v>35</v>
      </c>
      <c r="Y1002" s="9">
        <v>349</v>
      </c>
      <c r="Z1002" s="9">
        <v>83.095245000000006</v>
      </c>
      <c r="AA1002" s="9">
        <v>174.5</v>
      </c>
      <c r="AB1002" s="9">
        <v>158.63637</v>
      </c>
    </row>
    <row r="1003" spans="1:28" x14ac:dyDescent="0.25">
      <c r="A1003" s="8" t="s">
        <v>2093</v>
      </c>
      <c r="B1003" s="8" t="s">
        <v>2094</v>
      </c>
      <c r="C1003" s="8" t="s">
        <v>62</v>
      </c>
      <c r="D1003" s="10">
        <v>5</v>
      </c>
      <c r="E1003" s="10">
        <v>3</v>
      </c>
      <c r="F1003" s="10">
        <v>2</v>
      </c>
      <c r="G1003" s="10">
        <v>3</v>
      </c>
      <c r="H1003" s="10">
        <v>2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8" t="s">
        <v>31</v>
      </c>
      <c r="P1003" s="8" t="s">
        <v>31</v>
      </c>
      <c r="Q1003" s="8" t="s">
        <v>31</v>
      </c>
      <c r="R1003" s="8" t="s">
        <v>57</v>
      </c>
      <c r="S1003" s="8" t="s">
        <v>31</v>
      </c>
      <c r="T1003" s="8" t="s">
        <v>57</v>
      </c>
      <c r="U1003" s="8" t="s">
        <v>31</v>
      </c>
      <c r="V1003" s="8" t="s">
        <v>31</v>
      </c>
      <c r="W1003" s="8" t="str">
        <f>_xlfn.IFNA(VLOOKUP(A1003,[1]Sheet1!$A$1:$B$101,1,FALSE),"na")</f>
        <v>na</v>
      </c>
      <c r="X1003" s="8" t="s">
        <v>35</v>
      </c>
      <c r="Y1003" s="9">
        <v>622</v>
      </c>
      <c r="Z1003" s="9">
        <v>124.4</v>
      </c>
      <c r="AA1003" s="9">
        <v>207.33332999999999</v>
      </c>
      <c r="AB1003" s="9">
        <v>311</v>
      </c>
    </row>
    <row r="1004" spans="1:28" x14ac:dyDescent="0.25">
      <c r="A1004" s="8" t="s">
        <v>2095</v>
      </c>
      <c r="B1004" s="8" t="s">
        <v>2096</v>
      </c>
      <c r="C1004" s="8" t="s">
        <v>62</v>
      </c>
      <c r="D1004" s="10">
        <v>2.2000000000000002</v>
      </c>
      <c r="E1004" s="10">
        <v>2</v>
      </c>
      <c r="F1004" s="10">
        <v>0.2</v>
      </c>
      <c r="G1004" s="10">
        <v>2</v>
      </c>
      <c r="H1004" s="10">
        <v>0.2</v>
      </c>
      <c r="I1004" s="10">
        <v>0</v>
      </c>
      <c r="J1004" s="10">
        <v>0</v>
      </c>
      <c r="K1004" s="10">
        <v>0</v>
      </c>
      <c r="L1004" s="10">
        <v>0</v>
      </c>
      <c r="M1004" s="10">
        <v>0</v>
      </c>
      <c r="N1004" s="10">
        <v>0.2</v>
      </c>
      <c r="O1004" s="8" t="s">
        <v>31</v>
      </c>
      <c r="P1004" s="8" t="s">
        <v>31</v>
      </c>
      <c r="Q1004" s="8" t="s">
        <v>31</v>
      </c>
      <c r="R1004" s="8" t="s">
        <v>31</v>
      </c>
      <c r="S1004" s="8" t="s">
        <v>31</v>
      </c>
      <c r="T1004" s="8" t="s">
        <v>31</v>
      </c>
      <c r="U1004" s="8" t="s">
        <v>31</v>
      </c>
      <c r="V1004" s="8" t="s">
        <v>31</v>
      </c>
      <c r="W1004" s="8" t="str">
        <f>_xlfn.IFNA(VLOOKUP(A1004,[1]Sheet1!$A$1:$B$101,1,FALSE),"na")</f>
        <v>na</v>
      </c>
      <c r="X1004" s="8" t="s">
        <v>35</v>
      </c>
      <c r="Y1004" s="9">
        <v>388</v>
      </c>
      <c r="Z1004" s="9">
        <v>176.36363</v>
      </c>
      <c r="AA1004" s="9">
        <v>194</v>
      </c>
      <c r="AB1004" s="9">
        <v>388</v>
      </c>
    </row>
    <row r="1005" spans="1:28" x14ac:dyDescent="0.25">
      <c r="A1005" s="8" t="s">
        <v>2097</v>
      </c>
      <c r="B1005" s="8" t="s">
        <v>2098</v>
      </c>
      <c r="C1005" s="8" t="s">
        <v>62</v>
      </c>
      <c r="D1005" s="10">
        <v>13.5</v>
      </c>
      <c r="E1005" s="10">
        <v>9</v>
      </c>
      <c r="F1005" s="10">
        <v>4.5</v>
      </c>
      <c r="G1005" s="10">
        <v>9</v>
      </c>
      <c r="H1005" s="10">
        <v>4.5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  <c r="N1005" s="10">
        <v>0.5</v>
      </c>
      <c r="O1005" s="8" t="s">
        <v>31</v>
      </c>
      <c r="P1005" s="8" t="s">
        <v>31</v>
      </c>
      <c r="Q1005" s="8" t="s">
        <v>31</v>
      </c>
      <c r="R1005" s="8" t="s">
        <v>31</v>
      </c>
      <c r="S1005" s="8" t="s">
        <v>31</v>
      </c>
      <c r="T1005" s="8" t="s">
        <v>31</v>
      </c>
      <c r="U1005" s="8" t="s">
        <v>31</v>
      </c>
      <c r="V1005" s="8" t="s">
        <v>31</v>
      </c>
      <c r="W1005" s="8" t="str">
        <f>_xlfn.IFNA(VLOOKUP(A1005,[1]Sheet1!$A$1:$B$101,1,FALSE),"na")</f>
        <v>na</v>
      </c>
      <c r="X1005" s="8" t="s">
        <v>35</v>
      </c>
      <c r="Y1005" s="9">
        <v>2228</v>
      </c>
      <c r="Z1005" s="9">
        <v>165.03702999999999</v>
      </c>
      <c r="AA1005" s="9">
        <v>247.55556000000001</v>
      </c>
      <c r="AB1005" s="9">
        <v>495.11111</v>
      </c>
    </row>
    <row r="1006" spans="1:28" x14ac:dyDescent="0.25">
      <c r="A1006" s="8" t="s">
        <v>2099</v>
      </c>
      <c r="B1006" s="8" t="s">
        <v>2100</v>
      </c>
      <c r="C1006" s="8" t="s">
        <v>80</v>
      </c>
      <c r="D1006" s="10">
        <v>2.2000000000000002</v>
      </c>
      <c r="E1006" s="10">
        <v>2</v>
      </c>
      <c r="F1006" s="10">
        <v>0.2</v>
      </c>
      <c r="G1006" s="10">
        <v>2</v>
      </c>
      <c r="H1006" s="10">
        <v>0.2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0.2</v>
      </c>
      <c r="O1006" s="8" t="s">
        <v>31</v>
      </c>
      <c r="P1006" s="8" t="s">
        <v>31</v>
      </c>
      <c r="Q1006" s="8" t="s">
        <v>31</v>
      </c>
      <c r="R1006" s="8" t="s">
        <v>31</v>
      </c>
      <c r="S1006" s="8" t="s">
        <v>31</v>
      </c>
      <c r="T1006" s="8" t="s">
        <v>31</v>
      </c>
      <c r="U1006" s="8" t="s">
        <v>31</v>
      </c>
      <c r="V1006" s="8" t="s">
        <v>31</v>
      </c>
      <c r="W1006" s="8" t="str">
        <f>_xlfn.IFNA(VLOOKUP(A1006,[1]Sheet1!$A$1:$B$101,1,FALSE),"na")</f>
        <v>na</v>
      </c>
      <c r="X1006" s="8" t="s">
        <v>35</v>
      </c>
      <c r="Y1006" s="9">
        <v>721</v>
      </c>
      <c r="Z1006" s="9">
        <v>327.72726</v>
      </c>
      <c r="AA1006" s="9">
        <v>360.5</v>
      </c>
      <c r="AB1006" s="9">
        <v>721</v>
      </c>
    </row>
    <row r="1007" spans="1:28" x14ac:dyDescent="0.25">
      <c r="A1007" s="8" t="s">
        <v>2101</v>
      </c>
      <c r="B1007" s="8" t="s">
        <v>2102</v>
      </c>
      <c r="C1007" s="8" t="s">
        <v>62</v>
      </c>
      <c r="D1007" s="10">
        <v>19.5</v>
      </c>
      <c r="E1007" s="10">
        <v>17</v>
      </c>
      <c r="F1007" s="10">
        <v>2.5</v>
      </c>
      <c r="G1007" s="10">
        <v>17</v>
      </c>
      <c r="H1007" s="10">
        <v>2.5</v>
      </c>
      <c r="I1007" s="10">
        <v>0</v>
      </c>
      <c r="J1007" s="10">
        <v>0</v>
      </c>
      <c r="K1007" s="10">
        <v>2</v>
      </c>
      <c r="L1007" s="10">
        <v>1</v>
      </c>
      <c r="M1007" s="10">
        <v>0</v>
      </c>
      <c r="N1007" s="10">
        <v>0.5</v>
      </c>
      <c r="O1007" s="8" t="s">
        <v>31</v>
      </c>
      <c r="P1007" s="8" t="s">
        <v>31</v>
      </c>
      <c r="Q1007" s="8" t="s">
        <v>31</v>
      </c>
      <c r="R1007" s="8" t="s">
        <v>31</v>
      </c>
      <c r="S1007" s="8" t="s">
        <v>31</v>
      </c>
      <c r="T1007" s="8" t="s">
        <v>31</v>
      </c>
      <c r="U1007" s="8" t="s">
        <v>31</v>
      </c>
      <c r="V1007" s="8" t="s">
        <v>31</v>
      </c>
      <c r="W1007" s="8" t="str">
        <f>_xlfn.IFNA(VLOOKUP(A1007,[1]Sheet1!$A$1:$B$101,1,FALSE),"na")</f>
        <v>na</v>
      </c>
      <c r="X1007" s="8" t="s">
        <v>35</v>
      </c>
      <c r="Y1007" s="9">
        <v>3490</v>
      </c>
      <c r="Z1007" s="9">
        <v>178.97436999999999</v>
      </c>
      <c r="AA1007" s="9">
        <v>205.29410999999999</v>
      </c>
      <c r="AB1007" s="9">
        <v>1396</v>
      </c>
    </row>
    <row r="1008" spans="1:28" x14ac:dyDescent="0.25">
      <c r="A1008" s="8" t="s">
        <v>2103</v>
      </c>
      <c r="B1008" s="8" t="s">
        <v>2104</v>
      </c>
      <c r="C1008" s="8" t="s">
        <v>62</v>
      </c>
      <c r="D1008" s="10">
        <v>14.4</v>
      </c>
      <c r="E1008" s="10">
        <v>13</v>
      </c>
      <c r="F1008" s="10">
        <v>1.4</v>
      </c>
      <c r="G1008" s="10">
        <v>13</v>
      </c>
      <c r="H1008" s="10">
        <v>1.4</v>
      </c>
      <c r="I1008" s="10">
        <v>0</v>
      </c>
      <c r="J1008" s="10">
        <v>0</v>
      </c>
      <c r="K1008" s="10">
        <v>1</v>
      </c>
      <c r="L1008" s="10">
        <v>0.40000001000000002</v>
      </c>
      <c r="M1008" s="10">
        <v>0</v>
      </c>
      <c r="N1008" s="10">
        <v>0.40000001000000002</v>
      </c>
      <c r="O1008" s="8" t="s">
        <v>31</v>
      </c>
      <c r="P1008" s="8" t="s">
        <v>31</v>
      </c>
      <c r="Q1008" s="8" t="s">
        <v>31</v>
      </c>
      <c r="R1008" s="8" t="s">
        <v>31</v>
      </c>
      <c r="S1008" s="8" t="s">
        <v>31</v>
      </c>
      <c r="T1008" s="8" t="s">
        <v>57</v>
      </c>
      <c r="U1008" s="8" t="s">
        <v>31</v>
      </c>
      <c r="V1008" s="8" t="s">
        <v>31</v>
      </c>
      <c r="W1008" s="8" t="str">
        <f>_xlfn.IFNA(VLOOKUP(A1008,[1]Sheet1!$A$1:$B$101,1,FALSE),"na")</f>
        <v>na</v>
      </c>
      <c r="X1008" s="8" t="s">
        <v>35</v>
      </c>
      <c r="Y1008" s="9">
        <v>2210</v>
      </c>
      <c r="Z1008" s="9">
        <v>153.47223</v>
      </c>
      <c r="AA1008" s="9">
        <v>170</v>
      </c>
      <c r="AB1008" s="9">
        <v>1578.5714</v>
      </c>
    </row>
    <row r="1009" spans="1:28" x14ac:dyDescent="0.25">
      <c r="A1009" s="8" t="s">
        <v>2105</v>
      </c>
      <c r="B1009" s="8" t="s">
        <v>2106</v>
      </c>
      <c r="C1009" s="8" t="s">
        <v>62</v>
      </c>
      <c r="D1009" s="10">
        <v>2.2000000000000002</v>
      </c>
      <c r="E1009" s="10">
        <v>2</v>
      </c>
      <c r="F1009" s="10">
        <v>0.2</v>
      </c>
      <c r="G1009" s="10">
        <v>2</v>
      </c>
      <c r="H1009" s="10">
        <v>0.2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0.2</v>
      </c>
      <c r="O1009" s="8" t="s">
        <v>31</v>
      </c>
      <c r="P1009" s="8" t="s">
        <v>31</v>
      </c>
      <c r="Q1009" s="8" t="s">
        <v>31</v>
      </c>
      <c r="R1009" s="8" t="s">
        <v>31</v>
      </c>
      <c r="S1009" s="8" t="s">
        <v>31</v>
      </c>
      <c r="T1009" s="8" t="s">
        <v>31</v>
      </c>
      <c r="U1009" s="8" t="s">
        <v>31</v>
      </c>
      <c r="V1009" s="8" t="s">
        <v>31</v>
      </c>
      <c r="W1009" s="8" t="str">
        <f>_xlfn.IFNA(VLOOKUP(A1009,[1]Sheet1!$A$1:$B$101,1,FALSE),"na")</f>
        <v>na</v>
      </c>
      <c r="X1009" s="8" t="s">
        <v>35</v>
      </c>
      <c r="Y1009" s="9">
        <v>195</v>
      </c>
      <c r="Z1009" s="9">
        <v>88.636359999999996</v>
      </c>
      <c r="AA1009" s="9">
        <v>97.5</v>
      </c>
      <c r="AB1009" s="9">
        <v>195</v>
      </c>
    </row>
    <row r="1010" spans="1:28" x14ac:dyDescent="0.25">
      <c r="A1010" s="8" t="s">
        <v>2107</v>
      </c>
      <c r="B1010" s="8" t="s">
        <v>2108</v>
      </c>
      <c r="C1010" s="8" t="s">
        <v>62</v>
      </c>
      <c r="D1010" s="10">
        <v>3.2</v>
      </c>
      <c r="E1010" s="10">
        <v>1</v>
      </c>
      <c r="F1010" s="10">
        <v>2.2000000000000002</v>
      </c>
      <c r="G1010" s="10">
        <v>1</v>
      </c>
      <c r="H1010" s="10">
        <v>2.2000000000000002</v>
      </c>
      <c r="I1010" s="10">
        <v>0</v>
      </c>
      <c r="J1010" s="10">
        <v>0</v>
      </c>
      <c r="K1010" s="10">
        <v>0</v>
      </c>
      <c r="L1010" s="10">
        <v>0</v>
      </c>
      <c r="M1010" s="10">
        <v>0</v>
      </c>
      <c r="N1010" s="10">
        <v>0.2</v>
      </c>
      <c r="O1010" s="8" t="s">
        <v>31</v>
      </c>
      <c r="P1010" s="8" t="s">
        <v>31</v>
      </c>
      <c r="Q1010" s="8" t="s">
        <v>31</v>
      </c>
      <c r="R1010" s="8" t="s">
        <v>31</v>
      </c>
      <c r="S1010" s="8" t="s">
        <v>31</v>
      </c>
      <c r="T1010" s="8" t="s">
        <v>57</v>
      </c>
      <c r="U1010" s="8" t="s">
        <v>31</v>
      </c>
      <c r="V1010" s="8" t="s">
        <v>31</v>
      </c>
      <c r="W1010" s="8" t="str">
        <f>_xlfn.IFNA(VLOOKUP(A1010,[1]Sheet1!$A$1:$B$101,1,FALSE),"na")</f>
        <v>na</v>
      </c>
      <c r="X1010" s="8" t="s">
        <v>35</v>
      </c>
      <c r="Y1010" s="9">
        <v>384</v>
      </c>
      <c r="Z1010" s="9">
        <v>120</v>
      </c>
      <c r="AA1010" s="9">
        <v>384</v>
      </c>
      <c r="AB1010" s="9">
        <v>174.54545999999999</v>
      </c>
    </row>
    <row r="1011" spans="1:28" x14ac:dyDescent="0.25">
      <c r="A1011" s="8" t="s">
        <v>2109</v>
      </c>
      <c r="B1011" s="8" t="s">
        <v>2110</v>
      </c>
      <c r="C1011" s="8" t="s">
        <v>62</v>
      </c>
      <c r="D1011" s="10">
        <v>5.3000002000000004</v>
      </c>
      <c r="E1011" s="10">
        <v>4</v>
      </c>
      <c r="F1011" s="10">
        <v>1.3</v>
      </c>
      <c r="G1011" s="10">
        <v>4</v>
      </c>
      <c r="H1011" s="10">
        <v>1.3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0.30000000999999998</v>
      </c>
      <c r="O1011" s="8" t="s">
        <v>31</v>
      </c>
      <c r="P1011" s="8" t="s">
        <v>31</v>
      </c>
      <c r="Q1011" s="8" t="s">
        <v>31</v>
      </c>
      <c r="R1011" s="8" t="s">
        <v>31</v>
      </c>
      <c r="S1011" s="8" t="s">
        <v>31</v>
      </c>
      <c r="T1011" s="8" t="s">
        <v>31</v>
      </c>
      <c r="U1011" s="8" t="s">
        <v>31</v>
      </c>
      <c r="V1011" s="8" t="s">
        <v>31</v>
      </c>
      <c r="W1011" s="8" t="str">
        <f>_xlfn.IFNA(VLOOKUP(A1011,[1]Sheet1!$A$1:$B$101,1,FALSE),"na")</f>
        <v>na</v>
      </c>
      <c r="X1011" s="8" t="s">
        <v>35</v>
      </c>
      <c r="Y1011" s="9">
        <v>644</v>
      </c>
      <c r="Z1011" s="9">
        <v>121.50942999999999</v>
      </c>
      <c r="AA1011" s="9">
        <v>161</v>
      </c>
      <c r="AB1011" s="9">
        <v>495.38463999999999</v>
      </c>
    </row>
    <row r="1012" spans="1:28" x14ac:dyDescent="0.25">
      <c r="A1012" s="8" t="s">
        <v>2111</v>
      </c>
      <c r="B1012" s="8" t="s">
        <v>2112</v>
      </c>
      <c r="C1012" s="8" t="s">
        <v>80</v>
      </c>
      <c r="D1012" s="10">
        <v>6.9000000999999997</v>
      </c>
      <c r="E1012" s="10">
        <v>5.8000002000000004</v>
      </c>
      <c r="F1012" s="10">
        <v>1.1000000000000001</v>
      </c>
      <c r="G1012" s="10">
        <v>5</v>
      </c>
      <c r="H1012" s="10">
        <v>1.1000000000000001</v>
      </c>
      <c r="I1012" s="10">
        <v>0.80000000999999998</v>
      </c>
      <c r="J1012" s="10">
        <v>0</v>
      </c>
      <c r="K1012" s="10">
        <v>0</v>
      </c>
      <c r="L1012" s="10">
        <v>0</v>
      </c>
      <c r="M1012" s="10">
        <v>0</v>
      </c>
      <c r="N1012" s="10">
        <v>0.1</v>
      </c>
      <c r="O1012" s="8" t="s">
        <v>31</v>
      </c>
      <c r="P1012" s="8" t="s">
        <v>31</v>
      </c>
      <c r="Q1012" s="8" t="s">
        <v>31</v>
      </c>
      <c r="R1012" s="8" t="s">
        <v>57</v>
      </c>
      <c r="S1012" s="8" t="s">
        <v>31</v>
      </c>
      <c r="T1012" s="8" t="s">
        <v>31</v>
      </c>
      <c r="U1012" s="8" t="s">
        <v>31</v>
      </c>
      <c r="V1012" s="8" t="s">
        <v>31</v>
      </c>
      <c r="W1012" s="8" t="str">
        <f>_xlfn.IFNA(VLOOKUP(A1012,[1]Sheet1!$A$1:$B$101,1,FALSE),"na")</f>
        <v>na</v>
      </c>
      <c r="X1012" s="8" t="s">
        <v>35</v>
      </c>
      <c r="Y1012" s="9">
        <v>893</v>
      </c>
      <c r="Z1012" s="9">
        <v>129.42028999999999</v>
      </c>
      <c r="AA1012" s="9">
        <v>153.96552</v>
      </c>
      <c r="AB1012" s="9">
        <v>811.81817999999998</v>
      </c>
    </row>
    <row r="1013" spans="1:28" x14ac:dyDescent="0.25">
      <c r="A1013" s="8" t="s">
        <v>2113</v>
      </c>
      <c r="B1013" s="8" t="s">
        <v>2114</v>
      </c>
      <c r="C1013" s="8" t="s">
        <v>62</v>
      </c>
      <c r="D1013" s="10">
        <v>3</v>
      </c>
      <c r="E1013" s="10">
        <v>2</v>
      </c>
      <c r="F1013" s="10">
        <v>1</v>
      </c>
      <c r="G1013" s="10">
        <v>2</v>
      </c>
      <c r="H1013" s="10">
        <v>1</v>
      </c>
      <c r="I1013" s="10">
        <v>0</v>
      </c>
      <c r="J1013" s="10">
        <v>0</v>
      </c>
      <c r="K1013" s="10">
        <v>1</v>
      </c>
      <c r="L1013" s="10">
        <v>0</v>
      </c>
      <c r="M1013" s="10">
        <v>0</v>
      </c>
      <c r="N1013" s="10">
        <v>0</v>
      </c>
      <c r="O1013" s="8" t="s">
        <v>57</v>
      </c>
      <c r="P1013" s="8" t="s">
        <v>31</v>
      </c>
      <c r="Q1013" s="8" t="s">
        <v>31</v>
      </c>
      <c r="R1013" s="8" t="s">
        <v>31</v>
      </c>
      <c r="S1013" s="8" t="s">
        <v>31</v>
      </c>
      <c r="T1013" s="8" t="s">
        <v>57</v>
      </c>
      <c r="U1013" s="8" t="s">
        <v>31</v>
      </c>
      <c r="V1013" s="8" t="s">
        <v>31</v>
      </c>
      <c r="W1013" s="8" t="str">
        <f>_xlfn.IFNA(VLOOKUP(A1013,[1]Sheet1!$A$1:$B$101,1,FALSE),"na")</f>
        <v>na</v>
      </c>
      <c r="X1013" s="8" t="s">
        <v>35</v>
      </c>
      <c r="Y1013" s="9">
        <v>225</v>
      </c>
      <c r="Z1013" s="9">
        <v>75</v>
      </c>
      <c r="AA1013" s="9">
        <v>112.5</v>
      </c>
      <c r="AB1013" s="9">
        <v>225</v>
      </c>
    </row>
    <row r="1014" spans="1:28" x14ac:dyDescent="0.25">
      <c r="A1014" s="8" t="s">
        <v>2115</v>
      </c>
      <c r="B1014" s="8" t="s">
        <v>2116</v>
      </c>
      <c r="C1014" s="8" t="s">
        <v>67</v>
      </c>
      <c r="D1014" s="10">
        <v>1</v>
      </c>
      <c r="E1014" s="10">
        <v>1</v>
      </c>
      <c r="F1014" s="10">
        <v>0</v>
      </c>
      <c r="G1014" s="10">
        <v>1</v>
      </c>
      <c r="H1014" s="10">
        <v>0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0">
        <v>0</v>
      </c>
      <c r="O1014" s="8" t="s">
        <v>31</v>
      </c>
      <c r="P1014" s="8" t="s">
        <v>31</v>
      </c>
      <c r="Q1014" s="8" t="s">
        <v>31</v>
      </c>
      <c r="R1014" s="8" t="s">
        <v>31</v>
      </c>
      <c r="S1014" s="8" t="s">
        <v>31</v>
      </c>
      <c r="T1014" s="8" t="s">
        <v>31</v>
      </c>
      <c r="U1014" s="8" t="s">
        <v>31</v>
      </c>
      <c r="V1014" s="8" t="s">
        <v>31</v>
      </c>
      <c r="W1014" s="8" t="str">
        <f>_xlfn.IFNA(VLOOKUP(A1014,[1]Sheet1!$A$1:$B$101,1,FALSE),"na")</f>
        <v>na</v>
      </c>
      <c r="X1014" s="8" t="s">
        <v>35</v>
      </c>
      <c r="Y1014" s="9">
        <v>67</v>
      </c>
      <c r="Z1014" s="9">
        <v>67</v>
      </c>
      <c r="AA1014" s="9">
        <v>67</v>
      </c>
      <c r="AB1014" s="9">
        <v>67</v>
      </c>
    </row>
    <row r="1015" spans="1:28" x14ac:dyDescent="0.25">
      <c r="A1015" s="8" t="s">
        <v>2117</v>
      </c>
      <c r="B1015" s="8" t="s">
        <v>2118</v>
      </c>
      <c r="C1015" s="8" t="s">
        <v>67</v>
      </c>
      <c r="D1015" s="10">
        <v>4</v>
      </c>
      <c r="E1015" s="10">
        <v>3</v>
      </c>
      <c r="F1015" s="10">
        <v>1</v>
      </c>
      <c r="G1015" s="10">
        <v>3</v>
      </c>
      <c r="H1015" s="10">
        <v>1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8" t="s">
        <v>31</v>
      </c>
      <c r="P1015" s="8" t="s">
        <v>31</v>
      </c>
      <c r="Q1015" s="8" t="s">
        <v>31</v>
      </c>
      <c r="R1015" s="8" t="s">
        <v>57</v>
      </c>
      <c r="S1015" s="8" t="s">
        <v>31</v>
      </c>
      <c r="T1015" s="8" t="s">
        <v>31</v>
      </c>
      <c r="U1015" s="8" t="s">
        <v>31</v>
      </c>
      <c r="V1015" s="8" t="s">
        <v>31</v>
      </c>
      <c r="W1015" s="8" t="str">
        <f>_xlfn.IFNA(VLOOKUP(A1015,[1]Sheet1!$A$1:$B$101,1,FALSE),"na")</f>
        <v>na</v>
      </c>
      <c r="X1015" s="8" t="s">
        <v>35</v>
      </c>
      <c r="Y1015" s="9">
        <v>486</v>
      </c>
      <c r="Z1015" s="9">
        <v>121.5</v>
      </c>
      <c r="AA1015" s="9">
        <v>162</v>
      </c>
      <c r="AB1015" s="9">
        <v>486</v>
      </c>
    </row>
    <row r="1016" spans="1:28" x14ac:dyDescent="0.25">
      <c r="A1016" s="8" t="s">
        <v>2119</v>
      </c>
      <c r="B1016" s="8" t="s">
        <v>2120</v>
      </c>
      <c r="C1016" s="8" t="s">
        <v>30</v>
      </c>
      <c r="D1016" s="10">
        <v>1.6</v>
      </c>
      <c r="E1016" s="10">
        <v>1</v>
      </c>
      <c r="F1016" s="10">
        <v>0.60000001999999997</v>
      </c>
      <c r="G1016" s="10">
        <v>1</v>
      </c>
      <c r="H1016" s="10">
        <v>0.60000001999999997</v>
      </c>
      <c r="I1016" s="10">
        <v>0</v>
      </c>
      <c r="J1016" s="10">
        <v>0</v>
      </c>
      <c r="K1016" s="10">
        <v>0</v>
      </c>
      <c r="L1016" s="10">
        <v>0</v>
      </c>
      <c r="M1016" s="10">
        <v>0</v>
      </c>
      <c r="N1016" s="10">
        <v>0.60000001999999997</v>
      </c>
      <c r="O1016" s="8" t="s">
        <v>31</v>
      </c>
      <c r="P1016" s="8" t="s">
        <v>31</v>
      </c>
      <c r="Q1016" s="8" t="s">
        <v>31</v>
      </c>
      <c r="R1016" s="8" t="s">
        <v>31</v>
      </c>
      <c r="S1016" s="8" t="s">
        <v>31</v>
      </c>
      <c r="T1016" s="8" t="s">
        <v>31</v>
      </c>
      <c r="U1016" s="8" t="s">
        <v>31</v>
      </c>
      <c r="V1016" s="8" t="s">
        <v>31</v>
      </c>
      <c r="W1016" s="8" t="str">
        <f>_xlfn.IFNA(VLOOKUP(A1016,[1]Sheet1!$A$1:$B$101,1,FALSE),"na")</f>
        <v>na</v>
      </c>
      <c r="X1016" s="8" t="s">
        <v>35</v>
      </c>
      <c r="Y1016" s="9">
        <v>704</v>
      </c>
      <c r="Z1016" s="9">
        <v>440</v>
      </c>
      <c r="AA1016" s="9">
        <v>704</v>
      </c>
      <c r="AB1016" s="9">
        <v>704</v>
      </c>
    </row>
    <row r="1017" spans="1:28" x14ac:dyDescent="0.25">
      <c r="A1017" s="8" t="s">
        <v>2121</v>
      </c>
      <c r="B1017" s="8" t="s">
        <v>2122</v>
      </c>
      <c r="C1017" s="8" t="s">
        <v>67</v>
      </c>
      <c r="D1017" s="10">
        <v>3.4000001000000002</v>
      </c>
      <c r="E1017" s="10">
        <v>3</v>
      </c>
      <c r="F1017" s="10">
        <v>0.40000001000000002</v>
      </c>
      <c r="G1017" s="10">
        <v>3</v>
      </c>
      <c r="H1017" s="10">
        <v>0.40000001000000002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0.40000001000000002</v>
      </c>
      <c r="O1017" s="8" t="s">
        <v>31</v>
      </c>
      <c r="P1017" s="8" t="s">
        <v>31</v>
      </c>
      <c r="Q1017" s="8" t="s">
        <v>31</v>
      </c>
      <c r="R1017" s="8" t="s">
        <v>31</v>
      </c>
      <c r="S1017" s="8" t="s">
        <v>31</v>
      </c>
      <c r="T1017" s="8" t="s">
        <v>31</v>
      </c>
      <c r="U1017" s="8" t="s">
        <v>31</v>
      </c>
      <c r="V1017" s="8" t="s">
        <v>31</v>
      </c>
      <c r="W1017" s="8" t="str">
        <f>_xlfn.IFNA(VLOOKUP(A1017,[1]Sheet1!$A$1:$B$101,1,FALSE),"na")</f>
        <v>na</v>
      </c>
      <c r="X1017" s="8" t="s">
        <v>35</v>
      </c>
      <c r="Y1017" s="9">
        <v>666</v>
      </c>
      <c r="Z1017" s="9">
        <v>195.88235</v>
      </c>
      <c r="AA1017" s="9">
        <v>222</v>
      </c>
      <c r="AB1017" s="9">
        <v>666</v>
      </c>
    </row>
    <row r="1018" spans="1:28" x14ac:dyDescent="0.25">
      <c r="A1018" s="8" t="s">
        <v>2123</v>
      </c>
      <c r="B1018" s="8" t="s">
        <v>2124</v>
      </c>
      <c r="C1018" s="8" t="s">
        <v>38</v>
      </c>
      <c r="D1018" s="10">
        <v>3.3</v>
      </c>
      <c r="E1018" s="10">
        <v>2</v>
      </c>
      <c r="F1018" s="10">
        <v>1.3</v>
      </c>
      <c r="G1018" s="10">
        <v>2</v>
      </c>
      <c r="H1018" s="10">
        <v>1.3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0.30000000999999998</v>
      </c>
      <c r="O1018" s="8" t="s">
        <v>31</v>
      </c>
      <c r="P1018" s="8" t="s">
        <v>31</v>
      </c>
      <c r="Q1018" s="8" t="s">
        <v>57</v>
      </c>
      <c r="R1018" s="8" t="s">
        <v>31</v>
      </c>
      <c r="S1018" s="8" t="s">
        <v>31</v>
      </c>
      <c r="T1018" s="8" t="s">
        <v>31</v>
      </c>
      <c r="U1018" s="8" t="s">
        <v>31</v>
      </c>
      <c r="V1018" s="8" t="s">
        <v>31</v>
      </c>
      <c r="W1018" s="8" t="str">
        <f>_xlfn.IFNA(VLOOKUP(A1018,[1]Sheet1!$A$1:$B$101,1,FALSE),"na")</f>
        <v>na</v>
      </c>
      <c r="X1018" s="8" t="s">
        <v>512</v>
      </c>
      <c r="Y1018" s="9">
        <v>581</v>
      </c>
      <c r="Z1018" s="9">
        <v>176.06061</v>
      </c>
      <c r="AA1018" s="9">
        <v>290.5</v>
      </c>
      <c r="AB1018" s="9">
        <v>446.92309999999998</v>
      </c>
    </row>
    <row r="1019" spans="1:28" x14ac:dyDescent="0.25">
      <c r="A1019" s="8" t="s">
        <v>2125</v>
      </c>
      <c r="B1019" s="8" t="s">
        <v>2126</v>
      </c>
      <c r="C1019" s="8" t="s">
        <v>30</v>
      </c>
      <c r="D1019" s="10">
        <v>2.4000001000000002</v>
      </c>
      <c r="E1019" s="10">
        <v>1</v>
      </c>
      <c r="F1019" s="10">
        <v>1.4</v>
      </c>
      <c r="G1019" s="10">
        <v>1</v>
      </c>
      <c r="H1019" s="10">
        <v>1.4</v>
      </c>
      <c r="I1019" s="10">
        <v>0</v>
      </c>
      <c r="J1019" s="10">
        <v>0</v>
      </c>
      <c r="K1019" s="10">
        <v>0</v>
      </c>
      <c r="L1019" s="10">
        <v>0</v>
      </c>
      <c r="M1019" s="10">
        <v>0</v>
      </c>
      <c r="N1019" s="10">
        <v>0.40000001000000002</v>
      </c>
      <c r="O1019" s="8" t="s">
        <v>57</v>
      </c>
      <c r="P1019" s="8" t="s">
        <v>31</v>
      </c>
      <c r="Q1019" s="8" t="s">
        <v>31</v>
      </c>
      <c r="R1019" s="8" t="s">
        <v>31</v>
      </c>
      <c r="S1019" s="8" t="s">
        <v>31</v>
      </c>
      <c r="T1019" s="8" t="s">
        <v>31</v>
      </c>
      <c r="U1019" s="8" t="s">
        <v>31</v>
      </c>
      <c r="V1019" s="8" t="s">
        <v>31</v>
      </c>
      <c r="W1019" s="8" t="str">
        <f>_xlfn.IFNA(VLOOKUP(A1019,[1]Sheet1!$A$1:$B$101,1,FALSE),"na")</f>
        <v>na</v>
      </c>
      <c r="X1019" s="8" t="s">
        <v>35</v>
      </c>
      <c r="Y1019" s="9">
        <v>406</v>
      </c>
      <c r="Z1019" s="9">
        <v>169.16666000000001</v>
      </c>
      <c r="AA1019" s="9">
        <v>406</v>
      </c>
      <c r="AB1019" s="9">
        <v>290</v>
      </c>
    </row>
    <row r="1020" spans="1:28" x14ac:dyDescent="0.25">
      <c r="A1020" s="8" t="s">
        <v>2127</v>
      </c>
      <c r="B1020" s="8" t="s">
        <v>2128</v>
      </c>
      <c r="C1020" s="8" t="s">
        <v>30</v>
      </c>
      <c r="D1020" s="10">
        <v>2.4000001000000002</v>
      </c>
      <c r="E1020" s="10">
        <v>1</v>
      </c>
      <c r="F1020" s="10">
        <v>1.4</v>
      </c>
      <c r="G1020" s="10">
        <v>1</v>
      </c>
      <c r="H1020" s="10">
        <v>1.4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0.40000001000000002</v>
      </c>
      <c r="O1020" s="8" t="s">
        <v>57</v>
      </c>
      <c r="P1020" s="8" t="s">
        <v>31</v>
      </c>
      <c r="Q1020" s="8" t="s">
        <v>31</v>
      </c>
      <c r="R1020" s="8" t="s">
        <v>31</v>
      </c>
      <c r="S1020" s="8" t="s">
        <v>31</v>
      </c>
      <c r="T1020" s="8" t="s">
        <v>31</v>
      </c>
      <c r="U1020" s="8" t="s">
        <v>31</v>
      </c>
      <c r="V1020" s="8" t="s">
        <v>31</v>
      </c>
      <c r="W1020" s="8" t="str">
        <f>_xlfn.IFNA(VLOOKUP(A1020,[1]Sheet1!$A$1:$B$101,1,FALSE),"na")</f>
        <v>na</v>
      </c>
      <c r="X1020" s="8" t="s">
        <v>35</v>
      </c>
      <c r="Y1020" s="9">
        <v>503</v>
      </c>
      <c r="Z1020" s="9">
        <v>209.58332999999999</v>
      </c>
      <c r="AA1020" s="9">
        <v>503</v>
      </c>
      <c r="AB1020" s="9">
        <v>359.28570999999999</v>
      </c>
    </row>
    <row r="1021" spans="1:28" x14ac:dyDescent="0.25">
      <c r="A1021" s="8" t="s">
        <v>2129</v>
      </c>
      <c r="B1021" s="8" t="s">
        <v>2130</v>
      </c>
      <c r="C1021" s="8" t="s">
        <v>30</v>
      </c>
      <c r="D1021" s="10">
        <v>2.4000001000000002</v>
      </c>
      <c r="E1021" s="10">
        <v>2</v>
      </c>
      <c r="F1021" s="10">
        <v>0.40000001000000002</v>
      </c>
      <c r="G1021" s="10">
        <v>2</v>
      </c>
      <c r="H1021" s="10">
        <v>0.40000001000000002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0.40000001000000002</v>
      </c>
      <c r="O1021" s="8" t="s">
        <v>31</v>
      </c>
      <c r="P1021" s="8" t="s">
        <v>31</v>
      </c>
      <c r="Q1021" s="8" t="s">
        <v>31</v>
      </c>
      <c r="R1021" s="8" t="s">
        <v>31</v>
      </c>
      <c r="S1021" s="8" t="s">
        <v>31</v>
      </c>
      <c r="T1021" s="8" t="s">
        <v>31</v>
      </c>
      <c r="U1021" s="8" t="s">
        <v>31</v>
      </c>
      <c r="V1021" s="8" t="s">
        <v>31</v>
      </c>
      <c r="W1021" s="8" t="str">
        <f>_xlfn.IFNA(VLOOKUP(A1021,[1]Sheet1!$A$1:$B$101,1,FALSE),"na")</f>
        <v>na</v>
      </c>
      <c r="X1021" s="8" t="s">
        <v>35</v>
      </c>
      <c r="Y1021" s="9">
        <v>716</v>
      </c>
      <c r="Z1021" s="9">
        <v>298.33330999999998</v>
      </c>
      <c r="AA1021" s="9">
        <v>358</v>
      </c>
      <c r="AB1021" s="9">
        <v>716</v>
      </c>
    </row>
    <row r="1022" spans="1:28" x14ac:dyDescent="0.25">
      <c r="A1022" s="8" t="s">
        <v>2131</v>
      </c>
      <c r="B1022" s="8" t="s">
        <v>2132</v>
      </c>
      <c r="C1022" s="8" t="s">
        <v>30</v>
      </c>
      <c r="D1022" s="10">
        <v>1.8</v>
      </c>
      <c r="E1022" s="10">
        <v>1</v>
      </c>
      <c r="F1022" s="10">
        <v>0.80000000999999998</v>
      </c>
      <c r="G1022" s="10">
        <v>1</v>
      </c>
      <c r="H1022" s="10">
        <v>0.80000000999999998</v>
      </c>
      <c r="I1022" s="10">
        <v>0</v>
      </c>
      <c r="J1022" s="10">
        <v>0</v>
      </c>
      <c r="K1022" s="10">
        <v>0</v>
      </c>
      <c r="L1022" s="10">
        <v>0.60000001999999997</v>
      </c>
      <c r="M1022" s="10">
        <v>0</v>
      </c>
      <c r="N1022" s="10">
        <v>0.80000000999999998</v>
      </c>
      <c r="O1022" s="8" t="s">
        <v>31</v>
      </c>
      <c r="P1022" s="8" t="s">
        <v>31</v>
      </c>
      <c r="Q1022" s="8" t="s">
        <v>31</v>
      </c>
      <c r="R1022" s="8" t="s">
        <v>31</v>
      </c>
      <c r="S1022" s="8" t="s">
        <v>31</v>
      </c>
      <c r="T1022" s="8" t="s">
        <v>31</v>
      </c>
      <c r="U1022" s="8" t="s">
        <v>31</v>
      </c>
      <c r="V1022" s="8" t="s">
        <v>31</v>
      </c>
      <c r="W1022" s="8" t="str">
        <f>_xlfn.IFNA(VLOOKUP(A1022,[1]Sheet1!$A$1:$B$101,1,FALSE),"na")</f>
        <v>na</v>
      </c>
      <c r="X1022" s="8" t="s">
        <v>35</v>
      </c>
      <c r="Y1022" s="9">
        <v>546</v>
      </c>
      <c r="Z1022" s="9">
        <v>303.33334000000002</v>
      </c>
      <c r="AA1022" s="9">
        <v>546</v>
      </c>
      <c r="AB1022" s="9">
        <v>546</v>
      </c>
    </row>
    <row r="1023" spans="1:28" x14ac:dyDescent="0.25">
      <c r="A1023" s="8" t="s">
        <v>2133</v>
      </c>
      <c r="B1023" s="8" t="s">
        <v>2134</v>
      </c>
      <c r="C1023" s="8" t="s">
        <v>30</v>
      </c>
      <c r="D1023" s="10">
        <v>1.6</v>
      </c>
      <c r="E1023" s="10">
        <v>0</v>
      </c>
      <c r="F1023" s="10">
        <v>1.6</v>
      </c>
      <c r="G1023" s="10">
        <v>0</v>
      </c>
      <c r="H1023" s="10">
        <v>1.6</v>
      </c>
      <c r="I1023" s="10">
        <v>0</v>
      </c>
      <c r="J1023" s="10">
        <v>0</v>
      </c>
      <c r="K1023" s="10">
        <v>0</v>
      </c>
      <c r="L1023" s="10">
        <v>0.40000001000000002</v>
      </c>
      <c r="M1023" s="10">
        <v>0</v>
      </c>
      <c r="N1023" s="10">
        <v>0.60000001999999997</v>
      </c>
      <c r="O1023" s="8" t="s">
        <v>31</v>
      </c>
      <c r="P1023" s="8" t="s">
        <v>31</v>
      </c>
      <c r="Q1023" s="8" t="s">
        <v>31</v>
      </c>
      <c r="R1023" s="8" t="s">
        <v>31</v>
      </c>
      <c r="S1023" s="8" t="s">
        <v>31</v>
      </c>
      <c r="T1023" s="8" t="s">
        <v>31</v>
      </c>
      <c r="U1023" s="8" t="s">
        <v>31</v>
      </c>
      <c r="V1023" s="8" t="s">
        <v>31</v>
      </c>
      <c r="W1023" s="8" t="str">
        <f>_xlfn.IFNA(VLOOKUP(A1023,[1]Sheet1!$A$1:$B$101,1,FALSE),"na")</f>
        <v>na</v>
      </c>
      <c r="X1023" s="8" t="s">
        <v>35</v>
      </c>
      <c r="Y1023" s="9">
        <v>492</v>
      </c>
      <c r="Z1023" s="9">
        <v>307.5</v>
      </c>
      <c r="AA1023" s="9">
        <v>492</v>
      </c>
      <c r="AB1023" s="9">
        <v>307.5</v>
      </c>
    </row>
    <row r="1024" spans="1:28" x14ac:dyDescent="0.25">
      <c r="A1024" s="8" t="s">
        <v>2135</v>
      </c>
      <c r="B1024" s="8" t="s">
        <v>2136</v>
      </c>
      <c r="C1024" s="8" t="s">
        <v>30</v>
      </c>
      <c r="D1024" s="10">
        <v>2.8</v>
      </c>
      <c r="E1024" s="10">
        <v>1</v>
      </c>
      <c r="F1024" s="10">
        <v>1.8</v>
      </c>
      <c r="G1024" s="10">
        <v>1</v>
      </c>
      <c r="H1024" s="10">
        <v>1.8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0.80000000999999998</v>
      </c>
      <c r="O1024" s="8" t="s">
        <v>31</v>
      </c>
      <c r="P1024" s="8" t="s">
        <v>31</v>
      </c>
      <c r="Q1024" s="8" t="s">
        <v>57</v>
      </c>
      <c r="R1024" s="8" t="s">
        <v>31</v>
      </c>
      <c r="S1024" s="8" t="s">
        <v>31</v>
      </c>
      <c r="T1024" s="8" t="s">
        <v>31</v>
      </c>
      <c r="U1024" s="8" t="s">
        <v>31</v>
      </c>
      <c r="V1024" s="8" t="s">
        <v>31</v>
      </c>
      <c r="W1024" s="8" t="str">
        <f>_xlfn.IFNA(VLOOKUP(A1024,[1]Sheet1!$A$1:$B$101,1,FALSE),"na")</f>
        <v>na</v>
      </c>
      <c r="X1024" s="8" t="s">
        <v>35</v>
      </c>
      <c r="Y1024" s="9">
        <v>489</v>
      </c>
      <c r="Z1024" s="9">
        <v>174.64285000000001</v>
      </c>
      <c r="AA1024" s="9">
        <v>489</v>
      </c>
      <c r="AB1024" s="9">
        <v>271.66669000000002</v>
      </c>
    </row>
    <row r="1025" spans="1:28" x14ac:dyDescent="0.25">
      <c r="A1025" s="8" t="s">
        <v>2137</v>
      </c>
      <c r="B1025" s="8" t="s">
        <v>2138</v>
      </c>
      <c r="C1025" s="8" t="s">
        <v>30</v>
      </c>
      <c r="D1025" s="10">
        <v>1.2</v>
      </c>
      <c r="E1025" s="10">
        <v>0</v>
      </c>
      <c r="F1025" s="10">
        <v>1.2</v>
      </c>
      <c r="G1025" s="10">
        <v>0</v>
      </c>
      <c r="H1025" s="10">
        <v>1.2</v>
      </c>
      <c r="I1025" s="10">
        <v>0</v>
      </c>
      <c r="J1025" s="10">
        <v>0</v>
      </c>
      <c r="K1025" s="10">
        <v>0</v>
      </c>
      <c r="L1025" s="10">
        <v>0.2</v>
      </c>
      <c r="M1025" s="10">
        <v>0</v>
      </c>
      <c r="N1025" s="10">
        <v>0.2</v>
      </c>
      <c r="O1025" s="8" t="s">
        <v>57</v>
      </c>
      <c r="P1025" s="8" t="s">
        <v>31</v>
      </c>
      <c r="Q1025" s="8" t="s">
        <v>31</v>
      </c>
      <c r="R1025" s="8" t="s">
        <v>31</v>
      </c>
      <c r="S1025" s="8" t="s">
        <v>31</v>
      </c>
      <c r="T1025" s="8" t="s">
        <v>31</v>
      </c>
      <c r="U1025" s="8" t="s">
        <v>31</v>
      </c>
      <c r="V1025" s="8" t="s">
        <v>31</v>
      </c>
      <c r="W1025" s="8" t="str">
        <f>_xlfn.IFNA(VLOOKUP(A1025,[1]Sheet1!$A$1:$B$101,1,FALSE),"na")</f>
        <v>na</v>
      </c>
      <c r="X1025" s="8" t="s">
        <v>35</v>
      </c>
      <c r="Y1025" s="9">
        <v>390</v>
      </c>
      <c r="Z1025" s="9">
        <v>325</v>
      </c>
      <c r="AA1025" s="9">
        <v>390</v>
      </c>
      <c r="AB1025" s="9">
        <v>325</v>
      </c>
    </row>
    <row r="1026" spans="1:28" x14ac:dyDescent="0.25">
      <c r="A1026" s="8" t="s">
        <v>2139</v>
      </c>
      <c r="B1026" s="8" t="s">
        <v>2140</v>
      </c>
      <c r="C1026" s="8" t="s">
        <v>30</v>
      </c>
      <c r="D1026" s="10">
        <v>4</v>
      </c>
      <c r="E1026" s="10">
        <v>2</v>
      </c>
      <c r="F1026" s="10">
        <v>2</v>
      </c>
      <c r="G1026" s="10">
        <v>2</v>
      </c>
      <c r="H1026" s="10">
        <v>2</v>
      </c>
      <c r="I1026" s="10">
        <v>0</v>
      </c>
      <c r="J1026" s="10">
        <v>0</v>
      </c>
      <c r="K1026" s="10">
        <v>0</v>
      </c>
      <c r="L1026" s="10">
        <v>1</v>
      </c>
      <c r="M1026" s="10">
        <v>0</v>
      </c>
      <c r="N1026" s="10">
        <v>1</v>
      </c>
      <c r="O1026" s="8" t="s">
        <v>57</v>
      </c>
      <c r="P1026" s="8" t="s">
        <v>31</v>
      </c>
      <c r="Q1026" s="8" t="s">
        <v>31</v>
      </c>
      <c r="R1026" s="8" t="s">
        <v>31</v>
      </c>
      <c r="S1026" s="8" t="s">
        <v>31</v>
      </c>
      <c r="T1026" s="8" t="s">
        <v>31</v>
      </c>
      <c r="U1026" s="8" t="s">
        <v>31</v>
      </c>
      <c r="V1026" s="8" t="s">
        <v>31</v>
      </c>
      <c r="W1026" s="8" t="str">
        <f>_xlfn.IFNA(VLOOKUP(A1026,[1]Sheet1!$A$1:$B$101,1,FALSE),"na")</f>
        <v>na</v>
      </c>
      <c r="X1026" s="8" t="s">
        <v>35</v>
      </c>
      <c r="Y1026" s="9">
        <v>1080</v>
      </c>
      <c r="Z1026" s="9">
        <v>270</v>
      </c>
      <c r="AA1026" s="9">
        <v>540</v>
      </c>
      <c r="AB1026" s="9">
        <v>540</v>
      </c>
    </row>
    <row r="1027" spans="1:28" x14ac:dyDescent="0.25">
      <c r="A1027" s="8" t="s">
        <v>2141</v>
      </c>
      <c r="B1027" s="8" t="s">
        <v>2142</v>
      </c>
      <c r="C1027" s="8" t="s">
        <v>30</v>
      </c>
      <c r="D1027" s="10">
        <v>1.4</v>
      </c>
      <c r="E1027" s="10">
        <v>1</v>
      </c>
      <c r="F1027" s="10">
        <v>0.40000001000000002</v>
      </c>
      <c r="G1027" s="10">
        <v>1</v>
      </c>
      <c r="H1027" s="10">
        <v>0.40000001000000002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0.40000001000000002</v>
      </c>
      <c r="O1027" s="8" t="s">
        <v>31</v>
      </c>
      <c r="P1027" s="8" t="s">
        <v>31</v>
      </c>
      <c r="Q1027" s="8" t="s">
        <v>31</v>
      </c>
      <c r="R1027" s="8" t="s">
        <v>31</v>
      </c>
      <c r="S1027" s="8" t="s">
        <v>31</v>
      </c>
      <c r="T1027" s="8" t="s">
        <v>31</v>
      </c>
      <c r="U1027" s="8" t="s">
        <v>31</v>
      </c>
      <c r="V1027" s="8" t="s">
        <v>31</v>
      </c>
      <c r="W1027" s="8" t="str">
        <f>_xlfn.IFNA(VLOOKUP(A1027,[1]Sheet1!$A$1:$B$101,1,FALSE),"na")</f>
        <v>na</v>
      </c>
      <c r="X1027" s="8" t="s">
        <v>35</v>
      </c>
      <c r="Y1027" s="9">
        <v>333</v>
      </c>
      <c r="Z1027" s="9">
        <v>237.85714999999999</v>
      </c>
      <c r="AA1027" s="9">
        <v>333</v>
      </c>
      <c r="AB1027" s="9">
        <v>333</v>
      </c>
    </row>
    <row r="1028" spans="1:28" x14ac:dyDescent="0.25">
      <c r="A1028" s="8" t="s">
        <v>2143</v>
      </c>
      <c r="B1028" s="8" t="s">
        <v>2144</v>
      </c>
      <c r="C1028" s="8" t="s">
        <v>30</v>
      </c>
      <c r="D1028" s="10">
        <v>1.3</v>
      </c>
      <c r="E1028" s="10">
        <v>1</v>
      </c>
      <c r="F1028" s="10">
        <v>0.30000000999999998</v>
      </c>
      <c r="G1028" s="10">
        <v>1</v>
      </c>
      <c r="H1028" s="10">
        <v>0.30000000999999998</v>
      </c>
      <c r="I1028" s="10">
        <v>0</v>
      </c>
      <c r="J1028" s="10">
        <v>0</v>
      </c>
      <c r="K1028" s="10">
        <v>0</v>
      </c>
      <c r="L1028" s="10">
        <v>0</v>
      </c>
      <c r="M1028" s="10">
        <v>0</v>
      </c>
      <c r="N1028" s="10">
        <v>0.30000000999999998</v>
      </c>
      <c r="O1028" s="8" t="s">
        <v>31</v>
      </c>
      <c r="P1028" s="8" t="s">
        <v>31</v>
      </c>
      <c r="Q1028" s="8" t="s">
        <v>31</v>
      </c>
      <c r="R1028" s="8" t="s">
        <v>31</v>
      </c>
      <c r="S1028" s="8" t="s">
        <v>31</v>
      </c>
      <c r="T1028" s="8" t="s">
        <v>31</v>
      </c>
      <c r="U1028" s="8" t="s">
        <v>31</v>
      </c>
      <c r="V1028" s="8" t="s">
        <v>31</v>
      </c>
      <c r="W1028" s="8" t="str">
        <f>_xlfn.IFNA(VLOOKUP(A1028,[1]Sheet1!$A$1:$B$101,1,FALSE),"na")</f>
        <v>na</v>
      </c>
      <c r="X1028" s="8" t="s">
        <v>35</v>
      </c>
      <c r="Y1028" s="9">
        <v>509</v>
      </c>
      <c r="Z1028" s="9">
        <v>391.53847999999999</v>
      </c>
      <c r="AA1028" s="9">
        <v>509</v>
      </c>
      <c r="AB1028" s="9">
        <v>509</v>
      </c>
    </row>
    <row r="1029" spans="1:28" x14ac:dyDescent="0.25">
      <c r="A1029" s="8" t="s">
        <v>2145</v>
      </c>
      <c r="B1029" s="8" t="s">
        <v>2146</v>
      </c>
      <c r="C1029" s="8" t="s">
        <v>38</v>
      </c>
      <c r="D1029" s="10">
        <v>4.8000002000000004</v>
      </c>
      <c r="E1029" s="10">
        <v>4</v>
      </c>
      <c r="F1029" s="10">
        <v>0.80000000999999998</v>
      </c>
      <c r="G1029" s="10">
        <v>4</v>
      </c>
      <c r="H1029" s="10">
        <v>0.80000000999999998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0.80000000999999998</v>
      </c>
      <c r="O1029" s="8" t="s">
        <v>31</v>
      </c>
      <c r="P1029" s="8" t="s">
        <v>31</v>
      </c>
      <c r="Q1029" s="8" t="s">
        <v>31</v>
      </c>
      <c r="R1029" s="8" t="s">
        <v>31</v>
      </c>
      <c r="S1029" s="8" t="s">
        <v>31</v>
      </c>
      <c r="T1029" s="8" t="s">
        <v>31</v>
      </c>
      <c r="U1029" s="8" t="s">
        <v>31</v>
      </c>
      <c r="V1029" s="8" t="s">
        <v>31</v>
      </c>
      <c r="W1029" s="8" t="str">
        <f>_xlfn.IFNA(VLOOKUP(A1029,[1]Sheet1!$A$1:$B$101,1,FALSE),"na")</f>
        <v>na</v>
      </c>
      <c r="X1029" s="8" t="s">
        <v>35</v>
      </c>
      <c r="Y1029" s="9">
        <v>1514</v>
      </c>
      <c r="Z1029" s="9">
        <v>315.41665999999998</v>
      </c>
      <c r="AA1029" s="9">
        <v>378.5</v>
      </c>
      <c r="AB1029" s="9">
        <v>1514</v>
      </c>
    </row>
    <row r="1030" spans="1:28" x14ac:dyDescent="0.25">
      <c r="A1030" s="8" t="s">
        <v>2147</v>
      </c>
      <c r="B1030" s="8" t="s">
        <v>2148</v>
      </c>
      <c r="C1030" s="8" t="s">
        <v>38</v>
      </c>
      <c r="D1030" s="10">
        <v>3</v>
      </c>
      <c r="E1030" s="10">
        <v>2</v>
      </c>
      <c r="F1030" s="10">
        <v>1</v>
      </c>
      <c r="G1030" s="10">
        <v>2</v>
      </c>
      <c r="H1030" s="10">
        <v>1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1</v>
      </c>
      <c r="O1030" s="8" t="s">
        <v>31</v>
      </c>
      <c r="P1030" s="8" t="s">
        <v>31</v>
      </c>
      <c r="Q1030" s="8" t="s">
        <v>31</v>
      </c>
      <c r="R1030" s="8" t="s">
        <v>31</v>
      </c>
      <c r="S1030" s="8" t="s">
        <v>31</v>
      </c>
      <c r="T1030" s="8" t="s">
        <v>31</v>
      </c>
      <c r="U1030" s="8" t="s">
        <v>31</v>
      </c>
      <c r="V1030" s="8" t="s">
        <v>31</v>
      </c>
      <c r="W1030" s="8" t="str">
        <f>_xlfn.IFNA(VLOOKUP(A1030,[1]Sheet1!$A$1:$B$101,1,FALSE),"na")</f>
        <v>na</v>
      </c>
      <c r="X1030" s="8" t="s">
        <v>35</v>
      </c>
      <c r="Y1030" s="9">
        <v>933</v>
      </c>
      <c r="Z1030" s="9">
        <v>311</v>
      </c>
      <c r="AA1030" s="9">
        <v>466.5</v>
      </c>
      <c r="AB1030" s="9">
        <v>933</v>
      </c>
    </row>
    <row r="1031" spans="1:28" x14ac:dyDescent="0.25">
      <c r="A1031" s="8" t="s">
        <v>2149</v>
      </c>
      <c r="B1031" s="8" t="s">
        <v>2150</v>
      </c>
      <c r="C1031" s="8" t="s">
        <v>30</v>
      </c>
      <c r="D1031" s="10">
        <v>2.2000000000000002</v>
      </c>
      <c r="E1031" s="10">
        <v>2</v>
      </c>
      <c r="F1031" s="10">
        <v>0.2</v>
      </c>
      <c r="G1031" s="10">
        <v>2</v>
      </c>
      <c r="H1031" s="10">
        <v>0.2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  <c r="N1031" s="10">
        <v>0.2</v>
      </c>
      <c r="O1031" s="8" t="s">
        <v>31</v>
      </c>
      <c r="P1031" s="8" t="s">
        <v>31</v>
      </c>
      <c r="Q1031" s="8" t="s">
        <v>31</v>
      </c>
      <c r="R1031" s="8" t="s">
        <v>31</v>
      </c>
      <c r="S1031" s="8" t="s">
        <v>31</v>
      </c>
      <c r="T1031" s="8" t="s">
        <v>31</v>
      </c>
      <c r="U1031" s="8" t="s">
        <v>31</v>
      </c>
      <c r="V1031" s="8" t="s">
        <v>31</v>
      </c>
      <c r="W1031" s="8" t="str">
        <f>_xlfn.IFNA(VLOOKUP(A1031,[1]Sheet1!$A$1:$B$101,1,FALSE),"na")</f>
        <v>na</v>
      </c>
      <c r="X1031" s="8" t="s">
        <v>35</v>
      </c>
      <c r="Y1031" s="9">
        <v>900</v>
      </c>
      <c r="Z1031" s="9">
        <v>409.09091000000001</v>
      </c>
      <c r="AA1031" s="9">
        <v>450</v>
      </c>
      <c r="AB1031" s="9">
        <v>900</v>
      </c>
    </row>
    <row r="1032" spans="1:28" x14ac:dyDescent="0.25">
      <c r="A1032" s="8" t="s">
        <v>2151</v>
      </c>
      <c r="B1032" s="8" t="s">
        <v>2152</v>
      </c>
      <c r="C1032" s="8" t="s">
        <v>30</v>
      </c>
      <c r="D1032" s="10">
        <v>2.8</v>
      </c>
      <c r="E1032" s="10">
        <v>1</v>
      </c>
      <c r="F1032" s="10">
        <v>1.8</v>
      </c>
      <c r="G1032" s="10">
        <v>1</v>
      </c>
      <c r="H1032" s="10">
        <v>1.8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0.80000000999999998</v>
      </c>
      <c r="O1032" s="8" t="s">
        <v>31</v>
      </c>
      <c r="P1032" s="8" t="s">
        <v>31</v>
      </c>
      <c r="Q1032" s="8" t="s">
        <v>31</v>
      </c>
      <c r="R1032" s="8" t="s">
        <v>31</v>
      </c>
      <c r="S1032" s="8" t="s">
        <v>31</v>
      </c>
      <c r="T1032" s="8" t="s">
        <v>31</v>
      </c>
      <c r="U1032" s="8" t="s">
        <v>31</v>
      </c>
      <c r="V1032" s="8" t="s">
        <v>31</v>
      </c>
      <c r="W1032" s="8" t="str">
        <f>_xlfn.IFNA(VLOOKUP(A1032,[1]Sheet1!$A$1:$B$101,1,FALSE),"na")</f>
        <v>na</v>
      </c>
      <c r="X1032" s="8" t="s">
        <v>35</v>
      </c>
      <c r="Y1032" s="9">
        <v>706</v>
      </c>
      <c r="Z1032" s="9">
        <v>252.14286999999999</v>
      </c>
      <c r="AA1032" s="9">
        <v>706</v>
      </c>
      <c r="AB1032" s="9">
        <v>392.22223000000002</v>
      </c>
    </row>
    <row r="1033" spans="1:28" x14ac:dyDescent="0.25">
      <c r="A1033" s="8" t="s">
        <v>2153</v>
      </c>
      <c r="B1033" s="8" t="s">
        <v>2154</v>
      </c>
      <c r="C1033" s="8" t="s">
        <v>67</v>
      </c>
      <c r="D1033" s="10">
        <v>5</v>
      </c>
      <c r="E1033" s="10">
        <v>5</v>
      </c>
      <c r="F1033" s="10">
        <v>0</v>
      </c>
      <c r="G1033" s="10">
        <v>5</v>
      </c>
      <c r="H1033" s="10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8" t="s">
        <v>31</v>
      </c>
      <c r="P1033" s="8" t="s">
        <v>31</v>
      </c>
      <c r="Q1033" s="8" t="s">
        <v>31</v>
      </c>
      <c r="R1033" s="8" t="s">
        <v>31</v>
      </c>
      <c r="S1033" s="8" t="s">
        <v>31</v>
      </c>
      <c r="T1033" s="8" t="s">
        <v>31</v>
      </c>
      <c r="U1033" s="8" t="s">
        <v>31</v>
      </c>
      <c r="V1033" s="8" t="s">
        <v>31</v>
      </c>
      <c r="W1033" s="8" t="str">
        <f>_xlfn.IFNA(VLOOKUP(A1033,[1]Sheet1!$A$1:$B$101,1,FALSE),"na")</f>
        <v>na</v>
      </c>
      <c r="X1033" s="8" t="s">
        <v>35</v>
      </c>
      <c r="Y1033" s="9">
        <v>1446</v>
      </c>
      <c r="Z1033" s="9">
        <v>289.20001000000002</v>
      </c>
      <c r="AA1033" s="9">
        <v>289.20001000000002</v>
      </c>
      <c r="AB1033" s="9">
        <v>1446</v>
      </c>
    </row>
    <row r="1034" spans="1:28" x14ac:dyDescent="0.25">
      <c r="A1034" s="8" t="s">
        <v>2155</v>
      </c>
      <c r="B1034" s="8" t="s">
        <v>2156</v>
      </c>
      <c r="C1034" s="8" t="s">
        <v>30</v>
      </c>
      <c r="D1034" s="10">
        <v>2.2999999999999998</v>
      </c>
      <c r="E1034" s="10">
        <v>1</v>
      </c>
      <c r="F1034" s="10">
        <v>1.3</v>
      </c>
      <c r="G1034" s="10">
        <v>1</v>
      </c>
      <c r="H1034" s="10">
        <v>1.3</v>
      </c>
      <c r="I1034" s="10">
        <v>0</v>
      </c>
      <c r="J1034" s="10">
        <v>0</v>
      </c>
      <c r="K1034" s="10">
        <v>0</v>
      </c>
      <c r="L1034" s="10">
        <v>0</v>
      </c>
      <c r="M1034" s="10">
        <v>0</v>
      </c>
      <c r="N1034" s="10">
        <v>0.30000000999999998</v>
      </c>
      <c r="O1034" s="8" t="s">
        <v>57</v>
      </c>
      <c r="P1034" s="8" t="s">
        <v>31</v>
      </c>
      <c r="Q1034" s="8" t="s">
        <v>31</v>
      </c>
      <c r="R1034" s="8" t="s">
        <v>31</v>
      </c>
      <c r="S1034" s="8" t="s">
        <v>31</v>
      </c>
      <c r="T1034" s="8" t="s">
        <v>31</v>
      </c>
      <c r="U1034" s="8" t="s">
        <v>31</v>
      </c>
      <c r="V1034" s="8" t="s">
        <v>31</v>
      </c>
      <c r="W1034" s="8" t="str">
        <f>_xlfn.IFNA(VLOOKUP(A1034,[1]Sheet1!$A$1:$B$101,1,FALSE),"na")</f>
        <v>na</v>
      </c>
      <c r="X1034" s="8" t="s">
        <v>35</v>
      </c>
      <c r="Y1034" s="9">
        <v>603</v>
      </c>
      <c r="Z1034" s="9">
        <v>262.17392000000001</v>
      </c>
      <c r="AA1034" s="9">
        <v>603</v>
      </c>
      <c r="AB1034" s="9">
        <v>463.84616</v>
      </c>
    </row>
    <row r="1035" spans="1:28" x14ac:dyDescent="0.25">
      <c r="A1035" s="8" t="s">
        <v>2157</v>
      </c>
      <c r="B1035" s="8" t="s">
        <v>2158</v>
      </c>
      <c r="C1035" s="8" t="s">
        <v>67</v>
      </c>
      <c r="D1035" s="10">
        <v>2</v>
      </c>
      <c r="E1035" s="10">
        <v>1</v>
      </c>
      <c r="F1035" s="10">
        <v>1</v>
      </c>
      <c r="G1035" s="10">
        <v>1</v>
      </c>
      <c r="H1035" s="10">
        <v>1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8" t="s">
        <v>57</v>
      </c>
      <c r="P1035" s="8" t="s">
        <v>31</v>
      </c>
      <c r="Q1035" s="8" t="s">
        <v>31</v>
      </c>
      <c r="R1035" s="8" t="s">
        <v>31</v>
      </c>
      <c r="S1035" s="8" t="s">
        <v>31</v>
      </c>
      <c r="T1035" s="8" t="s">
        <v>31</v>
      </c>
      <c r="U1035" s="8" t="s">
        <v>31</v>
      </c>
      <c r="V1035" s="8" t="s">
        <v>31</v>
      </c>
      <c r="W1035" s="8" t="str">
        <f>_xlfn.IFNA(VLOOKUP(A1035,[1]Sheet1!$A$1:$B$101,1,FALSE),"na")</f>
        <v>na</v>
      </c>
      <c r="X1035" s="8" t="s">
        <v>35</v>
      </c>
      <c r="Y1035" s="9">
        <v>397</v>
      </c>
      <c r="Z1035" s="9">
        <v>198.5</v>
      </c>
      <c r="AA1035" s="9">
        <v>397</v>
      </c>
      <c r="AB1035" s="9">
        <v>397</v>
      </c>
    </row>
    <row r="1036" spans="1:28" x14ac:dyDescent="0.25">
      <c r="A1036" s="8" t="s">
        <v>2159</v>
      </c>
      <c r="B1036" s="8" t="s">
        <v>2160</v>
      </c>
      <c r="C1036" s="8" t="s">
        <v>30</v>
      </c>
      <c r="D1036" s="10">
        <v>2.2000000000000002</v>
      </c>
      <c r="E1036" s="10">
        <v>1</v>
      </c>
      <c r="F1036" s="10">
        <v>1.2</v>
      </c>
      <c r="G1036" s="10">
        <v>1</v>
      </c>
      <c r="H1036" s="10">
        <v>1.2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0.2</v>
      </c>
      <c r="O1036" s="8" t="s">
        <v>57</v>
      </c>
      <c r="P1036" s="8" t="s">
        <v>31</v>
      </c>
      <c r="Q1036" s="8" t="s">
        <v>31</v>
      </c>
      <c r="R1036" s="8" t="s">
        <v>31</v>
      </c>
      <c r="S1036" s="8" t="s">
        <v>31</v>
      </c>
      <c r="T1036" s="8" t="s">
        <v>31</v>
      </c>
      <c r="U1036" s="8" t="s">
        <v>31</v>
      </c>
      <c r="V1036" s="8" t="s">
        <v>31</v>
      </c>
      <c r="W1036" s="8" t="str">
        <f>_xlfn.IFNA(VLOOKUP(A1036,[1]Sheet1!$A$1:$B$101,1,FALSE),"na")</f>
        <v>na</v>
      </c>
      <c r="X1036" s="8" t="s">
        <v>35</v>
      </c>
      <c r="Y1036" s="9">
        <v>227</v>
      </c>
      <c r="Z1036" s="9">
        <v>103.18182</v>
      </c>
      <c r="AA1036" s="9">
        <v>227</v>
      </c>
      <c r="AB1036" s="9">
        <v>189.16666000000001</v>
      </c>
    </row>
    <row r="1037" spans="1:28" x14ac:dyDescent="0.25">
      <c r="A1037" s="8" t="s">
        <v>2161</v>
      </c>
      <c r="B1037" s="8" t="s">
        <v>2162</v>
      </c>
      <c r="C1037" s="8" t="s">
        <v>30</v>
      </c>
      <c r="D1037" s="10">
        <v>1.4</v>
      </c>
      <c r="E1037" s="10">
        <v>1</v>
      </c>
      <c r="F1037" s="10">
        <v>0.40000001000000002</v>
      </c>
      <c r="G1037" s="10">
        <v>1</v>
      </c>
      <c r="H1037" s="10">
        <v>0.40000001000000002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0.40000001000000002</v>
      </c>
      <c r="O1037" s="8" t="s">
        <v>31</v>
      </c>
      <c r="P1037" s="8" t="s">
        <v>31</v>
      </c>
      <c r="Q1037" s="8" t="s">
        <v>31</v>
      </c>
      <c r="R1037" s="8" t="s">
        <v>31</v>
      </c>
      <c r="S1037" s="8" t="s">
        <v>31</v>
      </c>
      <c r="T1037" s="8" t="s">
        <v>31</v>
      </c>
      <c r="U1037" s="8" t="s">
        <v>31</v>
      </c>
      <c r="V1037" s="8" t="s">
        <v>31</v>
      </c>
      <c r="W1037" s="8" t="str">
        <f>_xlfn.IFNA(VLOOKUP(A1037,[1]Sheet1!$A$1:$B$101,1,FALSE),"na")</f>
        <v>na</v>
      </c>
      <c r="X1037" s="8" t="s">
        <v>35</v>
      </c>
      <c r="Y1037" s="9">
        <v>339</v>
      </c>
      <c r="Z1037" s="9">
        <v>242.14286999999999</v>
      </c>
      <c r="AA1037" s="9">
        <v>339</v>
      </c>
      <c r="AB1037" s="9">
        <v>339</v>
      </c>
    </row>
    <row r="1038" spans="1:28" x14ac:dyDescent="0.25">
      <c r="A1038" s="8" t="s">
        <v>2163</v>
      </c>
      <c r="B1038" s="8" t="s">
        <v>2164</v>
      </c>
      <c r="C1038" s="8" t="s">
        <v>30</v>
      </c>
      <c r="D1038" s="10">
        <v>2.5999998999999998</v>
      </c>
      <c r="E1038" s="10">
        <v>1</v>
      </c>
      <c r="F1038" s="10">
        <v>1.6</v>
      </c>
      <c r="G1038" s="10">
        <v>1</v>
      </c>
      <c r="H1038" s="10">
        <v>1.6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0.60000001999999997</v>
      </c>
      <c r="O1038" s="8" t="s">
        <v>57</v>
      </c>
      <c r="P1038" s="8" t="s">
        <v>31</v>
      </c>
      <c r="Q1038" s="8" t="s">
        <v>31</v>
      </c>
      <c r="R1038" s="8" t="s">
        <v>31</v>
      </c>
      <c r="S1038" s="8" t="s">
        <v>31</v>
      </c>
      <c r="T1038" s="8" t="s">
        <v>31</v>
      </c>
      <c r="U1038" s="8" t="s">
        <v>31</v>
      </c>
      <c r="V1038" s="8" t="s">
        <v>31</v>
      </c>
      <c r="W1038" s="8" t="str">
        <f>_xlfn.IFNA(VLOOKUP(A1038,[1]Sheet1!$A$1:$B$101,1,FALSE),"na")</f>
        <v>na</v>
      </c>
      <c r="X1038" s="8" t="s">
        <v>35</v>
      </c>
      <c r="Y1038" s="9">
        <v>726</v>
      </c>
      <c r="Z1038" s="9">
        <v>279.23077000000001</v>
      </c>
      <c r="AA1038" s="9">
        <v>726</v>
      </c>
      <c r="AB1038" s="9">
        <v>453.75</v>
      </c>
    </row>
    <row r="1039" spans="1:28" x14ac:dyDescent="0.25">
      <c r="A1039" s="8" t="s">
        <v>2165</v>
      </c>
      <c r="B1039" s="8" t="s">
        <v>2166</v>
      </c>
      <c r="C1039" s="8" t="s">
        <v>30</v>
      </c>
      <c r="D1039" s="10">
        <v>2.8</v>
      </c>
      <c r="E1039" s="10">
        <v>2</v>
      </c>
      <c r="F1039" s="10">
        <v>0.80000000999999998</v>
      </c>
      <c r="G1039" s="10">
        <v>2</v>
      </c>
      <c r="H1039" s="10">
        <v>0.80000000999999998</v>
      </c>
      <c r="I1039" s="10">
        <v>0</v>
      </c>
      <c r="J1039" s="10">
        <v>0</v>
      </c>
      <c r="K1039" s="10">
        <v>0</v>
      </c>
      <c r="L1039" s="10">
        <v>0.80000000999999998</v>
      </c>
      <c r="M1039" s="10">
        <v>0</v>
      </c>
      <c r="N1039" s="10">
        <v>0.80000000999999998</v>
      </c>
      <c r="O1039" s="8" t="s">
        <v>31</v>
      </c>
      <c r="P1039" s="8" t="s">
        <v>31</v>
      </c>
      <c r="Q1039" s="8" t="s">
        <v>31</v>
      </c>
      <c r="R1039" s="8" t="s">
        <v>31</v>
      </c>
      <c r="S1039" s="8" t="s">
        <v>31</v>
      </c>
      <c r="T1039" s="8" t="s">
        <v>31</v>
      </c>
      <c r="U1039" s="8" t="s">
        <v>31</v>
      </c>
      <c r="V1039" s="8" t="s">
        <v>31</v>
      </c>
      <c r="W1039" s="8" t="str">
        <f>_xlfn.IFNA(VLOOKUP(A1039,[1]Sheet1!$A$1:$B$101,1,FALSE),"na")</f>
        <v>na</v>
      </c>
      <c r="X1039" s="8" t="s">
        <v>35</v>
      </c>
      <c r="Y1039" s="9">
        <v>811</v>
      </c>
      <c r="Z1039" s="9">
        <v>289.64285000000001</v>
      </c>
      <c r="AA1039" s="9">
        <v>405.5</v>
      </c>
      <c r="AB1039" s="9">
        <v>811</v>
      </c>
    </row>
    <row r="1040" spans="1:28" x14ac:dyDescent="0.25">
      <c r="A1040" s="8" t="s">
        <v>2167</v>
      </c>
      <c r="B1040" s="8" t="s">
        <v>2168</v>
      </c>
      <c r="C1040" s="8" t="s">
        <v>30</v>
      </c>
      <c r="D1040" s="10">
        <v>2.4000001000000002</v>
      </c>
      <c r="E1040" s="10">
        <v>1</v>
      </c>
      <c r="F1040" s="10">
        <v>1.4</v>
      </c>
      <c r="G1040" s="10">
        <v>1</v>
      </c>
      <c r="H1040" s="10">
        <v>1.4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0.40000001000000002</v>
      </c>
      <c r="O1040" s="8" t="s">
        <v>57</v>
      </c>
      <c r="P1040" s="8" t="s">
        <v>31</v>
      </c>
      <c r="Q1040" s="8" t="s">
        <v>31</v>
      </c>
      <c r="R1040" s="8" t="s">
        <v>31</v>
      </c>
      <c r="S1040" s="8" t="s">
        <v>31</v>
      </c>
      <c r="T1040" s="8" t="s">
        <v>31</v>
      </c>
      <c r="U1040" s="8" t="s">
        <v>31</v>
      </c>
      <c r="V1040" s="8" t="s">
        <v>31</v>
      </c>
      <c r="W1040" s="8" t="str">
        <f>_xlfn.IFNA(VLOOKUP(A1040,[1]Sheet1!$A$1:$B$101,1,FALSE),"na")</f>
        <v>na</v>
      </c>
      <c r="X1040" s="8" t="s">
        <v>35</v>
      </c>
      <c r="Y1040" s="9">
        <v>292</v>
      </c>
      <c r="Z1040" s="9">
        <v>121.66665999999999</v>
      </c>
      <c r="AA1040" s="9">
        <v>292</v>
      </c>
      <c r="AB1040" s="9">
        <v>208.57142999999999</v>
      </c>
    </row>
    <row r="1041" spans="1:28" x14ac:dyDescent="0.25">
      <c r="A1041" s="8" t="s">
        <v>2169</v>
      </c>
      <c r="B1041" s="8" t="s">
        <v>2170</v>
      </c>
      <c r="C1041" s="8" t="s">
        <v>67</v>
      </c>
      <c r="D1041" s="10">
        <v>6</v>
      </c>
      <c r="E1041" s="10">
        <v>5</v>
      </c>
      <c r="F1041" s="10">
        <v>1</v>
      </c>
      <c r="G1041" s="10">
        <v>5</v>
      </c>
      <c r="H1041" s="10">
        <v>1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8" t="s">
        <v>31</v>
      </c>
      <c r="P1041" s="8" t="s">
        <v>31</v>
      </c>
      <c r="Q1041" s="8" t="s">
        <v>31</v>
      </c>
      <c r="R1041" s="8" t="s">
        <v>31</v>
      </c>
      <c r="S1041" s="8" t="s">
        <v>31</v>
      </c>
      <c r="T1041" s="8" t="s">
        <v>31</v>
      </c>
      <c r="U1041" s="8" t="s">
        <v>31</v>
      </c>
      <c r="V1041" s="8" t="s">
        <v>31</v>
      </c>
      <c r="W1041" s="8" t="str">
        <f>_xlfn.IFNA(VLOOKUP(A1041,[1]Sheet1!$A$1:$B$101,1,FALSE),"na")</f>
        <v>na</v>
      </c>
      <c r="X1041" s="8" t="s">
        <v>35</v>
      </c>
      <c r="Y1041" s="9">
        <v>861</v>
      </c>
      <c r="Z1041" s="9">
        <v>143.5</v>
      </c>
      <c r="AA1041" s="9">
        <v>172.2</v>
      </c>
      <c r="AB1041" s="9">
        <v>861</v>
      </c>
    </row>
    <row r="1042" spans="1:28" x14ac:dyDescent="0.25">
      <c r="A1042" s="8" t="s">
        <v>2171</v>
      </c>
      <c r="B1042" s="8" t="s">
        <v>2172</v>
      </c>
      <c r="C1042" s="8" t="s">
        <v>30</v>
      </c>
      <c r="D1042" s="10">
        <v>2.8</v>
      </c>
      <c r="E1042" s="10">
        <v>2</v>
      </c>
      <c r="F1042" s="10">
        <v>0.80000000999999998</v>
      </c>
      <c r="G1042" s="10">
        <v>2</v>
      </c>
      <c r="H1042" s="10">
        <v>0.80000000999999998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0.80000000999999998</v>
      </c>
      <c r="O1042" s="8" t="s">
        <v>31</v>
      </c>
      <c r="P1042" s="8" t="s">
        <v>31</v>
      </c>
      <c r="Q1042" s="8" t="s">
        <v>31</v>
      </c>
      <c r="R1042" s="8" t="s">
        <v>31</v>
      </c>
      <c r="S1042" s="8" t="s">
        <v>31</v>
      </c>
      <c r="T1042" s="8" t="s">
        <v>31</v>
      </c>
      <c r="U1042" s="8" t="s">
        <v>31</v>
      </c>
      <c r="V1042" s="8" t="s">
        <v>31</v>
      </c>
      <c r="W1042" s="8" t="str">
        <f>_xlfn.IFNA(VLOOKUP(A1042,[1]Sheet1!$A$1:$B$101,1,FALSE),"na")</f>
        <v>na</v>
      </c>
      <c r="X1042" s="8" t="s">
        <v>35</v>
      </c>
      <c r="Y1042" s="9">
        <v>660</v>
      </c>
      <c r="Z1042" s="9">
        <v>235.71429000000001</v>
      </c>
      <c r="AA1042" s="9">
        <v>330</v>
      </c>
      <c r="AB1042" s="9">
        <v>660</v>
      </c>
    </row>
    <row r="1043" spans="1:28" x14ac:dyDescent="0.25">
      <c r="A1043" s="8" t="s">
        <v>2173</v>
      </c>
      <c r="B1043" s="8" t="s">
        <v>2174</v>
      </c>
      <c r="C1043" s="8" t="s">
        <v>30</v>
      </c>
      <c r="D1043" s="10">
        <v>2</v>
      </c>
      <c r="E1043" s="10">
        <v>1</v>
      </c>
      <c r="F1043" s="10">
        <v>1</v>
      </c>
      <c r="G1043" s="10">
        <v>1</v>
      </c>
      <c r="H1043" s="10">
        <v>1</v>
      </c>
      <c r="I1043" s="10">
        <v>0</v>
      </c>
      <c r="J1043" s="10">
        <v>0</v>
      </c>
      <c r="K1043" s="10">
        <v>0</v>
      </c>
      <c r="L1043" s="10">
        <v>1</v>
      </c>
      <c r="M1043" s="10">
        <v>0</v>
      </c>
      <c r="N1043" s="10">
        <v>1</v>
      </c>
      <c r="O1043" s="8" t="s">
        <v>31</v>
      </c>
      <c r="P1043" s="8" t="s">
        <v>31</v>
      </c>
      <c r="Q1043" s="8" t="s">
        <v>31</v>
      </c>
      <c r="R1043" s="8" t="s">
        <v>31</v>
      </c>
      <c r="S1043" s="8" t="s">
        <v>31</v>
      </c>
      <c r="T1043" s="8" t="s">
        <v>31</v>
      </c>
      <c r="U1043" s="8" t="s">
        <v>31</v>
      </c>
      <c r="V1043" s="8" t="s">
        <v>31</v>
      </c>
      <c r="W1043" s="8" t="str">
        <f>_xlfn.IFNA(VLOOKUP(A1043,[1]Sheet1!$A$1:$B$101,1,FALSE),"na")</f>
        <v>na</v>
      </c>
      <c r="X1043" s="8" t="s">
        <v>35</v>
      </c>
      <c r="Y1043" s="9">
        <v>555</v>
      </c>
      <c r="Z1043" s="9">
        <v>277.5</v>
      </c>
      <c r="AA1043" s="9">
        <v>555</v>
      </c>
      <c r="AB1043" s="9">
        <v>555</v>
      </c>
    </row>
    <row r="1044" spans="1:28" x14ac:dyDescent="0.25">
      <c r="A1044" s="8" t="s">
        <v>2175</v>
      </c>
      <c r="B1044" s="8" t="s">
        <v>2176</v>
      </c>
      <c r="C1044" s="8" t="s">
        <v>444</v>
      </c>
      <c r="D1044" s="10">
        <v>2.2000000000000002</v>
      </c>
      <c r="E1044" s="10">
        <v>1</v>
      </c>
      <c r="F1044" s="10">
        <v>1.2</v>
      </c>
      <c r="G1044" s="10">
        <v>1</v>
      </c>
      <c r="H1044" s="10">
        <v>1.2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0.2</v>
      </c>
      <c r="O1044" s="8" t="s">
        <v>57</v>
      </c>
      <c r="P1044" s="8" t="s">
        <v>31</v>
      </c>
      <c r="Q1044" s="8" t="s">
        <v>31</v>
      </c>
      <c r="R1044" s="8" t="s">
        <v>31</v>
      </c>
      <c r="S1044" s="8" t="s">
        <v>31</v>
      </c>
      <c r="T1044" s="8" t="s">
        <v>31</v>
      </c>
      <c r="U1044" s="8" t="s">
        <v>31</v>
      </c>
      <c r="V1044" s="8" t="s">
        <v>31</v>
      </c>
      <c r="W1044" s="8" t="str">
        <f>_xlfn.IFNA(VLOOKUP(A1044,[1]Sheet1!$A$1:$B$101,1,FALSE),"na")</f>
        <v>na</v>
      </c>
      <c r="X1044" s="8" t="s">
        <v>35</v>
      </c>
      <c r="Y1044" s="9">
        <v>195</v>
      </c>
      <c r="Z1044" s="9">
        <v>88.636359999999996</v>
      </c>
      <c r="AA1044" s="9">
        <v>195</v>
      </c>
      <c r="AB1044" s="9">
        <v>162.5</v>
      </c>
    </row>
    <row r="1045" spans="1:28" x14ac:dyDescent="0.25">
      <c r="A1045" s="8" t="s">
        <v>2177</v>
      </c>
      <c r="B1045" s="8" t="s">
        <v>2178</v>
      </c>
      <c r="C1045" s="8" t="s">
        <v>30</v>
      </c>
      <c r="D1045" s="10">
        <v>1.6</v>
      </c>
      <c r="E1045" s="10">
        <v>1</v>
      </c>
      <c r="F1045" s="10">
        <v>0.60000001999999997</v>
      </c>
      <c r="G1045" s="10">
        <v>1</v>
      </c>
      <c r="H1045" s="10">
        <v>0.60000001999999997</v>
      </c>
      <c r="I1045" s="10">
        <v>0</v>
      </c>
      <c r="J1045" s="10">
        <v>0</v>
      </c>
      <c r="K1045" s="10">
        <v>0</v>
      </c>
      <c r="L1045" s="10">
        <v>0.60000001999999997</v>
      </c>
      <c r="M1045" s="10">
        <v>0</v>
      </c>
      <c r="N1045" s="10">
        <v>0.60000001999999997</v>
      </c>
      <c r="O1045" s="8" t="s">
        <v>31</v>
      </c>
      <c r="P1045" s="8" t="s">
        <v>31</v>
      </c>
      <c r="Q1045" s="8" t="s">
        <v>31</v>
      </c>
      <c r="R1045" s="8" t="s">
        <v>31</v>
      </c>
      <c r="S1045" s="8" t="s">
        <v>31</v>
      </c>
      <c r="T1045" s="8" t="s">
        <v>31</v>
      </c>
      <c r="U1045" s="8" t="s">
        <v>31</v>
      </c>
      <c r="V1045" s="8" t="s">
        <v>31</v>
      </c>
      <c r="W1045" s="8" t="str">
        <f>_xlfn.IFNA(VLOOKUP(A1045,[1]Sheet1!$A$1:$B$101,1,FALSE),"na")</f>
        <v>na</v>
      </c>
      <c r="X1045" s="8" t="s">
        <v>35</v>
      </c>
      <c r="Y1045" s="9">
        <v>388</v>
      </c>
      <c r="Z1045" s="9">
        <v>242.5</v>
      </c>
      <c r="AA1045" s="9">
        <v>388</v>
      </c>
      <c r="AB1045" s="9">
        <v>388</v>
      </c>
    </row>
    <row r="1046" spans="1:28" x14ac:dyDescent="0.25">
      <c r="A1046" s="8" t="s">
        <v>2179</v>
      </c>
      <c r="B1046" s="8" t="s">
        <v>2180</v>
      </c>
      <c r="C1046" s="8" t="s">
        <v>67</v>
      </c>
      <c r="D1046" s="10">
        <v>2</v>
      </c>
      <c r="E1046" s="10">
        <v>1</v>
      </c>
      <c r="F1046" s="10">
        <v>1</v>
      </c>
      <c r="G1046" s="10">
        <v>1</v>
      </c>
      <c r="H1046" s="10">
        <v>1</v>
      </c>
      <c r="I1046" s="10">
        <v>0</v>
      </c>
      <c r="J1046" s="10">
        <v>0</v>
      </c>
      <c r="K1046" s="10">
        <v>0</v>
      </c>
      <c r="L1046" s="10">
        <v>0</v>
      </c>
      <c r="M1046" s="10">
        <v>0</v>
      </c>
      <c r="N1046" s="10">
        <v>0</v>
      </c>
      <c r="O1046" s="8" t="s">
        <v>57</v>
      </c>
      <c r="P1046" s="8" t="s">
        <v>31</v>
      </c>
      <c r="Q1046" s="8" t="s">
        <v>31</v>
      </c>
      <c r="R1046" s="8" t="s">
        <v>31</v>
      </c>
      <c r="S1046" s="8" t="s">
        <v>31</v>
      </c>
      <c r="T1046" s="8" t="s">
        <v>31</v>
      </c>
      <c r="U1046" s="8" t="s">
        <v>31</v>
      </c>
      <c r="V1046" s="8" t="s">
        <v>31</v>
      </c>
      <c r="W1046" s="8" t="str">
        <f>_xlfn.IFNA(VLOOKUP(A1046,[1]Sheet1!$A$1:$B$101,1,FALSE),"na")</f>
        <v>na</v>
      </c>
      <c r="X1046" s="8" t="s">
        <v>35</v>
      </c>
      <c r="Y1046" s="9">
        <v>296</v>
      </c>
      <c r="Z1046" s="9">
        <v>148</v>
      </c>
      <c r="AA1046" s="9">
        <v>296</v>
      </c>
      <c r="AB1046" s="9">
        <v>296</v>
      </c>
    </row>
    <row r="1047" spans="1:28" x14ac:dyDescent="0.25">
      <c r="A1047" s="8" t="s">
        <v>2181</v>
      </c>
      <c r="B1047" s="8" t="s">
        <v>2182</v>
      </c>
      <c r="C1047" s="8" t="s">
        <v>62</v>
      </c>
      <c r="D1047" s="10">
        <v>22.200001</v>
      </c>
      <c r="E1047" s="10">
        <v>19.799999</v>
      </c>
      <c r="F1047" s="10">
        <v>2.4000001000000002</v>
      </c>
      <c r="G1047" s="10">
        <v>18</v>
      </c>
      <c r="H1047" s="10">
        <v>2.4000001000000002</v>
      </c>
      <c r="I1047" s="10">
        <v>1.8</v>
      </c>
      <c r="J1047" s="10">
        <v>0</v>
      </c>
      <c r="K1047" s="10">
        <v>0</v>
      </c>
      <c r="L1047" s="10">
        <v>0</v>
      </c>
      <c r="M1047" s="10">
        <v>0</v>
      </c>
      <c r="N1047" s="10">
        <v>0.40000001000000002</v>
      </c>
      <c r="O1047" s="8" t="s">
        <v>31</v>
      </c>
      <c r="P1047" s="8" t="s">
        <v>31</v>
      </c>
      <c r="Q1047" s="8" t="s">
        <v>31</v>
      </c>
      <c r="R1047" s="8" t="s">
        <v>31</v>
      </c>
      <c r="S1047" s="8" t="s">
        <v>31</v>
      </c>
      <c r="T1047" s="8" t="s">
        <v>31</v>
      </c>
      <c r="U1047" s="8" t="s">
        <v>31</v>
      </c>
      <c r="V1047" s="8" t="s">
        <v>31</v>
      </c>
      <c r="W1047" s="8" t="str">
        <f>_xlfn.IFNA(VLOOKUP(A1047,[1]Sheet1!$A$1:$B$101,1,FALSE),"na")</f>
        <v>na</v>
      </c>
      <c r="X1047" s="8" t="s">
        <v>35</v>
      </c>
      <c r="Y1047" s="9">
        <v>3642</v>
      </c>
      <c r="Z1047" s="9">
        <v>164.05404999999999</v>
      </c>
      <c r="AA1047" s="9">
        <v>183.93941000000001</v>
      </c>
      <c r="AB1047" s="9">
        <v>1517.5</v>
      </c>
    </row>
    <row r="1048" spans="1:28" x14ac:dyDescent="0.25">
      <c r="A1048" s="8" t="s">
        <v>2183</v>
      </c>
      <c r="B1048" s="8" t="s">
        <v>2184</v>
      </c>
      <c r="C1048" s="8" t="s">
        <v>62</v>
      </c>
      <c r="D1048" s="10">
        <v>20.100000000000001</v>
      </c>
      <c r="E1048" s="10">
        <v>18.5</v>
      </c>
      <c r="F1048" s="10">
        <v>1.6</v>
      </c>
      <c r="G1048" s="10">
        <v>18</v>
      </c>
      <c r="H1048" s="10">
        <v>1.6</v>
      </c>
      <c r="I1048" s="10">
        <v>0.5</v>
      </c>
      <c r="J1048" s="10">
        <v>0</v>
      </c>
      <c r="K1048" s="10">
        <v>1</v>
      </c>
      <c r="L1048" s="10">
        <v>0</v>
      </c>
      <c r="M1048" s="10">
        <v>0</v>
      </c>
      <c r="N1048" s="10">
        <v>0.60000001999999997</v>
      </c>
      <c r="O1048" s="8" t="s">
        <v>31</v>
      </c>
      <c r="P1048" s="8" t="s">
        <v>31</v>
      </c>
      <c r="Q1048" s="8" t="s">
        <v>31</v>
      </c>
      <c r="R1048" s="8" t="s">
        <v>31</v>
      </c>
      <c r="S1048" s="8" t="s">
        <v>31</v>
      </c>
      <c r="T1048" s="8" t="s">
        <v>57</v>
      </c>
      <c r="U1048" s="8" t="s">
        <v>31</v>
      </c>
      <c r="V1048" s="8" t="s">
        <v>31</v>
      </c>
      <c r="W1048" s="8" t="str">
        <f>_xlfn.IFNA(VLOOKUP(A1048,[1]Sheet1!$A$1:$B$101,1,FALSE),"na")</f>
        <v>na</v>
      </c>
      <c r="X1048" s="8" t="s">
        <v>35</v>
      </c>
      <c r="Y1048" s="9">
        <v>4005</v>
      </c>
      <c r="Z1048" s="9">
        <v>199.25371999999999</v>
      </c>
      <c r="AA1048" s="9">
        <v>216.48648</v>
      </c>
      <c r="AB1048" s="9">
        <v>2503.125</v>
      </c>
    </row>
    <row r="1049" spans="1:28" x14ac:dyDescent="0.25">
      <c r="A1049" s="8" t="s">
        <v>2185</v>
      </c>
      <c r="B1049" s="8" t="s">
        <v>2186</v>
      </c>
      <c r="C1049" s="8" t="s">
        <v>62</v>
      </c>
      <c r="D1049" s="10">
        <v>4.0999999000000003</v>
      </c>
      <c r="E1049" s="10">
        <v>3</v>
      </c>
      <c r="F1049" s="10">
        <v>1.1000000000000001</v>
      </c>
      <c r="G1049" s="10">
        <v>3</v>
      </c>
      <c r="H1049" s="10">
        <v>1.1000000000000001</v>
      </c>
      <c r="I1049" s="10">
        <v>0</v>
      </c>
      <c r="J1049" s="10">
        <v>0</v>
      </c>
      <c r="K1049" s="10">
        <v>0</v>
      </c>
      <c r="L1049" s="10">
        <v>0</v>
      </c>
      <c r="M1049" s="10">
        <v>0</v>
      </c>
      <c r="N1049" s="10">
        <v>0.1</v>
      </c>
      <c r="O1049" s="8" t="s">
        <v>31</v>
      </c>
      <c r="P1049" s="8" t="s">
        <v>31</v>
      </c>
      <c r="Q1049" s="8" t="s">
        <v>31</v>
      </c>
      <c r="R1049" s="8" t="s">
        <v>31</v>
      </c>
      <c r="S1049" s="8" t="s">
        <v>31</v>
      </c>
      <c r="T1049" s="8" t="s">
        <v>31</v>
      </c>
      <c r="U1049" s="8" t="s">
        <v>31</v>
      </c>
      <c r="V1049" s="8" t="s">
        <v>31</v>
      </c>
      <c r="W1049" s="8" t="str">
        <f>_xlfn.IFNA(VLOOKUP(A1049,[1]Sheet1!$A$1:$B$101,1,FALSE),"na")</f>
        <v>na</v>
      </c>
      <c r="X1049" s="8" t="s">
        <v>35</v>
      </c>
      <c r="Y1049" s="9">
        <v>953</v>
      </c>
      <c r="Z1049" s="9">
        <v>232.43903</v>
      </c>
      <c r="AA1049" s="9">
        <v>317.66665999999998</v>
      </c>
      <c r="AB1049" s="9">
        <v>866.36365000000001</v>
      </c>
    </row>
    <row r="1050" spans="1:28" x14ac:dyDescent="0.25">
      <c r="A1050" s="8" t="s">
        <v>2187</v>
      </c>
      <c r="B1050" s="8" t="s">
        <v>2188</v>
      </c>
      <c r="C1050" s="8" t="s">
        <v>62</v>
      </c>
      <c r="D1050" s="10">
        <v>3</v>
      </c>
      <c r="E1050" s="10">
        <v>2</v>
      </c>
      <c r="F1050" s="10">
        <v>1</v>
      </c>
      <c r="G1050" s="10">
        <v>2</v>
      </c>
      <c r="H1050" s="10">
        <v>1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8" t="s">
        <v>31</v>
      </c>
      <c r="P1050" s="8" t="s">
        <v>31</v>
      </c>
      <c r="Q1050" s="8" t="s">
        <v>31</v>
      </c>
      <c r="R1050" s="8" t="s">
        <v>31</v>
      </c>
      <c r="S1050" s="8" t="s">
        <v>31</v>
      </c>
      <c r="T1050" s="8" t="s">
        <v>31</v>
      </c>
      <c r="U1050" s="8" t="s">
        <v>31</v>
      </c>
      <c r="V1050" s="8" t="s">
        <v>31</v>
      </c>
      <c r="W1050" s="8" t="str">
        <f>_xlfn.IFNA(VLOOKUP(A1050,[1]Sheet1!$A$1:$B$101,1,FALSE),"na")</f>
        <v>na</v>
      </c>
      <c r="X1050" s="8" t="s">
        <v>35</v>
      </c>
      <c r="Y1050" s="9">
        <v>635</v>
      </c>
      <c r="Z1050" s="9">
        <v>211.66667000000001</v>
      </c>
      <c r="AA1050" s="9">
        <v>317.5</v>
      </c>
      <c r="AB1050" s="9">
        <v>635</v>
      </c>
    </row>
    <row r="1051" spans="1:28" x14ac:dyDescent="0.25">
      <c r="A1051" s="8" t="s">
        <v>2189</v>
      </c>
      <c r="B1051" s="8" t="s">
        <v>2190</v>
      </c>
      <c r="C1051" s="8" t="s">
        <v>62</v>
      </c>
      <c r="D1051" s="10">
        <v>3.2</v>
      </c>
      <c r="E1051" s="10">
        <v>3</v>
      </c>
      <c r="F1051" s="10">
        <v>0.2</v>
      </c>
      <c r="G1051" s="10">
        <v>3</v>
      </c>
      <c r="H1051" s="10">
        <v>0.2</v>
      </c>
      <c r="I1051" s="10">
        <v>0</v>
      </c>
      <c r="J1051" s="10">
        <v>0</v>
      </c>
      <c r="K1051" s="10">
        <v>1</v>
      </c>
      <c r="L1051" s="10">
        <v>0</v>
      </c>
      <c r="M1051" s="10">
        <v>0</v>
      </c>
      <c r="N1051" s="10">
        <v>0.2</v>
      </c>
      <c r="O1051" s="8" t="s">
        <v>31</v>
      </c>
      <c r="P1051" s="8" t="s">
        <v>57</v>
      </c>
      <c r="Q1051" s="8" t="s">
        <v>31</v>
      </c>
      <c r="R1051" s="8" t="s">
        <v>31</v>
      </c>
      <c r="S1051" s="8" t="s">
        <v>31</v>
      </c>
      <c r="T1051" s="8" t="s">
        <v>31</v>
      </c>
      <c r="U1051" s="8" t="s">
        <v>31</v>
      </c>
      <c r="V1051" s="8" t="s">
        <v>31</v>
      </c>
      <c r="W1051" s="8" t="str">
        <f>_xlfn.IFNA(VLOOKUP(A1051,[1]Sheet1!$A$1:$B$101,1,FALSE),"na")</f>
        <v>na</v>
      </c>
      <c r="X1051" s="8" t="s">
        <v>426</v>
      </c>
      <c r="Y1051" s="9">
        <v>480</v>
      </c>
      <c r="Z1051" s="9">
        <v>150</v>
      </c>
      <c r="AA1051" s="9">
        <v>160</v>
      </c>
      <c r="AB1051" s="9">
        <v>480</v>
      </c>
    </row>
    <row r="1052" spans="1:28" x14ac:dyDescent="0.25">
      <c r="A1052" s="8" t="s">
        <v>2191</v>
      </c>
      <c r="B1052" s="8" t="s">
        <v>2192</v>
      </c>
      <c r="C1052" s="8" t="s">
        <v>62</v>
      </c>
      <c r="D1052" s="10">
        <v>3.2</v>
      </c>
      <c r="E1052" s="10">
        <v>2</v>
      </c>
      <c r="F1052" s="10">
        <v>1.2</v>
      </c>
      <c r="G1052" s="10">
        <v>2</v>
      </c>
      <c r="H1052" s="10">
        <v>1.2</v>
      </c>
      <c r="I1052" s="10">
        <v>0</v>
      </c>
      <c r="J1052" s="10">
        <v>0</v>
      </c>
      <c r="K1052" s="10">
        <v>0</v>
      </c>
      <c r="L1052" s="10">
        <v>0</v>
      </c>
      <c r="M1052" s="10">
        <v>0</v>
      </c>
      <c r="N1052" s="10">
        <v>0.2</v>
      </c>
      <c r="O1052" s="8" t="s">
        <v>57</v>
      </c>
      <c r="P1052" s="8" t="s">
        <v>31</v>
      </c>
      <c r="Q1052" s="8" t="s">
        <v>31</v>
      </c>
      <c r="R1052" s="8" t="s">
        <v>31</v>
      </c>
      <c r="S1052" s="8" t="s">
        <v>31</v>
      </c>
      <c r="T1052" s="8" t="s">
        <v>31</v>
      </c>
      <c r="U1052" s="8" t="s">
        <v>31</v>
      </c>
      <c r="V1052" s="8" t="s">
        <v>31</v>
      </c>
      <c r="W1052" s="8" t="str">
        <f>_xlfn.IFNA(VLOOKUP(A1052,[1]Sheet1!$A$1:$B$101,1,FALSE),"na")</f>
        <v>na</v>
      </c>
      <c r="X1052" s="8" t="s">
        <v>35</v>
      </c>
      <c r="Y1052" s="9">
        <v>186</v>
      </c>
      <c r="Z1052" s="9">
        <v>58.125</v>
      </c>
      <c r="AA1052" s="9">
        <v>93</v>
      </c>
      <c r="AB1052" s="9">
        <v>155</v>
      </c>
    </row>
    <row r="1053" spans="1:28" x14ac:dyDescent="0.25">
      <c r="A1053" s="8" t="s">
        <v>2193</v>
      </c>
      <c r="B1053" s="8" t="s">
        <v>2194</v>
      </c>
      <c r="C1053" s="8" t="s">
        <v>30</v>
      </c>
      <c r="D1053" s="10">
        <v>2.2000000000000002</v>
      </c>
      <c r="E1053" s="10">
        <v>1</v>
      </c>
      <c r="F1053" s="10">
        <v>1.2</v>
      </c>
      <c r="G1053" s="10">
        <v>1</v>
      </c>
      <c r="H1053" s="10">
        <v>1.2</v>
      </c>
      <c r="I1053" s="10">
        <v>0</v>
      </c>
      <c r="J1053" s="10">
        <v>0</v>
      </c>
      <c r="K1053" s="10">
        <v>0</v>
      </c>
      <c r="L1053" s="10">
        <v>0.2</v>
      </c>
      <c r="M1053" s="10">
        <v>0</v>
      </c>
      <c r="N1053" s="10">
        <v>0.2</v>
      </c>
      <c r="O1053" s="8" t="s">
        <v>57</v>
      </c>
      <c r="P1053" s="8" t="s">
        <v>31</v>
      </c>
      <c r="Q1053" s="8" t="s">
        <v>31</v>
      </c>
      <c r="R1053" s="8" t="s">
        <v>31</v>
      </c>
      <c r="S1053" s="8" t="s">
        <v>31</v>
      </c>
      <c r="T1053" s="8" t="s">
        <v>31</v>
      </c>
      <c r="U1053" s="8" t="s">
        <v>31</v>
      </c>
      <c r="V1053" s="8" t="s">
        <v>31</v>
      </c>
      <c r="W1053" s="8" t="str">
        <f>_xlfn.IFNA(VLOOKUP(A1053,[1]Sheet1!$A$1:$B$101,1,FALSE),"na")</f>
        <v>na</v>
      </c>
      <c r="X1053" s="8" t="s">
        <v>35</v>
      </c>
      <c r="Y1053" s="9">
        <v>421</v>
      </c>
      <c r="Z1053" s="9">
        <v>191.36363</v>
      </c>
      <c r="AA1053" s="9">
        <v>421</v>
      </c>
      <c r="AB1053" s="9">
        <v>350.83330999999998</v>
      </c>
    </row>
    <row r="1054" spans="1:28" x14ac:dyDescent="0.25">
      <c r="A1054" s="8" t="s">
        <v>2195</v>
      </c>
      <c r="B1054" s="8" t="s">
        <v>2196</v>
      </c>
      <c r="C1054" s="8" t="s">
        <v>67</v>
      </c>
      <c r="D1054" s="10">
        <v>2.2000000000000002</v>
      </c>
      <c r="E1054" s="10">
        <v>1</v>
      </c>
      <c r="F1054" s="10">
        <v>1.2</v>
      </c>
      <c r="G1054" s="10">
        <v>1</v>
      </c>
      <c r="H1054" s="10">
        <v>1.2</v>
      </c>
      <c r="I1054" s="10">
        <v>0</v>
      </c>
      <c r="J1054" s="10">
        <v>0</v>
      </c>
      <c r="K1054" s="10">
        <v>0</v>
      </c>
      <c r="L1054" s="10">
        <v>0.2</v>
      </c>
      <c r="M1054" s="10">
        <v>0</v>
      </c>
      <c r="N1054" s="10">
        <v>0.2</v>
      </c>
      <c r="O1054" s="8" t="s">
        <v>57</v>
      </c>
      <c r="P1054" s="8" t="s">
        <v>31</v>
      </c>
      <c r="Q1054" s="8" t="s">
        <v>31</v>
      </c>
      <c r="R1054" s="8" t="s">
        <v>31</v>
      </c>
      <c r="S1054" s="8" t="s">
        <v>31</v>
      </c>
      <c r="T1054" s="8" t="s">
        <v>31</v>
      </c>
      <c r="U1054" s="8" t="s">
        <v>31</v>
      </c>
      <c r="V1054" s="8" t="s">
        <v>31</v>
      </c>
      <c r="W1054" s="8" t="str">
        <f>_xlfn.IFNA(VLOOKUP(A1054,[1]Sheet1!$A$1:$B$101,1,FALSE),"na")</f>
        <v>na</v>
      </c>
      <c r="X1054" s="8" t="s">
        <v>35</v>
      </c>
      <c r="Y1054" s="9">
        <v>336</v>
      </c>
      <c r="Z1054" s="9">
        <v>152.72726</v>
      </c>
      <c r="AA1054" s="9">
        <v>336</v>
      </c>
      <c r="AB1054" s="9">
        <v>280</v>
      </c>
    </row>
    <row r="1055" spans="1:28" x14ac:dyDescent="0.25">
      <c r="A1055" s="8" t="s">
        <v>2197</v>
      </c>
      <c r="B1055" s="8" t="s">
        <v>2198</v>
      </c>
      <c r="C1055" s="8" t="s">
        <v>30</v>
      </c>
      <c r="D1055" s="10">
        <v>1.2</v>
      </c>
      <c r="E1055" s="10">
        <v>1</v>
      </c>
      <c r="F1055" s="10">
        <v>0.2</v>
      </c>
      <c r="G1055" s="10">
        <v>1</v>
      </c>
      <c r="H1055" s="10">
        <v>0.2</v>
      </c>
      <c r="I1055" s="10">
        <v>0</v>
      </c>
      <c r="J1055" s="10">
        <v>0</v>
      </c>
      <c r="K1055" s="10">
        <v>0</v>
      </c>
      <c r="L1055" s="10">
        <v>0</v>
      </c>
      <c r="M1055" s="10">
        <v>0</v>
      </c>
      <c r="N1055" s="10">
        <v>0.2</v>
      </c>
      <c r="O1055" s="8" t="s">
        <v>31</v>
      </c>
      <c r="P1055" s="8" t="s">
        <v>31</v>
      </c>
      <c r="Q1055" s="8" t="s">
        <v>31</v>
      </c>
      <c r="R1055" s="8" t="s">
        <v>31</v>
      </c>
      <c r="S1055" s="8" t="s">
        <v>31</v>
      </c>
      <c r="T1055" s="8" t="s">
        <v>31</v>
      </c>
      <c r="U1055" s="8" t="s">
        <v>31</v>
      </c>
      <c r="V1055" s="8" t="s">
        <v>31</v>
      </c>
      <c r="W1055" s="8" t="str">
        <f>_xlfn.IFNA(VLOOKUP(A1055,[1]Sheet1!$A$1:$B$101,1,FALSE),"na")</f>
        <v>na</v>
      </c>
      <c r="X1055" s="8" t="s">
        <v>35</v>
      </c>
      <c r="Y1055" s="9">
        <v>160</v>
      </c>
      <c r="Z1055" s="9">
        <v>133.33332999999999</v>
      </c>
      <c r="AA1055" s="9">
        <v>160</v>
      </c>
      <c r="AB1055" s="9">
        <v>160</v>
      </c>
    </row>
    <row r="1056" spans="1:28" x14ac:dyDescent="0.25">
      <c r="A1056" s="8" t="s">
        <v>2199</v>
      </c>
      <c r="B1056" s="8" t="s">
        <v>2200</v>
      </c>
      <c r="C1056" s="8" t="s">
        <v>30</v>
      </c>
      <c r="D1056" s="10">
        <v>1.4</v>
      </c>
      <c r="E1056" s="10">
        <v>1</v>
      </c>
      <c r="F1056" s="10">
        <v>0.40000001000000002</v>
      </c>
      <c r="G1056" s="10">
        <v>1</v>
      </c>
      <c r="H1056" s="10">
        <v>0.40000001000000002</v>
      </c>
      <c r="I1056" s="10">
        <v>0</v>
      </c>
      <c r="J1056" s="10">
        <v>0</v>
      </c>
      <c r="K1056" s="10">
        <v>0</v>
      </c>
      <c r="L1056" s="10">
        <v>0</v>
      </c>
      <c r="M1056" s="10">
        <v>0</v>
      </c>
      <c r="N1056" s="10">
        <v>0.40000001000000002</v>
      </c>
      <c r="O1056" s="8" t="s">
        <v>31</v>
      </c>
      <c r="P1056" s="8" t="s">
        <v>31</v>
      </c>
      <c r="Q1056" s="8" t="s">
        <v>31</v>
      </c>
      <c r="R1056" s="8" t="s">
        <v>31</v>
      </c>
      <c r="S1056" s="8" t="s">
        <v>31</v>
      </c>
      <c r="T1056" s="8" t="s">
        <v>31</v>
      </c>
      <c r="U1056" s="8" t="s">
        <v>31</v>
      </c>
      <c r="V1056" s="8" t="s">
        <v>31</v>
      </c>
      <c r="W1056" s="8" t="str">
        <f>_xlfn.IFNA(VLOOKUP(A1056,[1]Sheet1!$A$1:$B$101,1,FALSE),"na")</f>
        <v>na</v>
      </c>
      <c r="X1056" s="8" t="s">
        <v>35</v>
      </c>
      <c r="Y1056" s="9">
        <v>148</v>
      </c>
      <c r="Z1056" s="9">
        <v>105.71429000000001</v>
      </c>
      <c r="AA1056" s="9">
        <v>148</v>
      </c>
      <c r="AB1056" s="9">
        <v>148</v>
      </c>
    </row>
    <row r="1057" spans="1:28" x14ac:dyDescent="0.25">
      <c r="A1057" s="8" t="s">
        <v>2201</v>
      </c>
      <c r="B1057" s="8" t="s">
        <v>2202</v>
      </c>
      <c r="C1057" s="8" t="s">
        <v>30</v>
      </c>
      <c r="D1057" s="10">
        <v>2.2000000000000002</v>
      </c>
      <c r="E1057" s="10">
        <v>1</v>
      </c>
      <c r="F1057" s="10">
        <v>1.2</v>
      </c>
      <c r="G1057" s="10">
        <v>1</v>
      </c>
      <c r="H1057" s="10">
        <v>1.2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0.2</v>
      </c>
      <c r="O1057" s="8" t="s">
        <v>57</v>
      </c>
      <c r="P1057" s="8" t="s">
        <v>31</v>
      </c>
      <c r="Q1057" s="8" t="s">
        <v>31</v>
      </c>
      <c r="R1057" s="8" t="s">
        <v>31</v>
      </c>
      <c r="S1057" s="8" t="s">
        <v>31</v>
      </c>
      <c r="T1057" s="8" t="s">
        <v>31</v>
      </c>
      <c r="U1057" s="8" t="s">
        <v>31</v>
      </c>
      <c r="V1057" s="8" t="s">
        <v>31</v>
      </c>
      <c r="W1057" s="8" t="str">
        <f>_xlfn.IFNA(VLOOKUP(A1057,[1]Sheet1!$A$1:$B$101,1,FALSE),"na")</f>
        <v>na</v>
      </c>
      <c r="X1057" s="8" t="s">
        <v>1466</v>
      </c>
      <c r="Y1057" s="9">
        <v>97</v>
      </c>
      <c r="Z1057" s="9">
        <v>44.090907999999999</v>
      </c>
      <c r="AA1057" s="9">
        <v>97</v>
      </c>
      <c r="AB1057" s="9">
        <v>80.833327999999995</v>
      </c>
    </row>
    <row r="1058" spans="1:28" x14ac:dyDescent="0.25">
      <c r="A1058" s="8" t="s">
        <v>2203</v>
      </c>
      <c r="B1058" s="8" t="s">
        <v>2204</v>
      </c>
      <c r="C1058" s="8" t="s">
        <v>38</v>
      </c>
      <c r="D1058" s="10">
        <v>4.5999999000000003</v>
      </c>
      <c r="E1058" s="10">
        <v>2</v>
      </c>
      <c r="F1058" s="10">
        <v>2.5999998999999998</v>
      </c>
      <c r="G1058" s="10">
        <v>2</v>
      </c>
      <c r="H1058" s="10">
        <v>2.5999998999999998</v>
      </c>
      <c r="I1058" s="10">
        <v>0</v>
      </c>
      <c r="J1058" s="10">
        <v>0</v>
      </c>
      <c r="K1058" s="10">
        <v>1</v>
      </c>
      <c r="L1058" s="10">
        <v>0.40000001000000002</v>
      </c>
      <c r="M1058" s="10">
        <v>0</v>
      </c>
      <c r="N1058" s="10">
        <v>0.60000001999999997</v>
      </c>
      <c r="O1058" s="8" t="s">
        <v>31</v>
      </c>
      <c r="P1058" s="8" t="s">
        <v>31</v>
      </c>
      <c r="Q1058" s="8" t="s">
        <v>57</v>
      </c>
      <c r="R1058" s="8" t="s">
        <v>31</v>
      </c>
      <c r="S1058" s="8" t="s">
        <v>57</v>
      </c>
      <c r="T1058" s="8" t="s">
        <v>31</v>
      </c>
      <c r="U1058" s="8" t="s">
        <v>31</v>
      </c>
      <c r="V1058" s="8" t="s">
        <v>31</v>
      </c>
      <c r="W1058" s="8" t="str">
        <f>_xlfn.IFNA(VLOOKUP(A1058,[1]Sheet1!$A$1:$B$101,1,FALSE),"na")</f>
        <v>na</v>
      </c>
      <c r="X1058" s="8" t="s">
        <v>35</v>
      </c>
      <c r="Y1058" s="9">
        <v>300</v>
      </c>
      <c r="Z1058" s="9">
        <v>65.217392000000004</v>
      </c>
      <c r="AA1058" s="9">
        <v>150</v>
      </c>
      <c r="AB1058" s="9">
        <v>115.38462</v>
      </c>
    </row>
    <row r="1059" spans="1:28" x14ac:dyDescent="0.25">
      <c r="A1059" s="8" t="s">
        <v>2205</v>
      </c>
      <c r="B1059" s="8" t="s">
        <v>2206</v>
      </c>
      <c r="C1059" s="8" t="s">
        <v>30</v>
      </c>
      <c r="D1059" s="10">
        <v>2.5</v>
      </c>
      <c r="E1059" s="10">
        <v>1</v>
      </c>
      <c r="F1059" s="10">
        <v>1.5</v>
      </c>
      <c r="G1059" s="10">
        <v>1</v>
      </c>
      <c r="H1059" s="10">
        <v>1.5</v>
      </c>
      <c r="I1059" s="10">
        <v>0</v>
      </c>
      <c r="J1059" s="10">
        <v>0</v>
      </c>
      <c r="K1059" s="10">
        <v>0</v>
      </c>
      <c r="L1059" s="10">
        <v>0</v>
      </c>
      <c r="M1059" s="10">
        <v>0</v>
      </c>
      <c r="N1059" s="10">
        <v>0.5</v>
      </c>
      <c r="O1059" s="8" t="s">
        <v>57</v>
      </c>
      <c r="P1059" s="8" t="s">
        <v>31</v>
      </c>
      <c r="Q1059" s="8" t="s">
        <v>31</v>
      </c>
      <c r="R1059" s="8" t="s">
        <v>31</v>
      </c>
      <c r="S1059" s="8" t="s">
        <v>31</v>
      </c>
      <c r="T1059" s="8" t="s">
        <v>31</v>
      </c>
      <c r="U1059" s="8" t="s">
        <v>31</v>
      </c>
      <c r="V1059" s="8" t="s">
        <v>31</v>
      </c>
      <c r="W1059" s="8" t="str">
        <f>_xlfn.IFNA(VLOOKUP(A1059,[1]Sheet1!$A$1:$B$101,1,FALSE),"na")</f>
        <v>na</v>
      </c>
      <c r="X1059" s="8" t="s">
        <v>35</v>
      </c>
      <c r="Y1059" s="9">
        <v>419</v>
      </c>
      <c r="Z1059" s="9">
        <v>167.60001</v>
      </c>
      <c r="AA1059" s="9">
        <v>419</v>
      </c>
      <c r="AB1059" s="9">
        <v>279.33334000000002</v>
      </c>
    </row>
    <row r="1060" spans="1:28" x14ac:dyDescent="0.25">
      <c r="A1060" s="8" t="s">
        <v>2207</v>
      </c>
      <c r="B1060" s="8" t="s">
        <v>2208</v>
      </c>
      <c r="C1060" s="8" t="s">
        <v>30</v>
      </c>
      <c r="D1060" s="10">
        <v>2.2000000000000002</v>
      </c>
      <c r="E1060" s="10">
        <v>1</v>
      </c>
      <c r="F1060" s="10">
        <v>1.2</v>
      </c>
      <c r="G1060" s="10">
        <v>1</v>
      </c>
      <c r="H1060" s="10">
        <v>1.2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0.2</v>
      </c>
      <c r="O1060" s="8" t="s">
        <v>57</v>
      </c>
      <c r="P1060" s="8" t="s">
        <v>31</v>
      </c>
      <c r="Q1060" s="8" t="s">
        <v>31</v>
      </c>
      <c r="R1060" s="8" t="s">
        <v>31</v>
      </c>
      <c r="S1060" s="8" t="s">
        <v>31</v>
      </c>
      <c r="T1060" s="8" t="s">
        <v>31</v>
      </c>
      <c r="U1060" s="8" t="s">
        <v>31</v>
      </c>
      <c r="V1060" s="8" t="s">
        <v>31</v>
      </c>
      <c r="W1060" s="8" t="str">
        <f>_xlfn.IFNA(VLOOKUP(A1060,[1]Sheet1!$A$1:$B$101,1,FALSE),"na")</f>
        <v>na</v>
      </c>
      <c r="X1060" s="8" t="s">
        <v>426</v>
      </c>
      <c r="Y1060" s="9">
        <v>210</v>
      </c>
      <c r="Z1060" s="9">
        <v>95.454543999999999</v>
      </c>
      <c r="AA1060" s="9">
        <v>210</v>
      </c>
      <c r="AB1060" s="9">
        <v>175</v>
      </c>
    </row>
    <row r="1061" spans="1:28" x14ac:dyDescent="0.25">
      <c r="A1061" s="8" t="s">
        <v>2209</v>
      </c>
      <c r="B1061" s="8" t="s">
        <v>2210</v>
      </c>
      <c r="C1061" s="8" t="s">
        <v>38</v>
      </c>
      <c r="D1061" s="10">
        <v>4.1999997999999996</v>
      </c>
      <c r="E1061" s="10">
        <v>1</v>
      </c>
      <c r="F1061" s="10">
        <v>3.2</v>
      </c>
      <c r="G1061" s="10">
        <v>1</v>
      </c>
      <c r="H1061" s="10">
        <v>3.2</v>
      </c>
      <c r="I1061" s="10">
        <v>0</v>
      </c>
      <c r="J1061" s="10">
        <v>0</v>
      </c>
      <c r="K1061" s="10">
        <v>0</v>
      </c>
      <c r="L1061" s="10">
        <v>0</v>
      </c>
      <c r="M1061" s="10">
        <v>0</v>
      </c>
      <c r="N1061" s="10">
        <v>0.2</v>
      </c>
      <c r="O1061" s="8" t="s">
        <v>31</v>
      </c>
      <c r="P1061" s="8" t="s">
        <v>31</v>
      </c>
      <c r="Q1061" s="8" t="s">
        <v>31</v>
      </c>
      <c r="R1061" s="8" t="s">
        <v>31</v>
      </c>
      <c r="S1061" s="8" t="s">
        <v>57</v>
      </c>
      <c r="T1061" s="8" t="s">
        <v>31</v>
      </c>
      <c r="U1061" s="8" t="s">
        <v>31</v>
      </c>
      <c r="V1061" s="8" t="s">
        <v>31</v>
      </c>
      <c r="W1061" s="8" t="str">
        <f>_xlfn.IFNA(VLOOKUP(A1061,[1]Sheet1!$A$1:$B$101,1,FALSE),"na")</f>
        <v>na</v>
      </c>
      <c r="X1061" s="8" t="s">
        <v>35</v>
      </c>
      <c r="Y1061" s="9">
        <v>320</v>
      </c>
      <c r="Z1061" s="9">
        <v>76.190483</v>
      </c>
      <c r="AA1061" s="9">
        <v>320</v>
      </c>
      <c r="AB1061" s="9">
        <v>100</v>
      </c>
    </row>
    <row r="1062" spans="1:28" x14ac:dyDescent="0.25">
      <c r="A1062" s="8" t="s">
        <v>2211</v>
      </c>
      <c r="B1062" s="8" t="s">
        <v>2212</v>
      </c>
      <c r="C1062" s="8" t="s">
        <v>38</v>
      </c>
      <c r="D1062" s="10">
        <v>4.4000000999999997</v>
      </c>
      <c r="E1062" s="10">
        <v>3</v>
      </c>
      <c r="F1062" s="10">
        <v>1.4</v>
      </c>
      <c r="G1062" s="10">
        <v>3</v>
      </c>
      <c r="H1062" s="10">
        <v>1.4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0.40000001000000002</v>
      </c>
      <c r="O1062" s="8" t="s">
        <v>31</v>
      </c>
      <c r="P1062" s="8" t="s">
        <v>31</v>
      </c>
      <c r="Q1062" s="8" t="s">
        <v>31</v>
      </c>
      <c r="R1062" s="8" t="s">
        <v>31</v>
      </c>
      <c r="S1062" s="8" t="s">
        <v>57</v>
      </c>
      <c r="T1062" s="8" t="s">
        <v>31</v>
      </c>
      <c r="U1062" s="8" t="s">
        <v>31</v>
      </c>
      <c r="V1062" s="8" t="s">
        <v>31</v>
      </c>
      <c r="W1062" s="8" t="str">
        <f>_xlfn.IFNA(VLOOKUP(A1062,[1]Sheet1!$A$1:$B$101,1,FALSE),"na")</f>
        <v>na</v>
      </c>
      <c r="X1062" s="8" t="s">
        <v>35</v>
      </c>
      <c r="Y1062" s="9">
        <v>402</v>
      </c>
      <c r="Z1062" s="9">
        <v>91.363631999999996</v>
      </c>
      <c r="AA1062" s="9">
        <v>134</v>
      </c>
      <c r="AB1062" s="9">
        <v>287.14285000000001</v>
      </c>
    </row>
    <row r="1063" spans="1:28" x14ac:dyDescent="0.25">
      <c r="A1063" s="8" t="s">
        <v>2213</v>
      </c>
      <c r="B1063" s="8" t="s">
        <v>2214</v>
      </c>
      <c r="C1063" s="8" t="s">
        <v>30</v>
      </c>
      <c r="D1063" s="10">
        <v>1.6</v>
      </c>
      <c r="E1063" s="10">
        <v>1</v>
      </c>
      <c r="F1063" s="10">
        <v>0.60000001999999997</v>
      </c>
      <c r="G1063" s="10">
        <v>1</v>
      </c>
      <c r="H1063" s="10">
        <v>0.60000001999999997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0.60000001999999997</v>
      </c>
      <c r="O1063" s="8" t="s">
        <v>31</v>
      </c>
      <c r="P1063" s="8" t="s">
        <v>31</v>
      </c>
      <c r="Q1063" s="8" t="s">
        <v>31</v>
      </c>
      <c r="R1063" s="8" t="s">
        <v>31</v>
      </c>
      <c r="S1063" s="8" t="s">
        <v>31</v>
      </c>
      <c r="T1063" s="8" t="s">
        <v>31</v>
      </c>
      <c r="U1063" s="8" t="s">
        <v>31</v>
      </c>
      <c r="V1063" s="8" t="s">
        <v>31</v>
      </c>
      <c r="W1063" s="8" t="str">
        <f>_xlfn.IFNA(VLOOKUP(A1063,[1]Sheet1!$A$1:$B$101,1,FALSE),"na")</f>
        <v>na</v>
      </c>
      <c r="X1063" s="8" t="s">
        <v>426</v>
      </c>
      <c r="Y1063" s="9">
        <v>216</v>
      </c>
      <c r="Z1063" s="9">
        <v>135</v>
      </c>
      <c r="AA1063" s="9">
        <v>216</v>
      </c>
      <c r="AB1063" s="9">
        <v>216</v>
      </c>
    </row>
    <row r="1064" spans="1:28" x14ac:dyDescent="0.25">
      <c r="A1064" s="8" t="s">
        <v>2215</v>
      </c>
      <c r="B1064" s="8" t="s">
        <v>2216</v>
      </c>
      <c r="C1064" s="8" t="s">
        <v>30</v>
      </c>
      <c r="D1064" s="10">
        <v>1.3</v>
      </c>
      <c r="E1064" s="10">
        <v>1</v>
      </c>
      <c r="F1064" s="10">
        <v>0.30000000999999998</v>
      </c>
      <c r="G1064" s="10">
        <v>1</v>
      </c>
      <c r="H1064" s="10">
        <v>0.30000000999999998</v>
      </c>
      <c r="I1064" s="10">
        <v>0</v>
      </c>
      <c r="J1064" s="10">
        <v>0</v>
      </c>
      <c r="K1064" s="10">
        <v>0</v>
      </c>
      <c r="L1064" s="10">
        <v>0</v>
      </c>
      <c r="M1064" s="10">
        <v>0</v>
      </c>
      <c r="N1064" s="10">
        <v>0.30000000999999998</v>
      </c>
      <c r="O1064" s="8" t="s">
        <v>31</v>
      </c>
      <c r="P1064" s="8" t="s">
        <v>31</v>
      </c>
      <c r="Q1064" s="8" t="s">
        <v>31</v>
      </c>
      <c r="R1064" s="8" t="s">
        <v>31</v>
      </c>
      <c r="S1064" s="8" t="s">
        <v>31</v>
      </c>
      <c r="T1064" s="8" t="s">
        <v>31</v>
      </c>
      <c r="U1064" s="8" t="s">
        <v>31</v>
      </c>
      <c r="V1064" s="8" t="s">
        <v>31</v>
      </c>
      <c r="W1064" s="8" t="str">
        <f>_xlfn.IFNA(VLOOKUP(A1064,[1]Sheet1!$A$1:$B$101,1,FALSE),"na")</f>
        <v>na</v>
      </c>
      <c r="X1064" s="8" t="s">
        <v>2217</v>
      </c>
      <c r="Y1064" s="9">
        <v>353</v>
      </c>
      <c r="Z1064" s="9">
        <v>271.53847999999999</v>
      </c>
      <c r="AA1064" s="9">
        <v>353</v>
      </c>
      <c r="AB1064" s="9">
        <v>353</v>
      </c>
    </row>
    <row r="1065" spans="1:28" x14ac:dyDescent="0.25">
      <c r="A1065" s="8" t="s">
        <v>2218</v>
      </c>
      <c r="B1065" s="8" t="s">
        <v>2219</v>
      </c>
      <c r="C1065" s="8" t="s">
        <v>30</v>
      </c>
      <c r="D1065" s="10">
        <v>1.2</v>
      </c>
      <c r="E1065" s="10">
        <v>1</v>
      </c>
      <c r="F1065" s="10">
        <v>0.2</v>
      </c>
      <c r="G1065" s="10">
        <v>1</v>
      </c>
      <c r="H1065" s="10">
        <v>0.2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0.2</v>
      </c>
      <c r="O1065" s="8" t="s">
        <v>31</v>
      </c>
      <c r="P1065" s="8" t="s">
        <v>31</v>
      </c>
      <c r="Q1065" s="8" t="s">
        <v>31</v>
      </c>
      <c r="R1065" s="8" t="s">
        <v>31</v>
      </c>
      <c r="S1065" s="8" t="s">
        <v>31</v>
      </c>
      <c r="T1065" s="8" t="s">
        <v>31</v>
      </c>
      <c r="U1065" s="8" t="s">
        <v>31</v>
      </c>
      <c r="V1065" s="8" t="s">
        <v>31</v>
      </c>
      <c r="W1065" s="8" t="str">
        <f>_xlfn.IFNA(VLOOKUP(A1065,[1]Sheet1!$A$1:$B$101,1,FALSE),"na")</f>
        <v>na</v>
      </c>
      <c r="X1065" s="8" t="s">
        <v>35</v>
      </c>
      <c r="Y1065" s="9">
        <v>299</v>
      </c>
      <c r="Z1065" s="9">
        <v>249.16666000000001</v>
      </c>
      <c r="AA1065" s="9">
        <v>299</v>
      </c>
      <c r="AB1065" s="9">
        <v>299</v>
      </c>
    </row>
    <row r="1066" spans="1:28" x14ac:dyDescent="0.25">
      <c r="A1066" s="8" t="s">
        <v>2220</v>
      </c>
      <c r="B1066" s="8" t="s">
        <v>2221</v>
      </c>
      <c r="C1066" s="8" t="s">
        <v>30</v>
      </c>
      <c r="D1066" s="10">
        <v>2.2000000000000002</v>
      </c>
      <c r="E1066" s="10">
        <v>1</v>
      </c>
      <c r="F1066" s="10">
        <v>1.2</v>
      </c>
      <c r="G1066" s="10">
        <v>1</v>
      </c>
      <c r="H1066" s="10">
        <v>1.2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0.2</v>
      </c>
      <c r="O1066" s="8" t="s">
        <v>31</v>
      </c>
      <c r="P1066" s="8" t="s">
        <v>31</v>
      </c>
      <c r="Q1066" s="8" t="s">
        <v>57</v>
      </c>
      <c r="R1066" s="8" t="s">
        <v>31</v>
      </c>
      <c r="S1066" s="8" t="s">
        <v>31</v>
      </c>
      <c r="T1066" s="8" t="s">
        <v>31</v>
      </c>
      <c r="U1066" s="8" t="s">
        <v>31</v>
      </c>
      <c r="V1066" s="8" t="s">
        <v>31</v>
      </c>
      <c r="W1066" s="8" t="str">
        <f>_xlfn.IFNA(VLOOKUP(A1066,[1]Sheet1!$A$1:$B$101,1,FALSE),"na")</f>
        <v>na</v>
      </c>
      <c r="X1066" s="8" t="s">
        <v>35</v>
      </c>
      <c r="Y1066" s="9">
        <v>239</v>
      </c>
      <c r="Z1066" s="9">
        <v>108.63636</v>
      </c>
      <c r="AA1066" s="9">
        <v>239</v>
      </c>
      <c r="AB1066" s="9">
        <v>199.16666000000001</v>
      </c>
    </row>
    <row r="1067" spans="1:28" x14ac:dyDescent="0.25">
      <c r="A1067" s="8" t="s">
        <v>2222</v>
      </c>
      <c r="B1067" s="8" t="s">
        <v>2223</v>
      </c>
      <c r="C1067" s="8" t="s">
        <v>67</v>
      </c>
      <c r="D1067" s="10">
        <v>2.2999999999999998</v>
      </c>
      <c r="E1067" s="10">
        <v>1</v>
      </c>
      <c r="F1067" s="10">
        <v>1.3</v>
      </c>
      <c r="G1067" s="10">
        <v>1</v>
      </c>
      <c r="H1067" s="10">
        <v>1.3</v>
      </c>
      <c r="I1067" s="10">
        <v>0</v>
      </c>
      <c r="J1067" s="10">
        <v>0</v>
      </c>
      <c r="K1067" s="10">
        <v>0</v>
      </c>
      <c r="L1067" s="10">
        <v>0</v>
      </c>
      <c r="M1067" s="10">
        <v>0</v>
      </c>
      <c r="N1067" s="10">
        <v>0.30000000999999998</v>
      </c>
      <c r="O1067" s="8" t="s">
        <v>31</v>
      </c>
      <c r="P1067" s="8" t="s">
        <v>31</v>
      </c>
      <c r="Q1067" s="8" t="s">
        <v>31</v>
      </c>
      <c r="R1067" s="8" t="s">
        <v>31</v>
      </c>
      <c r="S1067" s="8" t="s">
        <v>57</v>
      </c>
      <c r="T1067" s="8" t="s">
        <v>31</v>
      </c>
      <c r="U1067" s="8" t="s">
        <v>31</v>
      </c>
      <c r="V1067" s="8" t="s">
        <v>31</v>
      </c>
      <c r="W1067" s="8" t="str">
        <f>_xlfn.IFNA(VLOOKUP(A1067,[1]Sheet1!$A$1:$B$101,1,FALSE),"na")</f>
        <v>na</v>
      </c>
      <c r="X1067" s="8" t="s">
        <v>35</v>
      </c>
      <c r="Y1067" s="9">
        <v>271</v>
      </c>
      <c r="Z1067" s="9">
        <v>117.82608999999999</v>
      </c>
      <c r="AA1067" s="9">
        <v>271</v>
      </c>
      <c r="AB1067" s="9">
        <v>208.46154999999999</v>
      </c>
    </row>
    <row r="1068" spans="1:28" x14ac:dyDescent="0.25">
      <c r="A1068" s="8" t="s">
        <v>2224</v>
      </c>
      <c r="B1068" s="8" t="s">
        <v>2225</v>
      </c>
      <c r="C1068" s="8" t="s">
        <v>67</v>
      </c>
      <c r="D1068" s="10">
        <v>4.3000002000000004</v>
      </c>
      <c r="E1068" s="10">
        <v>2</v>
      </c>
      <c r="F1068" s="10">
        <v>2.2999999999999998</v>
      </c>
      <c r="G1068" s="10">
        <v>2</v>
      </c>
      <c r="H1068" s="10">
        <v>2.2999999999999998</v>
      </c>
      <c r="I1068" s="10">
        <v>0</v>
      </c>
      <c r="J1068" s="10">
        <v>0</v>
      </c>
      <c r="K1068" s="10">
        <v>0</v>
      </c>
      <c r="L1068" s="10">
        <v>0</v>
      </c>
      <c r="M1068" s="10">
        <v>0</v>
      </c>
      <c r="N1068" s="10">
        <v>0.30000000999999998</v>
      </c>
      <c r="O1068" s="8" t="s">
        <v>31</v>
      </c>
      <c r="P1068" s="8" t="s">
        <v>31</v>
      </c>
      <c r="Q1068" s="8" t="s">
        <v>31</v>
      </c>
      <c r="R1068" s="8" t="s">
        <v>31</v>
      </c>
      <c r="S1068" s="8" t="s">
        <v>57</v>
      </c>
      <c r="T1068" s="8" t="s">
        <v>31</v>
      </c>
      <c r="U1068" s="8" t="s">
        <v>31</v>
      </c>
      <c r="V1068" s="8" t="s">
        <v>31</v>
      </c>
      <c r="W1068" s="8" t="str">
        <f>_xlfn.IFNA(VLOOKUP(A1068,[1]Sheet1!$A$1:$B$101,1,FALSE),"na")</f>
        <v>na</v>
      </c>
      <c r="X1068" s="8" t="s">
        <v>35</v>
      </c>
      <c r="Y1068" s="9">
        <v>283</v>
      </c>
      <c r="Z1068" s="9">
        <v>65.813950000000006</v>
      </c>
      <c r="AA1068" s="9">
        <v>141.5</v>
      </c>
      <c r="AB1068" s="9">
        <v>123.04348</v>
      </c>
    </row>
    <row r="1069" spans="1:28" x14ac:dyDescent="0.25">
      <c r="A1069" s="8" t="s">
        <v>2226</v>
      </c>
      <c r="B1069" s="8" t="s">
        <v>2227</v>
      </c>
      <c r="C1069" s="8" t="s">
        <v>30</v>
      </c>
      <c r="D1069" s="10">
        <v>2.5999998999999998</v>
      </c>
      <c r="E1069" s="10">
        <v>1</v>
      </c>
      <c r="F1069" s="10">
        <v>1.6</v>
      </c>
      <c r="G1069" s="10">
        <v>1</v>
      </c>
      <c r="H1069" s="10">
        <v>1.6</v>
      </c>
      <c r="I1069" s="10">
        <v>0</v>
      </c>
      <c r="J1069" s="10">
        <v>0</v>
      </c>
      <c r="K1069" s="10">
        <v>0</v>
      </c>
      <c r="L1069" s="10">
        <v>0.60000001999999997</v>
      </c>
      <c r="M1069" s="10">
        <v>0</v>
      </c>
      <c r="N1069" s="10">
        <v>0.60000001999999997</v>
      </c>
      <c r="O1069" s="8" t="s">
        <v>31</v>
      </c>
      <c r="P1069" s="8" t="s">
        <v>31</v>
      </c>
      <c r="Q1069" s="8" t="s">
        <v>57</v>
      </c>
      <c r="R1069" s="8" t="s">
        <v>31</v>
      </c>
      <c r="S1069" s="8" t="s">
        <v>31</v>
      </c>
      <c r="T1069" s="8" t="s">
        <v>31</v>
      </c>
      <c r="U1069" s="8" t="s">
        <v>31</v>
      </c>
      <c r="V1069" s="8" t="s">
        <v>31</v>
      </c>
      <c r="W1069" s="8" t="str">
        <f>_xlfn.IFNA(VLOOKUP(A1069,[1]Sheet1!$A$1:$B$101,1,FALSE),"na")</f>
        <v>na</v>
      </c>
      <c r="X1069" s="8" t="s">
        <v>35</v>
      </c>
      <c r="Y1069" s="9">
        <v>312</v>
      </c>
      <c r="Z1069" s="9">
        <v>120.00001</v>
      </c>
      <c r="AA1069" s="9">
        <v>312</v>
      </c>
      <c r="AB1069" s="9">
        <v>195</v>
      </c>
    </row>
    <row r="1070" spans="1:28" x14ac:dyDescent="0.25">
      <c r="A1070" s="8" t="s">
        <v>2228</v>
      </c>
      <c r="B1070" s="8" t="s">
        <v>2229</v>
      </c>
      <c r="C1070" s="8" t="s">
        <v>30</v>
      </c>
      <c r="D1070" s="10">
        <v>1.7</v>
      </c>
      <c r="E1070" s="10">
        <v>0</v>
      </c>
      <c r="F1070" s="10">
        <v>1.7</v>
      </c>
      <c r="G1070" s="10">
        <v>0</v>
      </c>
      <c r="H1070" s="10">
        <v>1.7</v>
      </c>
      <c r="I1070" s="10">
        <v>0</v>
      </c>
      <c r="J1070" s="10">
        <v>0</v>
      </c>
      <c r="K1070" s="10">
        <v>0</v>
      </c>
      <c r="L1070" s="10">
        <v>0</v>
      </c>
      <c r="M1070" s="10">
        <v>0</v>
      </c>
      <c r="N1070" s="10">
        <v>0.69999999000000002</v>
      </c>
      <c r="O1070" s="8" t="s">
        <v>31</v>
      </c>
      <c r="P1070" s="8" t="s">
        <v>31</v>
      </c>
      <c r="Q1070" s="8" t="s">
        <v>31</v>
      </c>
      <c r="R1070" s="8" t="s">
        <v>31</v>
      </c>
      <c r="S1070" s="8" t="s">
        <v>31</v>
      </c>
      <c r="T1070" s="8" t="s">
        <v>31</v>
      </c>
      <c r="U1070" s="8" t="s">
        <v>31</v>
      </c>
      <c r="V1070" s="8" t="s">
        <v>31</v>
      </c>
      <c r="W1070" s="8" t="str">
        <f>_xlfn.IFNA(VLOOKUP(A1070,[1]Sheet1!$A$1:$B$101,1,FALSE),"na")</f>
        <v>na</v>
      </c>
      <c r="X1070" s="8" t="s">
        <v>35</v>
      </c>
      <c r="Y1070" s="9">
        <v>301</v>
      </c>
      <c r="Z1070" s="9">
        <v>177.05882</v>
      </c>
      <c r="AA1070" s="9">
        <v>301</v>
      </c>
      <c r="AB1070" s="9">
        <v>177.05882</v>
      </c>
    </row>
    <row r="1071" spans="1:28" x14ac:dyDescent="0.25">
      <c r="A1071" s="8" t="s">
        <v>2230</v>
      </c>
      <c r="B1071" s="8" t="s">
        <v>2231</v>
      </c>
      <c r="C1071" s="8" t="s">
        <v>62</v>
      </c>
      <c r="D1071" s="10">
        <v>7</v>
      </c>
      <c r="E1071" s="10">
        <v>5</v>
      </c>
      <c r="F1071" s="10">
        <v>2</v>
      </c>
      <c r="G1071" s="10">
        <v>5</v>
      </c>
      <c r="H1071" s="10">
        <v>2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8" t="s">
        <v>31</v>
      </c>
      <c r="P1071" s="8" t="s">
        <v>31</v>
      </c>
      <c r="Q1071" s="8" t="s">
        <v>31</v>
      </c>
      <c r="R1071" s="8" t="s">
        <v>31</v>
      </c>
      <c r="S1071" s="8" t="s">
        <v>57</v>
      </c>
      <c r="T1071" s="8" t="s">
        <v>57</v>
      </c>
      <c r="U1071" s="8" t="s">
        <v>31</v>
      </c>
      <c r="V1071" s="8" t="s">
        <v>31</v>
      </c>
      <c r="W1071" s="8" t="str">
        <f>_xlfn.IFNA(VLOOKUP(A1071,[1]Sheet1!$A$1:$B$101,1,FALSE),"na")</f>
        <v>na</v>
      </c>
      <c r="X1071" s="8" t="s">
        <v>419</v>
      </c>
      <c r="Y1071" s="9">
        <v>515</v>
      </c>
      <c r="Z1071" s="9">
        <v>73.571426000000002</v>
      </c>
      <c r="AA1071" s="9">
        <v>103</v>
      </c>
      <c r="AB1071" s="9">
        <v>257.5</v>
      </c>
    </row>
    <row r="1072" spans="1:28" x14ac:dyDescent="0.25">
      <c r="A1072" s="8" t="s">
        <v>2232</v>
      </c>
      <c r="B1072" s="8" t="s">
        <v>2233</v>
      </c>
      <c r="C1072" s="8" t="s">
        <v>62</v>
      </c>
      <c r="D1072" s="10">
        <v>3.0999998999999998</v>
      </c>
      <c r="E1072" s="10">
        <v>2</v>
      </c>
      <c r="F1072" s="10">
        <v>1.1000000000000001</v>
      </c>
      <c r="G1072" s="10">
        <v>2</v>
      </c>
      <c r="H1072" s="10">
        <v>1.1000000000000001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0.1</v>
      </c>
      <c r="O1072" s="8" t="s">
        <v>31</v>
      </c>
      <c r="P1072" s="8" t="s">
        <v>31</v>
      </c>
      <c r="Q1072" s="8" t="s">
        <v>31</v>
      </c>
      <c r="R1072" s="8" t="s">
        <v>31</v>
      </c>
      <c r="S1072" s="8" t="s">
        <v>57</v>
      </c>
      <c r="T1072" s="8" t="s">
        <v>31</v>
      </c>
      <c r="U1072" s="8" t="s">
        <v>31</v>
      </c>
      <c r="V1072" s="8" t="s">
        <v>31</v>
      </c>
      <c r="W1072" s="8" t="str">
        <f>_xlfn.IFNA(VLOOKUP(A1072,[1]Sheet1!$A$1:$B$101,1,FALSE),"na")</f>
        <v>na</v>
      </c>
      <c r="X1072" s="8" t="s">
        <v>35</v>
      </c>
      <c r="Y1072" s="9">
        <v>298</v>
      </c>
      <c r="Z1072" s="9">
        <v>96.129035999999999</v>
      </c>
      <c r="AA1072" s="9">
        <v>149</v>
      </c>
      <c r="AB1072" s="9">
        <v>270.90908999999999</v>
      </c>
    </row>
    <row r="1073" spans="1:28" x14ac:dyDescent="0.25">
      <c r="A1073" s="8" t="s">
        <v>2234</v>
      </c>
      <c r="B1073" s="8" t="s">
        <v>2235</v>
      </c>
      <c r="C1073" s="8" t="s">
        <v>67</v>
      </c>
      <c r="D1073" s="10">
        <v>3</v>
      </c>
      <c r="E1073" s="10">
        <v>2</v>
      </c>
      <c r="F1073" s="10">
        <v>1</v>
      </c>
      <c r="G1073" s="10">
        <v>2</v>
      </c>
      <c r="H1073" s="10">
        <v>1</v>
      </c>
      <c r="I1073" s="10">
        <v>0</v>
      </c>
      <c r="J1073" s="10">
        <v>0</v>
      </c>
      <c r="K1073" s="10">
        <v>0</v>
      </c>
      <c r="L1073" s="10">
        <v>0</v>
      </c>
      <c r="M1073" s="10">
        <v>0</v>
      </c>
      <c r="N1073" s="10">
        <v>0</v>
      </c>
      <c r="O1073" s="8" t="s">
        <v>31</v>
      </c>
      <c r="P1073" s="8" t="s">
        <v>31</v>
      </c>
      <c r="Q1073" s="8" t="s">
        <v>31</v>
      </c>
      <c r="R1073" s="8" t="s">
        <v>31</v>
      </c>
      <c r="S1073" s="8" t="s">
        <v>57</v>
      </c>
      <c r="T1073" s="8" t="s">
        <v>31</v>
      </c>
      <c r="U1073" s="8" t="s">
        <v>31</v>
      </c>
      <c r="V1073" s="8" t="s">
        <v>31</v>
      </c>
      <c r="W1073" s="8" t="str">
        <f>_xlfn.IFNA(VLOOKUP(A1073,[1]Sheet1!$A$1:$B$101,1,FALSE),"na")</f>
        <v>na</v>
      </c>
      <c r="X1073" s="8" t="s">
        <v>35</v>
      </c>
      <c r="Y1073" s="9">
        <v>98</v>
      </c>
      <c r="Z1073" s="9">
        <v>32.666668000000001</v>
      </c>
      <c r="AA1073" s="9">
        <v>49</v>
      </c>
      <c r="AB1073" s="9">
        <v>98</v>
      </c>
    </row>
    <row r="1074" spans="1:28" x14ac:dyDescent="0.25">
      <c r="A1074" s="8" t="s">
        <v>2236</v>
      </c>
      <c r="B1074" s="8" t="s">
        <v>2237</v>
      </c>
      <c r="C1074" s="8" t="s">
        <v>67</v>
      </c>
      <c r="D1074" s="10">
        <v>3.2</v>
      </c>
      <c r="E1074" s="10">
        <v>2</v>
      </c>
      <c r="F1074" s="10">
        <v>1.2</v>
      </c>
      <c r="G1074" s="10">
        <v>2</v>
      </c>
      <c r="H1074" s="10">
        <v>1.2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0.2</v>
      </c>
      <c r="O1074" s="8" t="s">
        <v>31</v>
      </c>
      <c r="P1074" s="8" t="s">
        <v>57</v>
      </c>
      <c r="Q1074" s="8" t="s">
        <v>31</v>
      </c>
      <c r="R1074" s="8" t="s">
        <v>31</v>
      </c>
      <c r="S1074" s="8" t="s">
        <v>57</v>
      </c>
      <c r="T1074" s="8" t="s">
        <v>31</v>
      </c>
      <c r="U1074" s="8" t="s">
        <v>31</v>
      </c>
      <c r="V1074" s="8" t="s">
        <v>31</v>
      </c>
      <c r="W1074" s="8" t="str">
        <f>_xlfn.IFNA(VLOOKUP(A1074,[1]Sheet1!$A$1:$B$101,1,FALSE),"na")</f>
        <v>na</v>
      </c>
      <c r="X1074" s="8" t="s">
        <v>35</v>
      </c>
      <c r="Y1074" s="9">
        <v>111</v>
      </c>
      <c r="Z1074" s="9">
        <v>34.6875</v>
      </c>
      <c r="AA1074" s="9">
        <v>55.5</v>
      </c>
      <c r="AB1074" s="9">
        <v>92.5</v>
      </c>
    </row>
    <row r="1075" spans="1:28" x14ac:dyDescent="0.25">
      <c r="A1075" s="8" t="s">
        <v>2238</v>
      </c>
      <c r="B1075" s="8" t="s">
        <v>2239</v>
      </c>
      <c r="C1075" s="8" t="s">
        <v>30</v>
      </c>
      <c r="D1075" s="10">
        <v>1.6</v>
      </c>
      <c r="E1075" s="10">
        <v>1</v>
      </c>
      <c r="F1075" s="10">
        <v>0.60000001999999997</v>
      </c>
      <c r="G1075" s="10">
        <v>1</v>
      </c>
      <c r="H1075" s="10">
        <v>0.60000001999999997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0.60000001999999997</v>
      </c>
      <c r="O1075" s="8" t="s">
        <v>31</v>
      </c>
      <c r="P1075" s="8" t="s">
        <v>31</v>
      </c>
      <c r="Q1075" s="8" t="s">
        <v>31</v>
      </c>
      <c r="R1075" s="8" t="s">
        <v>31</v>
      </c>
      <c r="S1075" s="8" t="s">
        <v>31</v>
      </c>
      <c r="T1075" s="8" t="s">
        <v>31</v>
      </c>
      <c r="U1075" s="8" t="s">
        <v>31</v>
      </c>
      <c r="V1075" s="8" t="s">
        <v>31</v>
      </c>
      <c r="W1075" s="8" t="str">
        <f>_xlfn.IFNA(VLOOKUP(A1075,[1]Sheet1!$A$1:$B$101,1,FALSE),"na")</f>
        <v>na</v>
      </c>
      <c r="X1075" s="8" t="s">
        <v>35</v>
      </c>
      <c r="Y1075" s="9">
        <v>378</v>
      </c>
      <c r="Z1075" s="9">
        <v>236.25</v>
      </c>
      <c r="AA1075" s="9">
        <v>378</v>
      </c>
      <c r="AB1075" s="9">
        <v>378</v>
      </c>
    </row>
    <row r="1076" spans="1:28" x14ac:dyDescent="0.25">
      <c r="A1076" s="8" t="s">
        <v>2240</v>
      </c>
      <c r="B1076" s="8" t="s">
        <v>2241</v>
      </c>
      <c r="C1076" s="8" t="s">
        <v>62</v>
      </c>
      <c r="D1076" s="10">
        <v>2.2000000000000002</v>
      </c>
      <c r="E1076" s="10">
        <v>1</v>
      </c>
      <c r="F1076" s="10">
        <v>1.2</v>
      </c>
      <c r="G1076" s="10">
        <v>1</v>
      </c>
      <c r="H1076" s="10">
        <v>1.2</v>
      </c>
      <c r="I1076" s="10">
        <v>0</v>
      </c>
      <c r="J1076" s="10">
        <v>0</v>
      </c>
      <c r="K1076" s="10">
        <v>0</v>
      </c>
      <c r="L1076" s="10">
        <v>0</v>
      </c>
      <c r="M1076" s="10">
        <v>0</v>
      </c>
      <c r="N1076" s="10">
        <v>0.2</v>
      </c>
      <c r="O1076" s="8" t="s">
        <v>31</v>
      </c>
      <c r="P1076" s="8" t="s">
        <v>31</v>
      </c>
      <c r="Q1076" s="8" t="s">
        <v>31</v>
      </c>
      <c r="R1076" s="8" t="s">
        <v>31</v>
      </c>
      <c r="S1076" s="8" t="s">
        <v>57</v>
      </c>
      <c r="T1076" s="8" t="s">
        <v>57</v>
      </c>
      <c r="U1076" s="8" t="s">
        <v>31</v>
      </c>
      <c r="V1076" s="8" t="s">
        <v>57</v>
      </c>
      <c r="W1076" s="8" t="str">
        <f>_xlfn.IFNA(VLOOKUP(A1076,[1]Sheet1!$A$1:$B$101,1,FALSE),"na")</f>
        <v>na</v>
      </c>
      <c r="X1076" s="8" t="s">
        <v>35</v>
      </c>
      <c r="Y1076" s="9">
        <v>182</v>
      </c>
      <c r="Z1076" s="9">
        <v>82.727271999999999</v>
      </c>
      <c r="AA1076" s="9">
        <v>182</v>
      </c>
      <c r="AB1076" s="9">
        <v>151.66666000000001</v>
      </c>
    </row>
    <row r="1077" spans="1:28" x14ac:dyDescent="0.25">
      <c r="A1077" s="8" t="s">
        <v>2242</v>
      </c>
      <c r="B1077" s="8" t="s">
        <v>2243</v>
      </c>
      <c r="C1077" s="8" t="s">
        <v>80</v>
      </c>
      <c r="D1077" s="10">
        <v>8</v>
      </c>
      <c r="E1077" s="10">
        <v>6</v>
      </c>
      <c r="F1077" s="10">
        <v>2</v>
      </c>
      <c r="G1077" s="10">
        <v>6</v>
      </c>
      <c r="H1077" s="10">
        <v>2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8" t="s">
        <v>31</v>
      </c>
      <c r="P1077" s="8" t="s">
        <v>31</v>
      </c>
      <c r="Q1077" s="8" t="s">
        <v>31</v>
      </c>
      <c r="R1077" s="8" t="s">
        <v>31</v>
      </c>
      <c r="S1077" s="8" t="s">
        <v>57</v>
      </c>
      <c r="T1077" s="8" t="s">
        <v>57</v>
      </c>
      <c r="U1077" s="8" t="s">
        <v>31</v>
      </c>
      <c r="V1077" s="8" t="s">
        <v>31</v>
      </c>
      <c r="W1077" s="8" t="str">
        <f>_xlfn.IFNA(VLOOKUP(A1077,[1]Sheet1!$A$1:$B$101,1,FALSE),"na")</f>
        <v>na</v>
      </c>
      <c r="X1077" s="8" t="s">
        <v>35</v>
      </c>
      <c r="Y1077" s="9">
        <v>667</v>
      </c>
      <c r="Z1077" s="9">
        <v>83.375</v>
      </c>
      <c r="AA1077" s="9">
        <v>111.16665999999999</v>
      </c>
      <c r="AB1077" s="9">
        <v>333.5</v>
      </c>
    </row>
    <row r="1078" spans="1:28" x14ac:dyDescent="0.25">
      <c r="A1078" s="8" t="s">
        <v>2244</v>
      </c>
      <c r="B1078" s="8" t="s">
        <v>2245</v>
      </c>
      <c r="C1078" s="8" t="s">
        <v>62</v>
      </c>
      <c r="D1078" s="10">
        <v>3.2</v>
      </c>
      <c r="E1078" s="10">
        <v>2</v>
      </c>
      <c r="F1078" s="10">
        <v>1.2</v>
      </c>
      <c r="G1078" s="10">
        <v>2</v>
      </c>
      <c r="H1078" s="10">
        <v>1.2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0.2</v>
      </c>
      <c r="O1078" s="8" t="s">
        <v>31</v>
      </c>
      <c r="P1078" s="8" t="s">
        <v>31</v>
      </c>
      <c r="Q1078" s="8" t="s">
        <v>31</v>
      </c>
      <c r="R1078" s="8" t="s">
        <v>31</v>
      </c>
      <c r="S1078" s="8" t="s">
        <v>57</v>
      </c>
      <c r="T1078" s="8" t="s">
        <v>31</v>
      </c>
      <c r="U1078" s="8" t="s">
        <v>31</v>
      </c>
      <c r="V1078" s="8" t="s">
        <v>31</v>
      </c>
      <c r="W1078" s="8" t="str">
        <f>_xlfn.IFNA(VLOOKUP(A1078,[1]Sheet1!$A$1:$B$101,1,FALSE),"na")</f>
        <v>na</v>
      </c>
      <c r="X1078" s="8" t="s">
        <v>35</v>
      </c>
      <c r="Y1078" s="9">
        <v>168</v>
      </c>
      <c r="Z1078" s="9">
        <v>52.5</v>
      </c>
      <c r="AA1078" s="9">
        <v>84</v>
      </c>
      <c r="AB1078" s="9">
        <v>140</v>
      </c>
    </row>
    <row r="1079" spans="1:28" x14ac:dyDescent="0.25">
      <c r="A1079" s="8" t="s">
        <v>2246</v>
      </c>
      <c r="B1079" s="8" t="s">
        <v>2247</v>
      </c>
      <c r="C1079" s="8" t="s">
        <v>67</v>
      </c>
      <c r="D1079" s="10">
        <v>2.2000000000000002</v>
      </c>
      <c r="E1079" s="10">
        <v>0</v>
      </c>
      <c r="F1079" s="10">
        <v>2.2000000000000002</v>
      </c>
      <c r="G1079" s="10">
        <v>0</v>
      </c>
      <c r="H1079" s="10">
        <v>2.2000000000000002</v>
      </c>
      <c r="I1079" s="10">
        <v>0</v>
      </c>
      <c r="J1079" s="10">
        <v>0</v>
      </c>
      <c r="K1079" s="10">
        <v>0</v>
      </c>
      <c r="L1079" s="10">
        <v>0</v>
      </c>
      <c r="M1079" s="10">
        <v>0</v>
      </c>
      <c r="N1079" s="10">
        <v>0.2</v>
      </c>
      <c r="O1079" s="8" t="s">
        <v>31</v>
      </c>
      <c r="P1079" s="8" t="s">
        <v>57</v>
      </c>
      <c r="Q1079" s="8" t="s">
        <v>31</v>
      </c>
      <c r="R1079" s="8" t="s">
        <v>31</v>
      </c>
      <c r="S1079" s="8" t="s">
        <v>57</v>
      </c>
      <c r="T1079" s="8" t="s">
        <v>31</v>
      </c>
      <c r="U1079" s="8" t="s">
        <v>31</v>
      </c>
      <c r="V1079" s="8" t="s">
        <v>31</v>
      </c>
      <c r="W1079" s="8" t="str">
        <f>_xlfn.IFNA(VLOOKUP(A1079,[1]Sheet1!$A$1:$B$101,1,FALSE),"na")</f>
        <v>na</v>
      </c>
      <c r="X1079" s="8" t="s">
        <v>35</v>
      </c>
      <c r="Y1079" s="9">
        <v>150</v>
      </c>
      <c r="Z1079" s="9">
        <v>68.181815999999998</v>
      </c>
      <c r="AA1079" s="9">
        <v>150</v>
      </c>
      <c r="AB1079" s="9">
        <v>68.181815999999998</v>
      </c>
    </row>
    <row r="1080" spans="1:28" x14ac:dyDescent="0.25">
      <c r="A1080" s="8" t="s">
        <v>2248</v>
      </c>
      <c r="B1080" s="8" t="s">
        <v>2249</v>
      </c>
      <c r="C1080" s="8" t="s">
        <v>67</v>
      </c>
      <c r="D1080" s="10">
        <v>2.2999999999999998</v>
      </c>
      <c r="E1080" s="10">
        <v>1</v>
      </c>
      <c r="F1080" s="10">
        <v>1.3</v>
      </c>
      <c r="G1080" s="10">
        <v>1</v>
      </c>
      <c r="H1080" s="10">
        <v>1.3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0.30000000999999998</v>
      </c>
      <c r="O1080" s="8" t="s">
        <v>31</v>
      </c>
      <c r="P1080" s="8" t="s">
        <v>31</v>
      </c>
      <c r="Q1080" s="8" t="s">
        <v>31</v>
      </c>
      <c r="R1080" s="8" t="s">
        <v>31</v>
      </c>
      <c r="S1080" s="8" t="s">
        <v>57</v>
      </c>
      <c r="T1080" s="8" t="s">
        <v>31</v>
      </c>
      <c r="U1080" s="8" t="s">
        <v>31</v>
      </c>
      <c r="V1080" s="8" t="s">
        <v>31</v>
      </c>
      <c r="W1080" s="8" t="str">
        <f>_xlfn.IFNA(VLOOKUP(A1080,[1]Sheet1!$A$1:$B$101,1,FALSE),"na")</f>
        <v>na</v>
      </c>
      <c r="X1080" s="8" t="s">
        <v>426</v>
      </c>
      <c r="Y1080" s="9">
        <v>102</v>
      </c>
      <c r="Z1080" s="9">
        <v>44.347828</v>
      </c>
      <c r="AA1080" s="9">
        <v>102</v>
      </c>
      <c r="AB1080" s="9">
        <v>78.461539999999999</v>
      </c>
    </row>
    <row r="1081" spans="1:28" x14ac:dyDescent="0.25">
      <c r="A1081" s="8" t="s">
        <v>2250</v>
      </c>
      <c r="B1081" s="8" t="s">
        <v>2251</v>
      </c>
      <c r="C1081" s="8" t="s">
        <v>67</v>
      </c>
      <c r="D1081" s="10">
        <v>2.2000000000000002</v>
      </c>
      <c r="E1081" s="10">
        <v>1</v>
      </c>
      <c r="F1081" s="10">
        <v>1.2</v>
      </c>
      <c r="G1081" s="10">
        <v>1</v>
      </c>
      <c r="H1081" s="10">
        <v>1.2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0.2</v>
      </c>
      <c r="O1081" s="8" t="s">
        <v>31</v>
      </c>
      <c r="P1081" s="8" t="s">
        <v>31</v>
      </c>
      <c r="Q1081" s="8" t="s">
        <v>31</v>
      </c>
      <c r="R1081" s="8" t="s">
        <v>31</v>
      </c>
      <c r="S1081" s="8" t="s">
        <v>57</v>
      </c>
      <c r="T1081" s="8" t="s">
        <v>31</v>
      </c>
      <c r="U1081" s="8" t="s">
        <v>31</v>
      </c>
      <c r="V1081" s="8" t="s">
        <v>31</v>
      </c>
      <c r="W1081" s="8" t="str">
        <f>_xlfn.IFNA(VLOOKUP(A1081,[1]Sheet1!$A$1:$B$101,1,FALSE),"na")</f>
        <v>na</v>
      </c>
      <c r="X1081" s="8" t="s">
        <v>35</v>
      </c>
      <c r="Y1081" s="9">
        <v>201</v>
      </c>
      <c r="Z1081" s="9">
        <v>91.363631999999996</v>
      </c>
      <c r="AA1081" s="9">
        <v>201</v>
      </c>
      <c r="AB1081" s="9">
        <v>167.5</v>
      </c>
    </row>
    <row r="1082" spans="1:28" x14ac:dyDescent="0.25">
      <c r="A1082" s="8" t="s">
        <v>2252</v>
      </c>
      <c r="B1082" s="8" t="s">
        <v>2253</v>
      </c>
      <c r="C1082" s="8" t="s">
        <v>62</v>
      </c>
      <c r="D1082" s="10">
        <v>5.0999999000000003</v>
      </c>
      <c r="E1082" s="10">
        <v>3</v>
      </c>
      <c r="F1082" s="10">
        <v>2.0999998999999998</v>
      </c>
      <c r="G1082" s="10">
        <v>3</v>
      </c>
      <c r="H1082" s="10">
        <v>2.0999998999999998</v>
      </c>
      <c r="I1082" s="10">
        <v>0</v>
      </c>
      <c r="J1082" s="10">
        <v>0</v>
      </c>
      <c r="K1082" s="10">
        <v>0</v>
      </c>
      <c r="L1082" s="10">
        <v>0</v>
      </c>
      <c r="M1082" s="10">
        <v>0</v>
      </c>
      <c r="N1082" s="10">
        <v>0.1</v>
      </c>
      <c r="O1082" s="8" t="s">
        <v>31</v>
      </c>
      <c r="P1082" s="8" t="s">
        <v>31</v>
      </c>
      <c r="Q1082" s="8" t="s">
        <v>31</v>
      </c>
      <c r="R1082" s="8" t="s">
        <v>57</v>
      </c>
      <c r="S1082" s="8" t="s">
        <v>57</v>
      </c>
      <c r="T1082" s="8" t="s">
        <v>57</v>
      </c>
      <c r="U1082" s="8" t="s">
        <v>31</v>
      </c>
      <c r="V1082" s="8" t="s">
        <v>31</v>
      </c>
      <c r="W1082" s="8" t="str">
        <f>_xlfn.IFNA(VLOOKUP(A1082,[1]Sheet1!$A$1:$B$101,1,FALSE),"na")</f>
        <v>na</v>
      </c>
      <c r="X1082" s="8" t="s">
        <v>35</v>
      </c>
      <c r="Y1082" s="9">
        <v>182</v>
      </c>
      <c r="Z1082" s="9">
        <v>35.686275000000002</v>
      </c>
      <c r="AA1082" s="9">
        <v>60.666668000000001</v>
      </c>
      <c r="AB1082" s="9">
        <v>86.666672000000005</v>
      </c>
    </row>
    <row r="1083" spans="1:28" x14ac:dyDescent="0.25">
      <c r="A1083" s="8" t="s">
        <v>2254</v>
      </c>
      <c r="B1083" s="8" t="s">
        <v>2255</v>
      </c>
      <c r="C1083" s="8" t="s">
        <v>67</v>
      </c>
      <c r="D1083" s="10">
        <v>4.0999999000000003</v>
      </c>
      <c r="E1083" s="10">
        <v>4</v>
      </c>
      <c r="F1083" s="10">
        <v>0.1</v>
      </c>
      <c r="G1083" s="10">
        <v>4</v>
      </c>
      <c r="H1083" s="10">
        <v>0.1</v>
      </c>
      <c r="I1083" s="10">
        <v>0</v>
      </c>
      <c r="J1083" s="10">
        <v>0</v>
      </c>
      <c r="K1083" s="10">
        <v>0</v>
      </c>
      <c r="L1083" s="10">
        <v>0.1</v>
      </c>
      <c r="M1083" s="10">
        <v>0</v>
      </c>
      <c r="N1083" s="10">
        <v>0.1</v>
      </c>
      <c r="O1083" s="8" t="s">
        <v>31</v>
      </c>
      <c r="P1083" s="8" t="s">
        <v>31</v>
      </c>
      <c r="Q1083" s="8" t="s">
        <v>31</v>
      </c>
      <c r="R1083" s="8" t="s">
        <v>31</v>
      </c>
      <c r="S1083" s="8" t="s">
        <v>31</v>
      </c>
      <c r="T1083" s="8" t="s">
        <v>31</v>
      </c>
      <c r="U1083" s="8" t="s">
        <v>31</v>
      </c>
      <c r="V1083" s="8" t="s">
        <v>31</v>
      </c>
      <c r="W1083" s="8" t="str">
        <f>_xlfn.IFNA(VLOOKUP(A1083,[1]Sheet1!$A$1:$B$101,1,FALSE),"na")</f>
        <v>na</v>
      </c>
      <c r="X1083" s="8" t="s">
        <v>35</v>
      </c>
      <c r="Y1083" s="9">
        <v>1201</v>
      </c>
      <c r="Z1083" s="9">
        <v>292.92685</v>
      </c>
      <c r="AA1083" s="9">
        <v>300.25</v>
      </c>
      <c r="AB1083" s="9">
        <v>1201</v>
      </c>
    </row>
    <row r="1084" spans="1:28" x14ac:dyDescent="0.25">
      <c r="A1084" s="8" t="s">
        <v>2256</v>
      </c>
      <c r="B1084" s="8" t="s">
        <v>2257</v>
      </c>
      <c r="C1084" s="8" t="s">
        <v>30</v>
      </c>
      <c r="D1084" s="10">
        <v>3.4000001000000002</v>
      </c>
      <c r="E1084" s="10">
        <v>3</v>
      </c>
      <c r="F1084" s="10">
        <v>0.40000001000000002</v>
      </c>
      <c r="G1084" s="10">
        <v>3</v>
      </c>
      <c r="H1084" s="10">
        <v>0.40000001000000002</v>
      </c>
      <c r="I1084" s="10">
        <v>0</v>
      </c>
      <c r="J1084" s="10">
        <v>0</v>
      </c>
      <c r="K1084" s="10">
        <v>1</v>
      </c>
      <c r="L1084" s="10">
        <v>0.40000001000000002</v>
      </c>
      <c r="M1084" s="10">
        <v>0</v>
      </c>
      <c r="N1084" s="10">
        <v>0.40000001000000002</v>
      </c>
      <c r="O1084" s="8" t="s">
        <v>31</v>
      </c>
      <c r="P1084" s="8" t="s">
        <v>31</v>
      </c>
      <c r="Q1084" s="8" t="s">
        <v>31</v>
      </c>
      <c r="R1084" s="8" t="s">
        <v>31</v>
      </c>
      <c r="S1084" s="8" t="s">
        <v>31</v>
      </c>
      <c r="T1084" s="8" t="s">
        <v>31</v>
      </c>
      <c r="U1084" s="8" t="s">
        <v>31</v>
      </c>
      <c r="V1084" s="8" t="s">
        <v>31</v>
      </c>
      <c r="W1084" s="8" t="str">
        <f>_xlfn.IFNA(VLOOKUP(A1084,[1]Sheet1!$A$1:$B$101,1,FALSE),"na")</f>
        <v>na</v>
      </c>
      <c r="X1084" s="8" t="s">
        <v>35</v>
      </c>
      <c r="Y1084" s="9">
        <v>1187</v>
      </c>
      <c r="Z1084" s="9">
        <v>349.11765000000003</v>
      </c>
      <c r="AA1084" s="9">
        <v>395.66665999999998</v>
      </c>
      <c r="AB1084" s="9">
        <v>1187</v>
      </c>
    </row>
    <row r="1085" spans="1:28" x14ac:dyDescent="0.25">
      <c r="A1085" s="8" t="s">
        <v>2258</v>
      </c>
      <c r="B1085" s="8" t="s">
        <v>2259</v>
      </c>
      <c r="C1085" s="8" t="s">
        <v>30</v>
      </c>
      <c r="D1085" s="10">
        <v>2.5999998999999998</v>
      </c>
      <c r="E1085" s="10">
        <v>2</v>
      </c>
      <c r="F1085" s="10">
        <v>0.60000001999999997</v>
      </c>
      <c r="G1085" s="10">
        <v>2</v>
      </c>
      <c r="H1085" s="10">
        <v>0.60000001999999997</v>
      </c>
      <c r="I1085" s="10">
        <v>0</v>
      </c>
      <c r="J1085" s="10">
        <v>0</v>
      </c>
      <c r="K1085" s="10">
        <v>0</v>
      </c>
      <c r="L1085" s="10">
        <v>0.60000001999999997</v>
      </c>
      <c r="M1085" s="10">
        <v>0</v>
      </c>
      <c r="N1085" s="10">
        <v>0.60000001999999997</v>
      </c>
      <c r="O1085" s="8" t="s">
        <v>31</v>
      </c>
      <c r="P1085" s="8" t="s">
        <v>31</v>
      </c>
      <c r="Q1085" s="8" t="s">
        <v>31</v>
      </c>
      <c r="R1085" s="8" t="s">
        <v>31</v>
      </c>
      <c r="S1085" s="8" t="s">
        <v>31</v>
      </c>
      <c r="T1085" s="8" t="s">
        <v>31</v>
      </c>
      <c r="U1085" s="8" t="s">
        <v>31</v>
      </c>
      <c r="V1085" s="8" t="s">
        <v>31</v>
      </c>
      <c r="W1085" s="8" t="str">
        <f>_xlfn.IFNA(VLOOKUP(A1085,[1]Sheet1!$A$1:$B$101,1,FALSE),"na")</f>
        <v>na</v>
      </c>
      <c r="X1085" s="8" t="s">
        <v>35</v>
      </c>
      <c r="Y1085" s="9">
        <v>840</v>
      </c>
      <c r="Z1085" s="9">
        <v>323.07693</v>
      </c>
      <c r="AA1085" s="9">
        <v>420</v>
      </c>
      <c r="AB1085" s="9">
        <v>840</v>
      </c>
    </row>
    <row r="1086" spans="1:28" x14ac:dyDescent="0.25">
      <c r="A1086" s="8" t="s">
        <v>2260</v>
      </c>
      <c r="B1086" s="8" t="s">
        <v>2261</v>
      </c>
      <c r="C1086" s="8" t="s">
        <v>30</v>
      </c>
      <c r="D1086" s="10">
        <v>1.8</v>
      </c>
      <c r="E1086" s="10">
        <v>1</v>
      </c>
      <c r="F1086" s="10">
        <v>0.80000000999999998</v>
      </c>
      <c r="G1086" s="10">
        <v>1</v>
      </c>
      <c r="H1086" s="10">
        <v>0.80000000999999998</v>
      </c>
      <c r="I1086" s="10">
        <v>0</v>
      </c>
      <c r="J1086" s="10">
        <v>0</v>
      </c>
      <c r="K1086" s="10">
        <v>1</v>
      </c>
      <c r="L1086" s="10">
        <v>0.80000000999999998</v>
      </c>
      <c r="M1086" s="10">
        <v>0</v>
      </c>
      <c r="N1086" s="10">
        <v>0.80000000999999998</v>
      </c>
      <c r="O1086" s="8" t="s">
        <v>31</v>
      </c>
      <c r="P1086" s="8" t="s">
        <v>31</v>
      </c>
      <c r="Q1086" s="8" t="s">
        <v>31</v>
      </c>
      <c r="R1086" s="8" t="s">
        <v>31</v>
      </c>
      <c r="S1086" s="8" t="s">
        <v>31</v>
      </c>
      <c r="T1086" s="8" t="s">
        <v>31</v>
      </c>
      <c r="U1086" s="8" t="s">
        <v>31</v>
      </c>
      <c r="V1086" s="8" t="s">
        <v>31</v>
      </c>
      <c r="W1086" s="8" t="str">
        <f>_xlfn.IFNA(VLOOKUP(A1086,[1]Sheet1!$A$1:$B$101,1,FALSE),"na")</f>
        <v>na</v>
      </c>
      <c r="X1086" s="8" t="s">
        <v>35</v>
      </c>
      <c r="Y1086" s="9">
        <v>819</v>
      </c>
      <c r="Z1086" s="9">
        <v>455</v>
      </c>
      <c r="AA1086" s="9">
        <v>819</v>
      </c>
      <c r="AB1086" s="9">
        <v>819</v>
      </c>
    </row>
    <row r="1087" spans="1:28" x14ac:dyDescent="0.25">
      <c r="A1087" s="8" t="s">
        <v>2262</v>
      </c>
      <c r="B1087" s="8" t="s">
        <v>2263</v>
      </c>
      <c r="C1087" s="8" t="s">
        <v>30</v>
      </c>
      <c r="D1087" s="10">
        <v>5.1999997999999996</v>
      </c>
      <c r="E1087" s="10">
        <v>4</v>
      </c>
      <c r="F1087" s="10">
        <v>1.2</v>
      </c>
      <c r="G1087" s="10">
        <v>4</v>
      </c>
      <c r="H1087" s="10">
        <v>1.2</v>
      </c>
      <c r="I1087" s="10">
        <v>0</v>
      </c>
      <c r="J1087" s="10">
        <v>0</v>
      </c>
      <c r="K1087" s="10">
        <v>0</v>
      </c>
      <c r="L1087" s="10">
        <v>0.80000000999999998</v>
      </c>
      <c r="M1087" s="10">
        <v>0</v>
      </c>
      <c r="N1087" s="10">
        <v>1.2</v>
      </c>
      <c r="O1087" s="8" t="s">
        <v>31</v>
      </c>
      <c r="P1087" s="8" t="s">
        <v>31</v>
      </c>
      <c r="Q1087" s="8" t="s">
        <v>31</v>
      </c>
      <c r="R1087" s="8" t="s">
        <v>31</v>
      </c>
      <c r="S1087" s="8" t="s">
        <v>31</v>
      </c>
      <c r="T1087" s="8" t="s">
        <v>31</v>
      </c>
      <c r="U1087" s="8" t="s">
        <v>31</v>
      </c>
      <c r="V1087" s="8" t="s">
        <v>31</v>
      </c>
      <c r="W1087" s="8" t="str">
        <f>_xlfn.IFNA(VLOOKUP(A1087,[1]Sheet1!$A$1:$B$101,1,FALSE),"na")</f>
        <v>na</v>
      </c>
      <c r="X1087" s="8" t="s">
        <v>35</v>
      </c>
      <c r="Y1087" s="9">
        <v>993</v>
      </c>
      <c r="Z1087" s="9">
        <v>190.96154999999999</v>
      </c>
      <c r="AA1087" s="9">
        <v>248.25</v>
      </c>
      <c r="AB1087" s="9">
        <v>827.49994000000004</v>
      </c>
    </row>
    <row r="1088" spans="1:28" x14ac:dyDescent="0.25">
      <c r="A1088" s="8" t="s">
        <v>2264</v>
      </c>
      <c r="B1088" s="8" t="s">
        <v>2265</v>
      </c>
      <c r="C1088" s="8" t="s">
        <v>30</v>
      </c>
      <c r="D1088" s="10">
        <v>4</v>
      </c>
      <c r="E1088" s="10">
        <v>3</v>
      </c>
      <c r="F1088" s="10">
        <v>1</v>
      </c>
      <c r="G1088" s="10">
        <v>3</v>
      </c>
      <c r="H1088" s="10">
        <v>1</v>
      </c>
      <c r="I1088" s="10">
        <v>0</v>
      </c>
      <c r="J1088" s="10">
        <v>0</v>
      </c>
      <c r="K1088" s="10">
        <v>1</v>
      </c>
      <c r="L1088" s="10">
        <v>0.60000001999999997</v>
      </c>
      <c r="M1088" s="10">
        <v>0</v>
      </c>
      <c r="N1088" s="10">
        <v>1</v>
      </c>
      <c r="O1088" s="8" t="s">
        <v>31</v>
      </c>
      <c r="P1088" s="8" t="s">
        <v>31</v>
      </c>
      <c r="Q1088" s="8" t="s">
        <v>31</v>
      </c>
      <c r="R1088" s="8" t="s">
        <v>31</v>
      </c>
      <c r="S1088" s="8" t="s">
        <v>31</v>
      </c>
      <c r="T1088" s="8" t="s">
        <v>31</v>
      </c>
      <c r="U1088" s="8" t="s">
        <v>31</v>
      </c>
      <c r="V1088" s="8" t="s">
        <v>31</v>
      </c>
      <c r="W1088" s="8" t="str">
        <f>_xlfn.IFNA(VLOOKUP(A1088,[1]Sheet1!$A$1:$B$101,1,FALSE),"na")</f>
        <v>na</v>
      </c>
      <c r="X1088" s="8" t="s">
        <v>2266</v>
      </c>
      <c r="Y1088" s="9">
        <v>934</v>
      </c>
      <c r="Z1088" s="9">
        <v>233.5</v>
      </c>
      <c r="AA1088" s="9">
        <v>311.33334000000002</v>
      </c>
      <c r="AB1088" s="9">
        <v>934</v>
      </c>
    </row>
    <row r="1089" spans="1:28" x14ac:dyDescent="0.25">
      <c r="A1089" s="8" t="s">
        <v>2267</v>
      </c>
      <c r="B1089" s="8" t="s">
        <v>2268</v>
      </c>
      <c r="C1089" s="8" t="s">
        <v>30</v>
      </c>
      <c r="D1089" s="10">
        <v>6.5999999000000003</v>
      </c>
      <c r="E1089" s="10">
        <v>5</v>
      </c>
      <c r="F1089" s="10">
        <v>1.6</v>
      </c>
      <c r="G1089" s="10">
        <v>5</v>
      </c>
      <c r="H1089" s="10">
        <v>1.6</v>
      </c>
      <c r="I1089" s="10">
        <v>0</v>
      </c>
      <c r="J1089" s="10">
        <v>0</v>
      </c>
      <c r="K1089" s="10">
        <v>4</v>
      </c>
      <c r="L1089" s="10">
        <v>1.4</v>
      </c>
      <c r="M1089" s="10">
        <v>0</v>
      </c>
      <c r="N1089" s="10">
        <v>1.6</v>
      </c>
      <c r="O1089" s="8" t="s">
        <v>31</v>
      </c>
      <c r="P1089" s="8" t="s">
        <v>31</v>
      </c>
      <c r="Q1089" s="8" t="s">
        <v>31</v>
      </c>
      <c r="R1089" s="8" t="s">
        <v>31</v>
      </c>
      <c r="S1089" s="8" t="s">
        <v>31</v>
      </c>
      <c r="T1089" s="8" t="s">
        <v>31</v>
      </c>
      <c r="U1089" s="8" t="s">
        <v>31</v>
      </c>
      <c r="V1089" s="8" t="s">
        <v>31</v>
      </c>
      <c r="W1089" s="8" t="str">
        <f>_xlfn.IFNA(VLOOKUP(A1089,[1]Sheet1!$A$1:$B$101,1,FALSE),"na")</f>
        <v>na</v>
      </c>
      <c r="X1089" s="8" t="s">
        <v>487</v>
      </c>
      <c r="Y1089" s="9">
        <v>1502</v>
      </c>
      <c r="Z1089" s="9">
        <v>227.57576</v>
      </c>
      <c r="AA1089" s="9">
        <v>300.39999</v>
      </c>
      <c r="AB1089" s="9">
        <v>938.75</v>
      </c>
    </row>
    <row r="1090" spans="1:28" x14ac:dyDescent="0.25">
      <c r="A1090" s="8" t="s">
        <v>2269</v>
      </c>
      <c r="B1090" s="8" t="s">
        <v>2270</v>
      </c>
      <c r="C1090" s="8" t="s">
        <v>444</v>
      </c>
      <c r="D1090" s="10">
        <v>2.4000001000000002</v>
      </c>
      <c r="E1090" s="10">
        <v>1</v>
      </c>
      <c r="F1090" s="10">
        <v>1.4</v>
      </c>
      <c r="G1090" s="10">
        <v>1</v>
      </c>
      <c r="H1090" s="10">
        <v>1.4</v>
      </c>
      <c r="I1090" s="10">
        <v>0</v>
      </c>
      <c r="J1090" s="10">
        <v>0</v>
      </c>
      <c r="K1090" s="10">
        <v>0</v>
      </c>
      <c r="L1090" s="10">
        <v>0.40000001000000002</v>
      </c>
      <c r="M1090" s="10">
        <v>0</v>
      </c>
      <c r="N1090" s="10">
        <v>0.40000001000000002</v>
      </c>
      <c r="O1090" s="8" t="s">
        <v>57</v>
      </c>
      <c r="P1090" s="8" t="s">
        <v>31</v>
      </c>
      <c r="Q1090" s="8" t="s">
        <v>31</v>
      </c>
      <c r="R1090" s="8" t="s">
        <v>31</v>
      </c>
      <c r="S1090" s="8" t="s">
        <v>31</v>
      </c>
      <c r="T1090" s="8" t="s">
        <v>31</v>
      </c>
      <c r="U1090" s="8" t="s">
        <v>31</v>
      </c>
      <c r="V1090" s="8" t="s">
        <v>31</v>
      </c>
      <c r="W1090" s="8" t="str">
        <f>_xlfn.IFNA(VLOOKUP(A1090,[1]Sheet1!$A$1:$B$101,1,FALSE),"na")</f>
        <v>na</v>
      </c>
      <c r="X1090" s="8" t="s">
        <v>35</v>
      </c>
      <c r="Y1090" s="9">
        <v>264</v>
      </c>
      <c r="Z1090" s="9">
        <v>109.99999</v>
      </c>
      <c r="AA1090" s="9">
        <v>264</v>
      </c>
      <c r="AB1090" s="9">
        <v>188.57142999999999</v>
      </c>
    </row>
    <row r="1091" spans="1:28" x14ac:dyDescent="0.25">
      <c r="A1091" s="8" t="s">
        <v>2271</v>
      </c>
      <c r="B1091" s="8" t="s">
        <v>2272</v>
      </c>
      <c r="C1091" s="8" t="s">
        <v>38</v>
      </c>
      <c r="D1091" s="10">
        <v>3.8</v>
      </c>
      <c r="E1091" s="10">
        <v>3</v>
      </c>
      <c r="F1091" s="10">
        <v>0.80000000999999998</v>
      </c>
      <c r="G1091" s="10">
        <v>3</v>
      </c>
      <c r="H1091" s="10">
        <v>0.80000000999999998</v>
      </c>
      <c r="I1091" s="10">
        <v>0</v>
      </c>
      <c r="J1091" s="10">
        <v>0</v>
      </c>
      <c r="K1091" s="10">
        <v>0</v>
      </c>
      <c r="L1091" s="10">
        <v>0.80000000999999998</v>
      </c>
      <c r="M1091" s="10">
        <v>0</v>
      </c>
      <c r="N1091" s="10">
        <v>0.80000000999999998</v>
      </c>
      <c r="O1091" s="8" t="s">
        <v>31</v>
      </c>
      <c r="P1091" s="8" t="s">
        <v>31</v>
      </c>
      <c r="Q1091" s="8" t="s">
        <v>31</v>
      </c>
      <c r="R1091" s="8" t="s">
        <v>31</v>
      </c>
      <c r="S1091" s="8" t="s">
        <v>31</v>
      </c>
      <c r="T1091" s="8" t="s">
        <v>31</v>
      </c>
      <c r="U1091" s="8" t="s">
        <v>31</v>
      </c>
      <c r="V1091" s="8" t="s">
        <v>31</v>
      </c>
      <c r="W1091" s="8" t="str">
        <f>_xlfn.IFNA(VLOOKUP(A1091,[1]Sheet1!$A$1:$B$101,1,FALSE),"na")</f>
        <v>na</v>
      </c>
      <c r="X1091" s="8" t="s">
        <v>35</v>
      </c>
      <c r="Y1091" s="9">
        <v>1225</v>
      </c>
      <c r="Z1091" s="9">
        <v>322.36844000000002</v>
      </c>
      <c r="AA1091" s="9">
        <v>408.33334000000002</v>
      </c>
      <c r="AB1091" s="9">
        <v>1225</v>
      </c>
    </row>
    <row r="1092" spans="1:28" x14ac:dyDescent="0.25">
      <c r="A1092" s="8" t="s">
        <v>2273</v>
      </c>
      <c r="B1092" s="8" t="s">
        <v>2274</v>
      </c>
      <c r="C1092" s="8" t="s">
        <v>30</v>
      </c>
      <c r="D1092" s="10">
        <v>2.2000000000000002</v>
      </c>
      <c r="E1092" s="10">
        <v>1</v>
      </c>
      <c r="F1092" s="10">
        <v>1.2</v>
      </c>
      <c r="G1092" s="10">
        <v>1</v>
      </c>
      <c r="H1092" s="10">
        <v>1.2</v>
      </c>
      <c r="I1092" s="10">
        <v>0</v>
      </c>
      <c r="J1092" s="10">
        <v>0</v>
      </c>
      <c r="K1092" s="10">
        <v>0</v>
      </c>
      <c r="L1092" s="10">
        <v>0.2</v>
      </c>
      <c r="M1092" s="10">
        <v>0</v>
      </c>
      <c r="N1092" s="10">
        <v>0.2</v>
      </c>
      <c r="O1092" s="8" t="s">
        <v>57</v>
      </c>
      <c r="P1092" s="8" t="s">
        <v>31</v>
      </c>
      <c r="Q1092" s="8" t="s">
        <v>31</v>
      </c>
      <c r="R1092" s="8" t="s">
        <v>31</v>
      </c>
      <c r="S1092" s="8" t="s">
        <v>31</v>
      </c>
      <c r="T1092" s="8" t="s">
        <v>31</v>
      </c>
      <c r="U1092" s="8" t="s">
        <v>31</v>
      </c>
      <c r="V1092" s="8" t="s">
        <v>31</v>
      </c>
      <c r="W1092" s="8" t="str">
        <f>_xlfn.IFNA(VLOOKUP(A1092,[1]Sheet1!$A$1:$B$101,1,FALSE),"na")</f>
        <v>na</v>
      </c>
      <c r="X1092" s="8" t="s">
        <v>35</v>
      </c>
      <c r="Y1092" s="9">
        <v>752</v>
      </c>
      <c r="Z1092" s="9">
        <v>341.81817999999998</v>
      </c>
      <c r="AA1092" s="9">
        <v>752</v>
      </c>
      <c r="AB1092" s="9">
        <v>626.66663000000005</v>
      </c>
    </row>
    <row r="1093" spans="1:28" x14ac:dyDescent="0.25">
      <c r="A1093" s="8" t="s">
        <v>2275</v>
      </c>
      <c r="B1093" s="8" t="s">
        <v>2276</v>
      </c>
      <c r="C1093" s="8" t="s">
        <v>67</v>
      </c>
      <c r="D1093" s="10">
        <v>7.4000000999999997</v>
      </c>
      <c r="E1093" s="10">
        <v>7</v>
      </c>
      <c r="F1093" s="10">
        <v>0.40000001000000002</v>
      </c>
      <c r="G1093" s="10">
        <v>7</v>
      </c>
      <c r="H1093" s="10">
        <v>0.40000001000000002</v>
      </c>
      <c r="I1093" s="10">
        <v>0</v>
      </c>
      <c r="J1093" s="10">
        <v>0</v>
      </c>
      <c r="K1093" s="10">
        <v>1</v>
      </c>
      <c r="L1093" s="10">
        <v>0.2</v>
      </c>
      <c r="M1093" s="10">
        <v>0</v>
      </c>
      <c r="N1093" s="10">
        <v>0.40000001000000002</v>
      </c>
      <c r="O1093" s="8" t="s">
        <v>31</v>
      </c>
      <c r="P1093" s="8" t="s">
        <v>31</v>
      </c>
      <c r="Q1093" s="8" t="s">
        <v>31</v>
      </c>
      <c r="R1093" s="8" t="s">
        <v>31</v>
      </c>
      <c r="S1093" s="8" t="s">
        <v>31</v>
      </c>
      <c r="T1093" s="8" t="s">
        <v>31</v>
      </c>
      <c r="U1093" s="8" t="s">
        <v>31</v>
      </c>
      <c r="V1093" s="8" t="s">
        <v>31</v>
      </c>
      <c r="W1093" s="8" t="str">
        <f>_xlfn.IFNA(VLOOKUP(A1093,[1]Sheet1!$A$1:$B$101,1,FALSE),"na")</f>
        <v>na</v>
      </c>
      <c r="X1093" s="8" t="s">
        <v>35</v>
      </c>
      <c r="Y1093" s="9">
        <v>2150</v>
      </c>
      <c r="Z1093" s="9">
        <v>290.54052999999999</v>
      </c>
      <c r="AA1093" s="9">
        <v>307.14285000000001</v>
      </c>
      <c r="AB1093" s="9">
        <v>2150</v>
      </c>
    </row>
    <row r="1094" spans="1:28" x14ac:dyDescent="0.25">
      <c r="A1094" s="8" t="s">
        <v>2277</v>
      </c>
      <c r="B1094" s="8" t="s">
        <v>2278</v>
      </c>
      <c r="C1094" s="8" t="s">
        <v>30</v>
      </c>
      <c r="D1094" s="10">
        <v>1.6</v>
      </c>
      <c r="E1094" s="10">
        <v>1</v>
      </c>
      <c r="F1094" s="10">
        <v>0.60000001999999997</v>
      </c>
      <c r="G1094" s="10">
        <v>1</v>
      </c>
      <c r="H1094" s="10">
        <v>0.60000001999999997</v>
      </c>
      <c r="I1094" s="10">
        <v>0</v>
      </c>
      <c r="J1094" s="10">
        <v>0</v>
      </c>
      <c r="K1094" s="10">
        <v>0</v>
      </c>
      <c r="L1094" s="10">
        <v>0.60000001999999997</v>
      </c>
      <c r="M1094" s="10">
        <v>0</v>
      </c>
      <c r="N1094" s="10">
        <v>0.60000001999999997</v>
      </c>
      <c r="O1094" s="8" t="s">
        <v>31</v>
      </c>
      <c r="P1094" s="8" t="s">
        <v>31</v>
      </c>
      <c r="Q1094" s="8" t="s">
        <v>31</v>
      </c>
      <c r="R1094" s="8" t="s">
        <v>31</v>
      </c>
      <c r="S1094" s="8" t="s">
        <v>31</v>
      </c>
      <c r="T1094" s="8" t="s">
        <v>31</v>
      </c>
      <c r="U1094" s="8" t="s">
        <v>31</v>
      </c>
      <c r="V1094" s="8" t="s">
        <v>31</v>
      </c>
      <c r="W1094" s="8" t="str">
        <f>_xlfn.IFNA(VLOOKUP(A1094,[1]Sheet1!$A$1:$B$101,1,FALSE),"na")</f>
        <v>na</v>
      </c>
      <c r="X1094" s="8" t="s">
        <v>35</v>
      </c>
      <c r="Y1094" s="9">
        <v>463</v>
      </c>
      <c r="Z1094" s="9">
        <v>289.375</v>
      </c>
      <c r="AA1094" s="9">
        <v>463</v>
      </c>
      <c r="AB1094" s="9">
        <v>463</v>
      </c>
    </row>
    <row r="1095" spans="1:28" x14ac:dyDescent="0.25">
      <c r="A1095" s="8" t="s">
        <v>2279</v>
      </c>
      <c r="B1095" s="8" t="s">
        <v>2280</v>
      </c>
      <c r="C1095" s="8" t="s">
        <v>30</v>
      </c>
      <c r="D1095" s="10">
        <v>1.3</v>
      </c>
      <c r="E1095" s="10">
        <v>1</v>
      </c>
      <c r="F1095" s="10">
        <v>0.30000000999999998</v>
      </c>
      <c r="G1095" s="10">
        <v>1</v>
      </c>
      <c r="H1095" s="10">
        <v>0.30000000999999998</v>
      </c>
      <c r="I1095" s="10">
        <v>0</v>
      </c>
      <c r="J1095" s="10">
        <v>0</v>
      </c>
      <c r="K1095" s="10">
        <v>1</v>
      </c>
      <c r="L1095" s="10">
        <v>0.30000000999999998</v>
      </c>
      <c r="M1095" s="10">
        <v>0</v>
      </c>
      <c r="N1095" s="10">
        <v>0.30000000999999998</v>
      </c>
      <c r="O1095" s="8" t="s">
        <v>31</v>
      </c>
      <c r="P1095" s="8" t="s">
        <v>31</v>
      </c>
      <c r="Q1095" s="8" t="s">
        <v>31</v>
      </c>
      <c r="R1095" s="8" t="s">
        <v>31</v>
      </c>
      <c r="S1095" s="8" t="s">
        <v>31</v>
      </c>
      <c r="T1095" s="8" t="s">
        <v>31</v>
      </c>
      <c r="U1095" s="8" t="s">
        <v>31</v>
      </c>
      <c r="V1095" s="8" t="s">
        <v>31</v>
      </c>
      <c r="W1095" s="8" t="str">
        <f>_xlfn.IFNA(VLOOKUP(A1095,[1]Sheet1!$A$1:$B$101,1,FALSE),"na")</f>
        <v>na</v>
      </c>
      <c r="X1095" s="8" t="s">
        <v>35</v>
      </c>
      <c r="Y1095" s="9">
        <v>475</v>
      </c>
      <c r="Z1095" s="9">
        <v>365.38463999999999</v>
      </c>
      <c r="AA1095" s="9">
        <v>475</v>
      </c>
      <c r="AB1095" s="9">
        <v>475</v>
      </c>
    </row>
    <row r="1096" spans="1:28" x14ac:dyDescent="0.25">
      <c r="A1096" s="8" t="s">
        <v>2281</v>
      </c>
      <c r="B1096" s="8" t="s">
        <v>2282</v>
      </c>
      <c r="C1096" s="8" t="s">
        <v>67</v>
      </c>
      <c r="D1096" s="10">
        <v>8.1999998000000005</v>
      </c>
      <c r="E1096" s="10">
        <v>5</v>
      </c>
      <c r="F1096" s="10">
        <v>3.2</v>
      </c>
      <c r="G1096" s="10">
        <v>5</v>
      </c>
      <c r="H1096" s="10">
        <v>3.2</v>
      </c>
      <c r="I1096" s="10">
        <v>0</v>
      </c>
      <c r="J1096" s="10">
        <v>0</v>
      </c>
      <c r="K1096" s="10">
        <v>0</v>
      </c>
      <c r="L1096" s="10">
        <v>0.2</v>
      </c>
      <c r="M1096" s="10">
        <v>0</v>
      </c>
      <c r="N1096" s="10">
        <v>0.2</v>
      </c>
      <c r="O1096" s="8" t="s">
        <v>31</v>
      </c>
      <c r="P1096" s="8" t="s">
        <v>31</v>
      </c>
      <c r="Q1096" s="8" t="s">
        <v>31</v>
      </c>
      <c r="R1096" s="8" t="s">
        <v>57</v>
      </c>
      <c r="S1096" s="8" t="s">
        <v>31</v>
      </c>
      <c r="T1096" s="8" t="s">
        <v>31</v>
      </c>
      <c r="U1096" s="8" t="s">
        <v>31</v>
      </c>
      <c r="V1096" s="8" t="s">
        <v>31</v>
      </c>
      <c r="W1096" s="8" t="str">
        <f>_xlfn.IFNA(VLOOKUP(A1096,[1]Sheet1!$A$1:$B$101,1,FALSE),"na")</f>
        <v>na</v>
      </c>
      <c r="X1096" s="8" t="s">
        <v>35</v>
      </c>
      <c r="Y1096" s="9">
        <v>1587</v>
      </c>
      <c r="Z1096" s="9">
        <v>193.53658999999999</v>
      </c>
      <c r="AA1096" s="9">
        <v>317.39999</v>
      </c>
      <c r="AB1096" s="9">
        <v>495.9375</v>
      </c>
    </row>
    <row r="1097" spans="1:28" x14ac:dyDescent="0.25">
      <c r="A1097" s="8" t="s">
        <v>2283</v>
      </c>
      <c r="B1097" s="8" t="s">
        <v>2284</v>
      </c>
      <c r="C1097" s="8" t="s">
        <v>67</v>
      </c>
      <c r="D1097" s="10">
        <v>3.0999998999999998</v>
      </c>
      <c r="E1097" s="10">
        <v>2</v>
      </c>
      <c r="F1097" s="10">
        <v>1.1000000000000001</v>
      </c>
      <c r="G1097" s="10">
        <v>2</v>
      </c>
      <c r="H1097" s="10">
        <v>1.1000000000000001</v>
      </c>
      <c r="I1097" s="10">
        <v>0</v>
      </c>
      <c r="J1097" s="10">
        <v>0</v>
      </c>
      <c r="K1097" s="10">
        <v>0</v>
      </c>
      <c r="L1097" s="10">
        <v>0.1</v>
      </c>
      <c r="M1097" s="10">
        <v>0</v>
      </c>
      <c r="N1097" s="10">
        <v>0.1</v>
      </c>
      <c r="O1097" s="8" t="s">
        <v>57</v>
      </c>
      <c r="P1097" s="8" t="s">
        <v>31</v>
      </c>
      <c r="Q1097" s="8" t="s">
        <v>31</v>
      </c>
      <c r="R1097" s="8" t="s">
        <v>31</v>
      </c>
      <c r="S1097" s="8" t="s">
        <v>31</v>
      </c>
      <c r="T1097" s="8" t="s">
        <v>31</v>
      </c>
      <c r="U1097" s="8" t="s">
        <v>31</v>
      </c>
      <c r="V1097" s="8" t="s">
        <v>31</v>
      </c>
      <c r="W1097" s="8" t="str">
        <f>_xlfn.IFNA(VLOOKUP(A1097,[1]Sheet1!$A$1:$B$101,1,FALSE),"na")</f>
        <v>na</v>
      </c>
      <c r="X1097" s="8" t="s">
        <v>35</v>
      </c>
      <c r="Y1097" s="9">
        <v>570</v>
      </c>
      <c r="Z1097" s="9">
        <v>183.87097</v>
      </c>
      <c r="AA1097" s="9">
        <v>285</v>
      </c>
      <c r="AB1097" s="9">
        <v>518.18182000000002</v>
      </c>
    </row>
    <row r="1098" spans="1:28" x14ac:dyDescent="0.25">
      <c r="A1098" s="8" t="s">
        <v>2285</v>
      </c>
      <c r="B1098" s="8" t="s">
        <v>2286</v>
      </c>
      <c r="C1098" s="8" t="s">
        <v>30</v>
      </c>
      <c r="D1098" s="10">
        <v>1.8</v>
      </c>
      <c r="E1098" s="10">
        <v>1</v>
      </c>
      <c r="F1098" s="10">
        <v>0.80000000999999998</v>
      </c>
      <c r="G1098" s="10">
        <v>1</v>
      </c>
      <c r="H1098" s="10">
        <v>0.80000000999999998</v>
      </c>
      <c r="I1098" s="10">
        <v>0</v>
      </c>
      <c r="J1098" s="10">
        <v>0</v>
      </c>
      <c r="K1098" s="10">
        <v>0</v>
      </c>
      <c r="L1098" s="10">
        <v>0.80000000999999998</v>
      </c>
      <c r="M1098" s="10">
        <v>0</v>
      </c>
      <c r="N1098" s="10">
        <v>0.80000000999999998</v>
      </c>
      <c r="O1098" s="8" t="s">
        <v>31</v>
      </c>
      <c r="P1098" s="8" t="s">
        <v>31</v>
      </c>
      <c r="Q1098" s="8" t="s">
        <v>31</v>
      </c>
      <c r="R1098" s="8" t="s">
        <v>31</v>
      </c>
      <c r="S1098" s="8" t="s">
        <v>31</v>
      </c>
      <c r="T1098" s="8" t="s">
        <v>31</v>
      </c>
      <c r="U1098" s="8" t="s">
        <v>31</v>
      </c>
      <c r="V1098" s="8" t="s">
        <v>31</v>
      </c>
      <c r="W1098" s="8" t="str">
        <f>_xlfn.IFNA(VLOOKUP(A1098,[1]Sheet1!$A$1:$B$101,1,FALSE),"na")</f>
        <v>na</v>
      </c>
      <c r="X1098" s="8" t="s">
        <v>35</v>
      </c>
      <c r="Y1098" s="9">
        <v>662</v>
      </c>
      <c r="Z1098" s="9">
        <v>367.77780000000001</v>
      </c>
      <c r="AA1098" s="9">
        <v>662</v>
      </c>
      <c r="AB1098" s="9">
        <v>662</v>
      </c>
    </row>
    <row r="1099" spans="1:28" x14ac:dyDescent="0.25">
      <c r="A1099" s="8" t="s">
        <v>2287</v>
      </c>
      <c r="B1099" s="8" t="s">
        <v>2288</v>
      </c>
      <c r="C1099" s="8" t="s">
        <v>38</v>
      </c>
      <c r="D1099" s="10">
        <v>1.4</v>
      </c>
      <c r="E1099" s="10">
        <v>1</v>
      </c>
      <c r="F1099" s="10">
        <v>0.40000001000000002</v>
      </c>
      <c r="G1099" s="10">
        <v>1</v>
      </c>
      <c r="H1099" s="10">
        <v>0.40000001000000002</v>
      </c>
      <c r="I1099" s="10">
        <v>0</v>
      </c>
      <c r="J1099" s="10">
        <v>0</v>
      </c>
      <c r="K1099" s="10">
        <v>0</v>
      </c>
      <c r="L1099" s="10">
        <v>0.40000001000000002</v>
      </c>
      <c r="M1099" s="10">
        <v>0</v>
      </c>
      <c r="N1099" s="10">
        <v>0.40000001000000002</v>
      </c>
      <c r="O1099" s="8" t="s">
        <v>31</v>
      </c>
      <c r="P1099" s="8" t="s">
        <v>31</v>
      </c>
      <c r="Q1099" s="8" t="s">
        <v>31</v>
      </c>
      <c r="R1099" s="8" t="s">
        <v>31</v>
      </c>
      <c r="S1099" s="8" t="s">
        <v>31</v>
      </c>
      <c r="T1099" s="8" t="s">
        <v>31</v>
      </c>
      <c r="U1099" s="8" t="s">
        <v>31</v>
      </c>
      <c r="V1099" s="8" t="s">
        <v>31</v>
      </c>
      <c r="W1099" s="8" t="str">
        <f>_xlfn.IFNA(VLOOKUP(A1099,[1]Sheet1!$A$1:$B$101,1,FALSE),"na")</f>
        <v>na</v>
      </c>
      <c r="X1099" s="8" t="s">
        <v>35</v>
      </c>
      <c r="Y1099" s="9">
        <v>545</v>
      </c>
      <c r="Z1099" s="9">
        <v>389.28573999999998</v>
      </c>
      <c r="AA1099" s="9">
        <v>545</v>
      </c>
      <c r="AB1099" s="9">
        <v>545</v>
      </c>
    </row>
    <row r="1100" spans="1:28" x14ac:dyDescent="0.25">
      <c r="A1100" s="8" t="s">
        <v>2289</v>
      </c>
      <c r="B1100" s="8" t="s">
        <v>2290</v>
      </c>
      <c r="C1100" s="8" t="s">
        <v>30</v>
      </c>
      <c r="D1100" s="10">
        <v>2.5999998999999998</v>
      </c>
      <c r="E1100" s="10">
        <v>1</v>
      </c>
      <c r="F1100" s="10">
        <v>1.6</v>
      </c>
      <c r="G1100" s="10">
        <v>1</v>
      </c>
      <c r="H1100" s="10">
        <v>1.6</v>
      </c>
      <c r="I1100" s="10">
        <v>0</v>
      </c>
      <c r="J1100" s="10">
        <v>0</v>
      </c>
      <c r="K1100" s="10">
        <v>0</v>
      </c>
      <c r="L1100" s="10">
        <v>0.60000001999999997</v>
      </c>
      <c r="M1100" s="10">
        <v>0</v>
      </c>
      <c r="N1100" s="10">
        <v>0.60000001999999997</v>
      </c>
      <c r="O1100" s="8" t="s">
        <v>31</v>
      </c>
      <c r="P1100" s="8" t="s">
        <v>31</v>
      </c>
      <c r="Q1100" s="8" t="s">
        <v>31</v>
      </c>
      <c r="R1100" s="8" t="s">
        <v>31</v>
      </c>
      <c r="S1100" s="8" t="s">
        <v>31</v>
      </c>
      <c r="T1100" s="8" t="s">
        <v>31</v>
      </c>
      <c r="U1100" s="8" t="s">
        <v>31</v>
      </c>
      <c r="V1100" s="8" t="s">
        <v>31</v>
      </c>
      <c r="W1100" s="8" t="str">
        <f>_xlfn.IFNA(VLOOKUP(A1100,[1]Sheet1!$A$1:$B$101,1,FALSE),"na")</f>
        <v>na</v>
      </c>
      <c r="X1100" s="8" t="s">
        <v>35</v>
      </c>
      <c r="Y1100" s="9">
        <v>694</v>
      </c>
      <c r="Z1100" s="9">
        <v>266.92309999999998</v>
      </c>
      <c r="AA1100" s="9">
        <v>694</v>
      </c>
      <c r="AB1100" s="9">
        <v>433.75</v>
      </c>
    </row>
    <row r="1101" spans="1:28" x14ac:dyDescent="0.25">
      <c r="A1101" s="8" t="s">
        <v>2291</v>
      </c>
      <c r="B1101" s="8" t="s">
        <v>2292</v>
      </c>
      <c r="C1101" s="8" t="s">
        <v>30</v>
      </c>
      <c r="D1101" s="10">
        <v>3.4000001000000002</v>
      </c>
      <c r="E1101" s="10">
        <v>2</v>
      </c>
      <c r="F1101" s="10">
        <v>1.4</v>
      </c>
      <c r="G1101" s="10">
        <v>2</v>
      </c>
      <c r="H1101" s="10">
        <v>1.4</v>
      </c>
      <c r="I1101" s="10">
        <v>0</v>
      </c>
      <c r="J1101" s="10">
        <v>0</v>
      </c>
      <c r="K1101" s="10">
        <v>1</v>
      </c>
      <c r="L1101" s="10">
        <v>1</v>
      </c>
      <c r="M1101" s="10">
        <v>0</v>
      </c>
      <c r="N1101" s="10">
        <v>1.4</v>
      </c>
      <c r="O1101" s="8" t="s">
        <v>31</v>
      </c>
      <c r="P1101" s="8" t="s">
        <v>31</v>
      </c>
      <c r="Q1101" s="8" t="s">
        <v>31</v>
      </c>
      <c r="R1101" s="8" t="s">
        <v>31</v>
      </c>
      <c r="S1101" s="8" t="s">
        <v>31</v>
      </c>
      <c r="T1101" s="8" t="s">
        <v>31</v>
      </c>
      <c r="U1101" s="8" t="s">
        <v>31</v>
      </c>
      <c r="V1101" s="8" t="s">
        <v>31</v>
      </c>
      <c r="W1101" s="8" t="str">
        <f>_xlfn.IFNA(VLOOKUP(A1101,[1]Sheet1!$A$1:$B$101,1,FALSE),"na")</f>
        <v>na</v>
      </c>
      <c r="X1101" s="8" t="s">
        <v>35</v>
      </c>
      <c r="Y1101" s="9">
        <v>1043</v>
      </c>
      <c r="Z1101" s="9">
        <v>306.76470999999998</v>
      </c>
      <c r="AA1101" s="9">
        <v>521.5</v>
      </c>
      <c r="AB1101" s="9">
        <v>745</v>
      </c>
    </row>
    <row r="1102" spans="1:28" x14ac:dyDescent="0.25">
      <c r="A1102" s="8" t="s">
        <v>2293</v>
      </c>
      <c r="B1102" s="8" t="s">
        <v>2294</v>
      </c>
      <c r="C1102" s="8" t="s">
        <v>30</v>
      </c>
      <c r="D1102" s="10">
        <v>2.5999998999999998</v>
      </c>
      <c r="E1102" s="10">
        <v>2</v>
      </c>
      <c r="F1102" s="10">
        <v>0.60000001999999997</v>
      </c>
      <c r="G1102" s="10">
        <v>2</v>
      </c>
      <c r="H1102" s="10">
        <v>0.60000001999999997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0.60000001999999997</v>
      </c>
      <c r="O1102" s="8" t="s">
        <v>31</v>
      </c>
      <c r="P1102" s="8" t="s">
        <v>31</v>
      </c>
      <c r="Q1102" s="8" t="s">
        <v>31</v>
      </c>
      <c r="R1102" s="8" t="s">
        <v>31</v>
      </c>
      <c r="S1102" s="8" t="s">
        <v>31</v>
      </c>
      <c r="T1102" s="8" t="s">
        <v>31</v>
      </c>
      <c r="U1102" s="8" t="s">
        <v>31</v>
      </c>
      <c r="V1102" s="8" t="s">
        <v>31</v>
      </c>
      <c r="W1102" s="8" t="str">
        <f>_xlfn.IFNA(VLOOKUP(A1102,[1]Sheet1!$A$1:$B$101,1,FALSE),"na")</f>
        <v>na</v>
      </c>
      <c r="X1102" s="8" t="s">
        <v>35</v>
      </c>
      <c r="Y1102" s="9">
        <v>779</v>
      </c>
      <c r="Z1102" s="9">
        <v>299.61538999999999</v>
      </c>
      <c r="AA1102" s="9">
        <v>389.5</v>
      </c>
      <c r="AB1102" s="9">
        <v>779</v>
      </c>
    </row>
    <row r="1103" spans="1:28" x14ac:dyDescent="0.25">
      <c r="A1103" s="8" t="s">
        <v>2295</v>
      </c>
      <c r="B1103" s="8" t="s">
        <v>2296</v>
      </c>
      <c r="C1103" s="8" t="s">
        <v>67</v>
      </c>
      <c r="D1103" s="10">
        <v>6</v>
      </c>
      <c r="E1103" s="10">
        <v>5</v>
      </c>
      <c r="F1103" s="10">
        <v>1</v>
      </c>
      <c r="G1103" s="10">
        <v>5</v>
      </c>
      <c r="H1103" s="10">
        <v>1</v>
      </c>
      <c r="I1103" s="10">
        <v>0</v>
      </c>
      <c r="J1103" s="10">
        <v>0</v>
      </c>
      <c r="K1103" s="10">
        <v>1</v>
      </c>
      <c r="L1103" s="10">
        <v>0</v>
      </c>
      <c r="M1103" s="10">
        <v>0</v>
      </c>
      <c r="N1103" s="10">
        <v>0</v>
      </c>
      <c r="O1103" s="8" t="s">
        <v>31</v>
      </c>
      <c r="P1103" s="8" t="s">
        <v>31</v>
      </c>
      <c r="Q1103" s="8" t="s">
        <v>31</v>
      </c>
      <c r="R1103" s="8" t="s">
        <v>31</v>
      </c>
      <c r="S1103" s="8" t="s">
        <v>31</v>
      </c>
      <c r="T1103" s="8" t="s">
        <v>31</v>
      </c>
      <c r="U1103" s="8" t="s">
        <v>31</v>
      </c>
      <c r="V1103" s="8" t="s">
        <v>31</v>
      </c>
      <c r="W1103" s="8" t="str">
        <f>_xlfn.IFNA(VLOOKUP(A1103,[1]Sheet1!$A$1:$B$101,1,FALSE),"na")</f>
        <v>na</v>
      </c>
      <c r="X1103" s="8" t="s">
        <v>35</v>
      </c>
      <c r="Y1103" s="9">
        <v>973</v>
      </c>
      <c r="Z1103" s="9">
        <v>162.16667000000001</v>
      </c>
      <c r="AA1103" s="9">
        <v>194.60001</v>
      </c>
      <c r="AB1103" s="9">
        <v>973</v>
      </c>
    </row>
    <row r="1104" spans="1:28" x14ac:dyDescent="0.25">
      <c r="A1104" s="8" t="s">
        <v>2297</v>
      </c>
      <c r="B1104" s="8" t="s">
        <v>2298</v>
      </c>
      <c r="C1104" s="8" t="s">
        <v>38</v>
      </c>
      <c r="D1104" s="10">
        <v>3.4000001000000002</v>
      </c>
      <c r="E1104" s="10">
        <v>3</v>
      </c>
      <c r="F1104" s="10">
        <v>0.40000001000000002</v>
      </c>
      <c r="G1104" s="10">
        <v>3</v>
      </c>
      <c r="H1104" s="10">
        <v>0.40000001000000002</v>
      </c>
      <c r="I1104" s="10">
        <v>0</v>
      </c>
      <c r="J1104" s="10">
        <v>0</v>
      </c>
      <c r="K1104" s="10">
        <v>0</v>
      </c>
      <c r="L1104" s="10">
        <v>0.40000001000000002</v>
      </c>
      <c r="M1104" s="10">
        <v>0</v>
      </c>
      <c r="N1104" s="10">
        <v>0.40000001000000002</v>
      </c>
      <c r="O1104" s="8" t="s">
        <v>31</v>
      </c>
      <c r="P1104" s="8" t="s">
        <v>31</v>
      </c>
      <c r="Q1104" s="8" t="s">
        <v>57</v>
      </c>
      <c r="R1104" s="8" t="s">
        <v>31</v>
      </c>
      <c r="S1104" s="8" t="s">
        <v>31</v>
      </c>
      <c r="T1104" s="8" t="s">
        <v>31</v>
      </c>
      <c r="U1104" s="8" t="s">
        <v>31</v>
      </c>
      <c r="V1104" s="8" t="s">
        <v>31</v>
      </c>
      <c r="W1104" s="8" t="str">
        <f>_xlfn.IFNA(VLOOKUP(A1104,[1]Sheet1!$A$1:$B$101,1,FALSE),"na")</f>
        <v>na</v>
      </c>
      <c r="X1104" s="8" t="s">
        <v>35</v>
      </c>
      <c r="Y1104" s="9">
        <v>1115</v>
      </c>
      <c r="Z1104" s="9">
        <v>327.94116000000002</v>
      </c>
      <c r="AA1104" s="9">
        <v>371.66665999999998</v>
      </c>
      <c r="AB1104" s="9">
        <v>1115</v>
      </c>
    </row>
    <row r="1105" spans="1:28" x14ac:dyDescent="0.25">
      <c r="A1105" s="8" t="s">
        <v>2299</v>
      </c>
      <c r="B1105" s="8" t="s">
        <v>2300</v>
      </c>
      <c r="C1105" s="8" t="s">
        <v>30</v>
      </c>
      <c r="D1105" s="10">
        <v>3.3</v>
      </c>
      <c r="E1105" s="10">
        <v>2</v>
      </c>
      <c r="F1105" s="10">
        <v>1.3</v>
      </c>
      <c r="G1105" s="10">
        <v>2</v>
      </c>
      <c r="H1105" s="10">
        <v>1.3</v>
      </c>
      <c r="I1105" s="10">
        <v>0</v>
      </c>
      <c r="J1105" s="10">
        <v>0</v>
      </c>
      <c r="K1105" s="10">
        <v>1</v>
      </c>
      <c r="L1105" s="10">
        <v>0.30000000999999998</v>
      </c>
      <c r="M1105" s="10">
        <v>0</v>
      </c>
      <c r="N1105" s="10">
        <v>0.30000000999999998</v>
      </c>
      <c r="O1105" s="8" t="s">
        <v>57</v>
      </c>
      <c r="P1105" s="8" t="s">
        <v>31</v>
      </c>
      <c r="Q1105" s="8" t="s">
        <v>31</v>
      </c>
      <c r="R1105" s="8" t="s">
        <v>31</v>
      </c>
      <c r="S1105" s="8" t="s">
        <v>31</v>
      </c>
      <c r="T1105" s="8" t="s">
        <v>31</v>
      </c>
      <c r="U1105" s="8" t="s">
        <v>31</v>
      </c>
      <c r="V1105" s="8" t="s">
        <v>31</v>
      </c>
      <c r="W1105" s="8" t="str">
        <f>_xlfn.IFNA(VLOOKUP(A1105,[1]Sheet1!$A$1:$B$101,1,FALSE),"na")</f>
        <v>na</v>
      </c>
      <c r="X1105" s="8" t="s">
        <v>35</v>
      </c>
      <c r="Y1105" s="9">
        <v>807</v>
      </c>
      <c r="Z1105" s="9">
        <v>244.54545999999999</v>
      </c>
      <c r="AA1105" s="9">
        <v>403.5</v>
      </c>
      <c r="AB1105" s="9">
        <v>620.76922999999999</v>
      </c>
    </row>
    <row r="1106" spans="1:28" x14ac:dyDescent="0.25">
      <c r="A1106" s="8" t="s">
        <v>2301</v>
      </c>
      <c r="B1106" s="8" t="s">
        <v>2302</v>
      </c>
      <c r="C1106" s="8" t="s">
        <v>38</v>
      </c>
      <c r="D1106" s="10">
        <v>2</v>
      </c>
      <c r="E1106" s="10">
        <v>1</v>
      </c>
      <c r="F1106" s="10">
        <v>1</v>
      </c>
      <c r="G1106" s="10">
        <v>1</v>
      </c>
      <c r="H1106" s="10">
        <v>1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8" t="s">
        <v>57</v>
      </c>
      <c r="P1106" s="8" t="s">
        <v>31</v>
      </c>
      <c r="Q1106" s="8" t="s">
        <v>31</v>
      </c>
      <c r="R1106" s="8" t="s">
        <v>31</v>
      </c>
      <c r="S1106" s="8" t="s">
        <v>31</v>
      </c>
      <c r="T1106" s="8" t="s">
        <v>31</v>
      </c>
      <c r="U1106" s="8" t="s">
        <v>31</v>
      </c>
      <c r="V1106" s="8" t="s">
        <v>31</v>
      </c>
      <c r="W1106" s="8" t="str">
        <f>_xlfn.IFNA(VLOOKUP(A1106,[1]Sheet1!$A$1:$B$101,1,FALSE),"na")</f>
        <v>na</v>
      </c>
      <c r="X1106" s="8" t="s">
        <v>35</v>
      </c>
      <c r="Y1106" s="9">
        <v>772</v>
      </c>
      <c r="Z1106" s="9">
        <v>386</v>
      </c>
      <c r="AA1106" s="9">
        <v>772</v>
      </c>
      <c r="AB1106" s="9">
        <v>772</v>
      </c>
    </row>
    <row r="1107" spans="1:28" x14ac:dyDescent="0.25">
      <c r="A1107" s="8" t="s">
        <v>2303</v>
      </c>
      <c r="B1107" s="8" t="s">
        <v>2304</v>
      </c>
      <c r="C1107" s="8" t="s">
        <v>38</v>
      </c>
      <c r="D1107" s="10">
        <v>3.2</v>
      </c>
      <c r="E1107" s="10">
        <v>1</v>
      </c>
      <c r="F1107" s="10">
        <v>2.2000000000000002</v>
      </c>
      <c r="G1107" s="10">
        <v>1</v>
      </c>
      <c r="H1107" s="10">
        <v>2.2000000000000002</v>
      </c>
      <c r="I1107" s="10">
        <v>0</v>
      </c>
      <c r="J1107" s="10">
        <v>0</v>
      </c>
      <c r="K1107" s="10">
        <v>0</v>
      </c>
      <c r="L1107" s="10">
        <v>0.2</v>
      </c>
      <c r="M1107" s="10">
        <v>0</v>
      </c>
      <c r="N1107" s="10">
        <v>0.2</v>
      </c>
      <c r="O1107" s="8" t="s">
        <v>57</v>
      </c>
      <c r="P1107" s="8" t="s">
        <v>31</v>
      </c>
      <c r="Q1107" s="8" t="s">
        <v>31</v>
      </c>
      <c r="R1107" s="8" t="s">
        <v>31</v>
      </c>
      <c r="S1107" s="8" t="s">
        <v>31</v>
      </c>
      <c r="T1107" s="8" t="s">
        <v>31</v>
      </c>
      <c r="U1107" s="8" t="s">
        <v>31</v>
      </c>
      <c r="V1107" s="8" t="s">
        <v>31</v>
      </c>
      <c r="W1107" s="8" t="str">
        <f>_xlfn.IFNA(VLOOKUP(A1107,[1]Sheet1!$A$1:$B$101,1,FALSE),"na")</f>
        <v>na</v>
      </c>
      <c r="X1107" s="8" t="s">
        <v>35</v>
      </c>
      <c r="Y1107" s="9">
        <v>1220</v>
      </c>
      <c r="Z1107" s="9">
        <v>381.25</v>
      </c>
      <c r="AA1107" s="9">
        <v>1220</v>
      </c>
      <c r="AB1107" s="9">
        <v>554.54547000000002</v>
      </c>
    </row>
    <row r="1108" spans="1:28" x14ac:dyDescent="0.25">
      <c r="A1108" s="8" t="s">
        <v>2305</v>
      </c>
      <c r="B1108" s="8" t="s">
        <v>2306</v>
      </c>
      <c r="C1108" s="8" t="s">
        <v>67</v>
      </c>
      <c r="D1108" s="10">
        <v>6.1999997999999996</v>
      </c>
      <c r="E1108" s="10">
        <v>5</v>
      </c>
      <c r="F1108" s="10">
        <v>1.2</v>
      </c>
      <c r="G1108" s="10">
        <v>5</v>
      </c>
      <c r="H1108" s="10">
        <v>1.2</v>
      </c>
      <c r="I1108" s="10">
        <v>0</v>
      </c>
      <c r="J1108" s="10">
        <v>0</v>
      </c>
      <c r="K1108" s="10">
        <v>0</v>
      </c>
      <c r="L1108" s="10">
        <v>0.2</v>
      </c>
      <c r="M1108" s="10">
        <v>0</v>
      </c>
      <c r="N1108" s="10">
        <v>0.2</v>
      </c>
      <c r="O1108" s="8" t="s">
        <v>31</v>
      </c>
      <c r="P1108" s="8" t="s">
        <v>31</v>
      </c>
      <c r="Q1108" s="8" t="s">
        <v>31</v>
      </c>
      <c r="R1108" s="8" t="s">
        <v>31</v>
      </c>
      <c r="S1108" s="8" t="s">
        <v>31</v>
      </c>
      <c r="T1108" s="8" t="s">
        <v>31</v>
      </c>
      <c r="U1108" s="8" t="s">
        <v>31</v>
      </c>
      <c r="V1108" s="8" t="s">
        <v>31</v>
      </c>
      <c r="W1108" s="8" t="str">
        <f>_xlfn.IFNA(VLOOKUP(A1108,[1]Sheet1!$A$1:$B$101,1,FALSE),"na")</f>
        <v>na</v>
      </c>
      <c r="X1108" s="8" t="s">
        <v>35</v>
      </c>
      <c r="Y1108" s="9">
        <v>1330</v>
      </c>
      <c r="Z1108" s="9">
        <v>214.51613</v>
      </c>
      <c r="AA1108" s="9">
        <v>266</v>
      </c>
      <c r="AB1108" s="9">
        <v>1108.3333</v>
      </c>
    </row>
    <row r="1109" spans="1:28" x14ac:dyDescent="0.25">
      <c r="A1109" s="8" t="s">
        <v>2307</v>
      </c>
      <c r="B1109" s="8" t="s">
        <v>2308</v>
      </c>
      <c r="C1109" s="8" t="s">
        <v>38</v>
      </c>
      <c r="D1109" s="10">
        <v>3.0999998999999998</v>
      </c>
      <c r="E1109" s="10">
        <v>1.9</v>
      </c>
      <c r="F1109" s="10">
        <v>1.2</v>
      </c>
      <c r="G1109" s="10">
        <v>1</v>
      </c>
      <c r="H1109" s="10">
        <v>1.2</v>
      </c>
      <c r="I1109" s="10">
        <v>0.89999998000000003</v>
      </c>
      <c r="J1109" s="10">
        <v>0</v>
      </c>
      <c r="K1109" s="10">
        <v>0</v>
      </c>
      <c r="L1109" s="10">
        <v>0</v>
      </c>
      <c r="M1109" s="10">
        <v>0</v>
      </c>
      <c r="N1109" s="10">
        <v>0.2</v>
      </c>
      <c r="O1109" s="8" t="s">
        <v>57</v>
      </c>
      <c r="P1109" s="8" t="s">
        <v>31</v>
      </c>
      <c r="Q1109" s="8" t="s">
        <v>31</v>
      </c>
      <c r="R1109" s="8" t="s">
        <v>31</v>
      </c>
      <c r="S1109" s="8" t="s">
        <v>31</v>
      </c>
      <c r="T1109" s="8" t="s">
        <v>31</v>
      </c>
      <c r="U1109" s="8" t="s">
        <v>31</v>
      </c>
      <c r="V1109" s="8" t="s">
        <v>31</v>
      </c>
      <c r="W1109" s="8" t="str">
        <f>_xlfn.IFNA(VLOOKUP(A1109,[1]Sheet1!$A$1:$B$101,1,FALSE),"na")</f>
        <v>na</v>
      </c>
      <c r="X1109" s="8" t="s">
        <v>35</v>
      </c>
      <c r="Y1109" s="9">
        <v>632</v>
      </c>
      <c r="Z1109" s="9">
        <v>203.87097</v>
      </c>
      <c r="AA1109" s="9">
        <v>332.63159000000002</v>
      </c>
      <c r="AB1109" s="9">
        <v>526.66663000000005</v>
      </c>
    </row>
    <row r="1110" spans="1:28" x14ac:dyDescent="0.25">
      <c r="A1110" s="8" t="s">
        <v>2309</v>
      </c>
      <c r="B1110" s="8" t="s">
        <v>2310</v>
      </c>
      <c r="C1110" s="8" t="s">
        <v>30</v>
      </c>
      <c r="D1110" s="10">
        <v>2.5999998999999998</v>
      </c>
      <c r="E1110" s="10">
        <v>1.4</v>
      </c>
      <c r="F1110" s="10">
        <v>1.2</v>
      </c>
      <c r="G1110" s="10">
        <v>1</v>
      </c>
      <c r="H1110" s="10">
        <v>1.2</v>
      </c>
      <c r="I1110" s="10">
        <v>0.40000001000000002</v>
      </c>
      <c r="J1110" s="10">
        <v>0</v>
      </c>
      <c r="K1110" s="10">
        <v>0</v>
      </c>
      <c r="L1110" s="10">
        <v>0.80000000999999998</v>
      </c>
      <c r="M1110" s="10">
        <v>0</v>
      </c>
      <c r="N1110" s="10">
        <v>1.2</v>
      </c>
      <c r="O1110" s="8" t="s">
        <v>31</v>
      </c>
      <c r="P1110" s="8" t="s">
        <v>31</v>
      </c>
      <c r="Q1110" s="8" t="s">
        <v>31</v>
      </c>
      <c r="R1110" s="8" t="s">
        <v>31</v>
      </c>
      <c r="S1110" s="8" t="s">
        <v>31</v>
      </c>
      <c r="T1110" s="8" t="s">
        <v>31</v>
      </c>
      <c r="U1110" s="8" t="s">
        <v>31</v>
      </c>
      <c r="V1110" s="8" t="s">
        <v>31</v>
      </c>
      <c r="W1110" s="8" t="str">
        <f>_xlfn.IFNA(VLOOKUP(A1110,[1]Sheet1!$A$1:$B$101,1,FALSE),"na")</f>
        <v>na</v>
      </c>
      <c r="X1110" s="8" t="s">
        <v>35</v>
      </c>
      <c r="Y1110" s="9">
        <v>1338</v>
      </c>
      <c r="Z1110" s="9">
        <v>514.61541999999997</v>
      </c>
      <c r="AA1110" s="9">
        <v>955.71429000000001</v>
      </c>
      <c r="AB1110" s="9">
        <v>1115</v>
      </c>
    </row>
    <row r="1111" spans="1:28" x14ac:dyDescent="0.25">
      <c r="A1111" s="8" t="s">
        <v>2311</v>
      </c>
      <c r="B1111" s="8" t="s">
        <v>2312</v>
      </c>
      <c r="C1111" s="8" t="s">
        <v>30</v>
      </c>
      <c r="D1111" s="10">
        <v>3.5999998999999998</v>
      </c>
      <c r="E1111" s="10">
        <v>3</v>
      </c>
      <c r="F1111" s="10">
        <v>0.60000001999999997</v>
      </c>
      <c r="G1111" s="10">
        <v>3</v>
      </c>
      <c r="H1111" s="10">
        <v>0.60000001999999997</v>
      </c>
      <c r="I1111" s="10">
        <v>0</v>
      </c>
      <c r="J1111" s="10">
        <v>0</v>
      </c>
      <c r="K1111" s="10">
        <v>0</v>
      </c>
      <c r="L1111" s="10">
        <v>0.60000001999999997</v>
      </c>
      <c r="M1111" s="10">
        <v>0</v>
      </c>
      <c r="N1111" s="10">
        <v>0.60000001999999997</v>
      </c>
      <c r="O1111" s="8" t="s">
        <v>31</v>
      </c>
      <c r="P1111" s="8" t="s">
        <v>31</v>
      </c>
      <c r="Q1111" s="8" t="s">
        <v>31</v>
      </c>
      <c r="R1111" s="8" t="s">
        <v>31</v>
      </c>
      <c r="S1111" s="8" t="s">
        <v>31</v>
      </c>
      <c r="T1111" s="8" t="s">
        <v>31</v>
      </c>
      <c r="U1111" s="8" t="s">
        <v>31</v>
      </c>
      <c r="V1111" s="8" t="s">
        <v>31</v>
      </c>
      <c r="W1111" s="8" t="str">
        <f>_xlfn.IFNA(VLOOKUP(A1111,[1]Sheet1!$A$1:$B$101,1,FALSE),"na")</f>
        <v>na</v>
      </c>
      <c r="X1111" s="8" t="s">
        <v>35</v>
      </c>
      <c r="Y1111" s="9">
        <v>762</v>
      </c>
      <c r="Z1111" s="9">
        <v>211.66667000000001</v>
      </c>
      <c r="AA1111" s="9">
        <v>254</v>
      </c>
      <c r="AB1111" s="9">
        <v>762</v>
      </c>
    </row>
    <row r="1112" spans="1:28" x14ac:dyDescent="0.25">
      <c r="A1112" s="8" t="s">
        <v>2313</v>
      </c>
      <c r="B1112" s="8" t="s">
        <v>2314</v>
      </c>
      <c r="C1112" s="8" t="s">
        <v>30</v>
      </c>
      <c r="D1112" s="10">
        <v>2.8</v>
      </c>
      <c r="E1112" s="10">
        <v>2</v>
      </c>
      <c r="F1112" s="10">
        <v>0.80000000999999998</v>
      </c>
      <c r="G1112" s="10">
        <v>2</v>
      </c>
      <c r="H1112" s="10">
        <v>0.80000000999999998</v>
      </c>
      <c r="I1112" s="10">
        <v>0</v>
      </c>
      <c r="J1112" s="10">
        <v>0</v>
      </c>
      <c r="K1112" s="10">
        <v>0</v>
      </c>
      <c r="L1112" s="10">
        <v>0.80000000999999998</v>
      </c>
      <c r="M1112" s="10">
        <v>0</v>
      </c>
      <c r="N1112" s="10">
        <v>0.80000000999999998</v>
      </c>
      <c r="O1112" s="8" t="s">
        <v>31</v>
      </c>
      <c r="P1112" s="8" t="s">
        <v>31</v>
      </c>
      <c r="Q1112" s="8" t="s">
        <v>31</v>
      </c>
      <c r="R1112" s="8" t="s">
        <v>31</v>
      </c>
      <c r="S1112" s="8" t="s">
        <v>31</v>
      </c>
      <c r="T1112" s="8" t="s">
        <v>31</v>
      </c>
      <c r="U1112" s="8" t="s">
        <v>31</v>
      </c>
      <c r="V1112" s="8" t="s">
        <v>31</v>
      </c>
      <c r="W1112" s="8" t="str">
        <f>_xlfn.IFNA(VLOOKUP(A1112,[1]Sheet1!$A$1:$B$101,1,FALSE),"na")</f>
        <v>na</v>
      </c>
      <c r="X1112" s="8" t="s">
        <v>35</v>
      </c>
      <c r="Y1112" s="9">
        <v>500</v>
      </c>
      <c r="Z1112" s="9">
        <v>178.57142999999999</v>
      </c>
      <c r="AA1112" s="9">
        <v>250</v>
      </c>
      <c r="AB1112" s="9">
        <v>500</v>
      </c>
    </row>
    <row r="1113" spans="1:28" x14ac:dyDescent="0.25">
      <c r="A1113" s="8" t="s">
        <v>2315</v>
      </c>
      <c r="B1113" s="8" t="s">
        <v>2316</v>
      </c>
      <c r="C1113" s="8" t="s">
        <v>30</v>
      </c>
      <c r="D1113" s="10">
        <v>3.4000001000000002</v>
      </c>
      <c r="E1113" s="10">
        <v>2</v>
      </c>
      <c r="F1113" s="10">
        <v>1.4</v>
      </c>
      <c r="G1113" s="10">
        <v>2</v>
      </c>
      <c r="H1113" s="10">
        <v>1.4</v>
      </c>
      <c r="I1113" s="10">
        <v>0</v>
      </c>
      <c r="J1113" s="10">
        <v>0</v>
      </c>
      <c r="K1113" s="10">
        <v>2</v>
      </c>
      <c r="L1113" s="10">
        <v>0.40000001000000002</v>
      </c>
      <c r="M1113" s="10">
        <v>0</v>
      </c>
      <c r="N1113" s="10">
        <v>0.40000001000000002</v>
      </c>
      <c r="O1113" s="8" t="s">
        <v>57</v>
      </c>
      <c r="P1113" s="8" t="s">
        <v>31</v>
      </c>
      <c r="Q1113" s="8" t="s">
        <v>31</v>
      </c>
      <c r="R1113" s="8" t="s">
        <v>31</v>
      </c>
      <c r="S1113" s="8" t="s">
        <v>31</v>
      </c>
      <c r="T1113" s="8" t="s">
        <v>31</v>
      </c>
      <c r="U1113" s="8" t="s">
        <v>31</v>
      </c>
      <c r="V1113" s="8" t="s">
        <v>31</v>
      </c>
      <c r="W1113" s="8" t="str">
        <f>_xlfn.IFNA(VLOOKUP(A1113,[1]Sheet1!$A$1:$B$101,1,FALSE),"na")</f>
        <v>na</v>
      </c>
      <c r="X1113" s="8" t="s">
        <v>35</v>
      </c>
      <c r="Y1113" s="9">
        <v>883</v>
      </c>
      <c r="Z1113" s="9">
        <v>259.70587</v>
      </c>
      <c r="AA1113" s="9">
        <v>441.5</v>
      </c>
      <c r="AB1113" s="9">
        <v>630.71429000000001</v>
      </c>
    </row>
    <row r="1114" spans="1:28" x14ac:dyDescent="0.25">
      <c r="A1114" s="8" t="s">
        <v>2317</v>
      </c>
      <c r="B1114" s="8" t="s">
        <v>2318</v>
      </c>
      <c r="C1114" s="8" t="s">
        <v>30</v>
      </c>
      <c r="D1114" s="10">
        <v>3</v>
      </c>
      <c r="E1114" s="10">
        <v>2</v>
      </c>
      <c r="F1114" s="10">
        <v>1</v>
      </c>
      <c r="G1114" s="10">
        <v>2</v>
      </c>
      <c r="H1114" s="10">
        <v>1</v>
      </c>
      <c r="I1114" s="10">
        <v>0</v>
      </c>
      <c r="J1114" s="10">
        <v>0</v>
      </c>
      <c r="K1114" s="10">
        <v>0</v>
      </c>
      <c r="L1114" s="10">
        <v>1</v>
      </c>
      <c r="M1114" s="10">
        <v>0</v>
      </c>
      <c r="N1114" s="10">
        <v>1</v>
      </c>
      <c r="O1114" s="8" t="s">
        <v>31</v>
      </c>
      <c r="P1114" s="8" t="s">
        <v>31</v>
      </c>
      <c r="Q1114" s="8" t="s">
        <v>31</v>
      </c>
      <c r="R1114" s="8" t="s">
        <v>31</v>
      </c>
      <c r="S1114" s="8" t="s">
        <v>31</v>
      </c>
      <c r="T1114" s="8" t="s">
        <v>31</v>
      </c>
      <c r="U1114" s="8" t="s">
        <v>31</v>
      </c>
      <c r="V1114" s="8" t="s">
        <v>31</v>
      </c>
      <c r="W1114" s="8" t="str">
        <f>_xlfn.IFNA(VLOOKUP(A1114,[1]Sheet1!$A$1:$B$101,1,FALSE),"na")</f>
        <v>na</v>
      </c>
      <c r="X1114" s="8" t="s">
        <v>35</v>
      </c>
      <c r="Y1114" s="9">
        <v>1068</v>
      </c>
      <c r="Z1114" s="9">
        <v>356</v>
      </c>
      <c r="AA1114" s="9">
        <v>534</v>
      </c>
      <c r="AB1114" s="9">
        <v>1068</v>
      </c>
    </row>
    <row r="1115" spans="1:28" x14ac:dyDescent="0.25">
      <c r="A1115" s="8" t="s">
        <v>2319</v>
      </c>
      <c r="B1115" s="8" t="s">
        <v>2320</v>
      </c>
      <c r="C1115" s="8" t="s">
        <v>62</v>
      </c>
      <c r="D1115" s="10">
        <v>3.4000001000000002</v>
      </c>
      <c r="E1115" s="10">
        <v>2</v>
      </c>
      <c r="F1115" s="10">
        <v>1.4</v>
      </c>
      <c r="G1115" s="10">
        <v>2</v>
      </c>
      <c r="H1115" s="10">
        <v>1.4</v>
      </c>
      <c r="I1115" s="10">
        <v>0</v>
      </c>
      <c r="J1115" s="10">
        <v>0</v>
      </c>
      <c r="K1115" s="10">
        <v>2</v>
      </c>
      <c r="L1115" s="10">
        <v>0.40000001000000002</v>
      </c>
      <c r="M1115" s="10">
        <v>0</v>
      </c>
      <c r="N1115" s="10">
        <v>0.40000001000000002</v>
      </c>
      <c r="O1115" s="8" t="s">
        <v>57</v>
      </c>
      <c r="P1115" s="8" t="s">
        <v>31</v>
      </c>
      <c r="Q1115" s="8" t="s">
        <v>31</v>
      </c>
      <c r="R1115" s="8" t="s">
        <v>31</v>
      </c>
      <c r="S1115" s="8" t="s">
        <v>31</v>
      </c>
      <c r="T1115" s="8" t="s">
        <v>57</v>
      </c>
      <c r="U1115" s="8" t="s">
        <v>31</v>
      </c>
      <c r="V1115" s="8" t="s">
        <v>31</v>
      </c>
      <c r="W1115" s="8" t="str">
        <f>_xlfn.IFNA(VLOOKUP(A1115,[1]Sheet1!$A$1:$B$101,1,FALSE),"na")</f>
        <v>na</v>
      </c>
      <c r="X1115" s="8" t="s">
        <v>2321</v>
      </c>
      <c r="Y1115" s="9">
        <v>295</v>
      </c>
      <c r="Z1115" s="9">
        <v>86.764702</v>
      </c>
      <c r="AA1115" s="9">
        <v>147.5</v>
      </c>
      <c r="AB1115" s="9">
        <v>210.71429000000001</v>
      </c>
    </row>
    <row r="1116" spans="1:28" x14ac:dyDescent="0.25">
      <c r="A1116" s="8" t="s">
        <v>2322</v>
      </c>
      <c r="B1116" s="8" t="s">
        <v>2323</v>
      </c>
      <c r="C1116" s="8" t="s">
        <v>30</v>
      </c>
      <c r="D1116" s="10">
        <v>1.3</v>
      </c>
      <c r="E1116" s="10">
        <v>1</v>
      </c>
      <c r="F1116" s="10">
        <v>0.30000000999999998</v>
      </c>
      <c r="G1116" s="10">
        <v>1</v>
      </c>
      <c r="H1116" s="10">
        <v>0.30000000999999998</v>
      </c>
      <c r="I1116" s="10">
        <v>0</v>
      </c>
      <c r="J1116" s="10">
        <v>0</v>
      </c>
      <c r="K1116" s="10">
        <v>0</v>
      </c>
      <c r="L1116" s="10">
        <v>0.30000000999999998</v>
      </c>
      <c r="M1116" s="10">
        <v>0</v>
      </c>
      <c r="N1116" s="10">
        <v>0.30000000999999998</v>
      </c>
      <c r="O1116" s="8" t="s">
        <v>31</v>
      </c>
      <c r="P1116" s="8" t="s">
        <v>31</v>
      </c>
      <c r="Q1116" s="8" t="s">
        <v>31</v>
      </c>
      <c r="R1116" s="8" t="s">
        <v>31</v>
      </c>
      <c r="S1116" s="8" t="s">
        <v>31</v>
      </c>
      <c r="T1116" s="8" t="s">
        <v>31</v>
      </c>
      <c r="U1116" s="8" t="s">
        <v>31</v>
      </c>
      <c r="V1116" s="8" t="s">
        <v>31</v>
      </c>
      <c r="W1116" s="8" t="str">
        <f>_xlfn.IFNA(VLOOKUP(A1116,[1]Sheet1!$A$1:$B$101,1,FALSE),"na")</f>
        <v>na</v>
      </c>
      <c r="X1116" s="8" t="s">
        <v>35</v>
      </c>
      <c r="Y1116" s="9">
        <v>417</v>
      </c>
      <c r="Z1116" s="9">
        <v>320.76925999999997</v>
      </c>
      <c r="AA1116" s="9">
        <v>417</v>
      </c>
      <c r="AB1116" s="9">
        <v>417</v>
      </c>
    </row>
    <row r="1117" spans="1:28" x14ac:dyDescent="0.25">
      <c r="A1117" s="8" t="s">
        <v>2324</v>
      </c>
      <c r="B1117" s="8" t="s">
        <v>2325</v>
      </c>
      <c r="C1117" s="8" t="s">
        <v>62</v>
      </c>
      <c r="D1117" s="10">
        <v>5.1999997999999996</v>
      </c>
      <c r="E1117" s="10">
        <v>4</v>
      </c>
      <c r="F1117" s="10">
        <v>1.2</v>
      </c>
      <c r="G1117" s="10">
        <v>4</v>
      </c>
      <c r="H1117" s="10">
        <v>1.2</v>
      </c>
      <c r="I1117" s="10">
        <v>0</v>
      </c>
      <c r="J1117" s="10">
        <v>0</v>
      </c>
      <c r="K1117" s="10">
        <v>1</v>
      </c>
      <c r="L1117" s="10">
        <v>0.2</v>
      </c>
      <c r="M1117" s="10">
        <v>0</v>
      </c>
      <c r="N1117" s="10">
        <v>0.2</v>
      </c>
      <c r="O1117" s="8" t="s">
        <v>57</v>
      </c>
      <c r="P1117" s="8" t="s">
        <v>31</v>
      </c>
      <c r="Q1117" s="8" t="s">
        <v>31</v>
      </c>
      <c r="R1117" s="8" t="s">
        <v>31</v>
      </c>
      <c r="S1117" s="8" t="s">
        <v>31</v>
      </c>
      <c r="T1117" s="8" t="s">
        <v>31</v>
      </c>
      <c r="U1117" s="8" t="s">
        <v>31</v>
      </c>
      <c r="V1117" s="8" t="s">
        <v>31</v>
      </c>
      <c r="W1117" s="8" t="str">
        <f>_xlfn.IFNA(VLOOKUP(A1117,[1]Sheet1!$A$1:$B$101,1,FALSE),"na")</f>
        <v>na</v>
      </c>
      <c r="X1117" s="8" t="s">
        <v>35</v>
      </c>
      <c r="Y1117" s="9">
        <v>863</v>
      </c>
      <c r="Z1117" s="9">
        <v>165.96154999999999</v>
      </c>
      <c r="AA1117" s="9">
        <v>215.75</v>
      </c>
      <c r="AB1117" s="9">
        <v>719.16663000000005</v>
      </c>
    </row>
    <row r="1118" spans="1:28" x14ac:dyDescent="0.25">
      <c r="A1118" s="8" t="s">
        <v>2326</v>
      </c>
      <c r="B1118" s="8" t="s">
        <v>2327</v>
      </c>
      <c r="C1118" s="8" t="s">
        <v>62</v>
      </c>
      <c r="D1118" s="10">
        <v>2.2000000000000002</v>
      </c>
      <c r="E1118" s="10">
        <v>1</v>
      </c>
      <c r="F1118" s="10">
        <v>1.2</v>
      </c>
      <c r="G1118" s="10">
        <v>1</v>
      </c>
      <c r="H1118" s="10">
        <v>1.2</v>
      </c>
      <c r="I1118" s="10">
        <v>0</v>
      </c>
      <c r="J1118" s="10">
        <v>0</v>
      </c>
      <c r="K1118" s="10">
        <v>0</v>
      </c>
      <c r="L1118" s="10">
        <v>0.2</v>
      </c>
      <c r="M1118" s="10">
        <v>0</v>
      </c>
      <c r="N1118" s="10">
        <v>0.2</v>
      </c>
      <c r="O1118" s="8" t="s">
        <v>57</v>
      </c>
      <c r="P1118" s="8" t="s">
        <v>31</v>
      </c>
      <c r="Q1118" s="8" t="s">
        <v>31</v>
      </c>
      <c r="R1118" s="8" t="s">
        <v>31</v>
      </c>
      <c r="S1118" s="8" t="s">
        <v>31</v>
      </c>
      <c r="T1118" s="8" t="s">
        <v>31</v>
      </c>
      <c r="U1118" s="8" t="s">
        <v>31</v>
      </c>
      <c r="V1118" s="8" t="s">
        <v>31</v>
      </c>
      <c r="W1118" s="8" t="str">
        <f>_xlfn.IFNA(VLOOKUP(A1118,[1]Sheet1!$A$1:$B$101,1,FALSE),"na")</f>
        <v>na</v>
      </c>
      <c r="X1118" s="8" t="s">
        <v>35</v>
      </c>
      <c r="Y1118" s="9">
        <v>376</v>
      </c>
      <c r="Z1118" s="9">
        <v>170.90908999999999</v>
      </c>
      <c r="AA1118" s="9">
        <v>376</v>
      </c>
      <c r="AB1118" s="9">
        <v>313.33330999999998</v>
      </c>
    </row>
    <row r="1119" spans="1:28" x14ac:dyDescent="0.25">
      <c r="A1119" s="8" t="s">
        <v>2328</v>
      </c>
      <c r="B1119" s="8" t="s">
        <v>2329</v>
      </c>
      <c r="C1119" s="8" t="s">
        <v>30</v>
      </c>
      <c r="D1119" s="10">
        <v>2.2000000000000002</v>
      </c>
      <c r="E1119" s="10">
        <v>1</v>
      </c>
      <c r="F1119" s="10">
        <v>1.2</v>
      </c>
      <c r="G1119" s="10">
        <v>1</v>
      </c>
      <c r="H1119" s="10">
        <v>1.2</v>
      </c>
      <c r="I1119" s="10">
        <v>0</v>
      </c>
      <c r="J1119" s="10">
        <v>0</v>
      </c>
      <c r="K1119" s="10">
        <v>0</v>
      </c>
      <c r="L1119" s="10">
        <v>0.2</v>
      </c>
      <c r="M1119" s="10">
        <v>0</v>
      </c>
      <c r="N1119" s="10">
        <v>0.2</v>
      </c>
      <c r="O1119" s="8" t="s">
        <v>57</v>
      </c>
      <c r="P1119" s="8" t="s">
        <v>31</v>
      </c>
      <c r="Q1119" s="8" t="s">
        <v>31</v>
      </c>
      <c r="R1119" s="8" t="s">
        <v>31</v>
      </c>
      <c r="S1119" s="8" t="s">
        <v>31</v>
      </c>
      <c r="T1119" s="8" t="s">
        <v>31</v>
      </c>
      <c r="U1119" s="8" t="s">
        <v>31</v>
      </c>
      <c r="V1119" s="8" t="s">
        <v>31</v>
      </c>
      <c r="W1119" s="8" t="str">
        <f>_xlfn.IFNA(VLOOKUP(A1119,[1]Sheet1!$A$1:$B$101,1,FALSE),"na")</f>
        <v>na</v>
      </c>
      <c r="X1119" s="8" t="s">
        <v>35</v>
      </c>
      <c r="Y1119" s="9">
        <v>573</v>
      </c>
      <c r="Z1119" s="9">
        <v>260.45452999999998</v>
      </c>
      <c r="AA1119" s="9">
        <v>573</v>
      </c>
      <c r="AB1119" s="9">
        <v>477.49997000000002</v>
      </c>
    </row>
    <row r="1120" spans="1:28" x14ac:dyDescent="0.25">
      <c r="A1120" s="8" t="s">
        <v>2330</v>
      </c>
      <c r="B1120" s="8" t="s">
        <v>2331</v>
      </c>
      <c r="C1120" s="8" t="s">
        <v>62</v>
      </c>
      <c r="D1120" s="10">
        <v>5.0500002000000004</v>
      </c>
      <c r="E1120" s="10">
        <v>5</v>
      </c>
      <c r="F1120" s="10">
        <v>5.0000001000000002E-2</v>
      </c>
      <c r="G1120" s="10">
        <v>5</v>
      </c>
      <c r="H1120" s="10">
        <v>5.0000001000000002E-2</v>
      </c>
      <c r="I1120" s="10">
        <v>0</v>
      </c>
      <c r="J1120" s="10">
        <v>0</v>
      </c>
      <c r="K1120" s="10">
        <v>1</v>
      </c>
      <c r="L1120" s="10">
        <v>5.0000001000000002E-2</v>
      </c>
      <c r="M1120" s="10">
        <v>0</v>
      </c>
      <c r="N1120" s="10">
        <v>5.0000001000000002E-2</v>
      </c>
      <c r="O1120" s="8" t="s">
        <v>31</v>
      </c>
      <c r="P1120" s="8" t="s">
        <v>31</v>
      </c>
      <c r="Q1120" s="8" t="s">
        <v>31</v>
      </c>
      <c r="R1120" s="8" t="s">
        <v>31</v>
      </c>
      <c r="S1120" s="8" t="s">
        <v>31</v>
      </c>
      <c r="T1120" s="8" t="s">
        <v>31</v>
      </c>
      <c r="U1120" s="8" t="s">
        <v>31</v>
      </c>
      <c r="V1120" s="8" t="s">
        <v>31</v>
      </c>
      <c r="W1120" s="8" t="str">
        <f>_xlfn.IFNA(VLOOKUP(A1120,[1]Sheet1!$A$1:$B$101,1,FALSE),"na")</f>
        <v>na</v>
      </c>
      <c r="X1120" s="8" t="s">
        <v>35</v>
      </c>
      <c r="Y1120" s="9">
        <v>565</v>
      </c>
      <c r="Z1120" s="9">
        <v>111.88119</v>
      </c>
      <c r="AA1120" s="9">
        <v>113</v>
      </c>
      <c r="AB1120" s="9">
        <v>565</v>
      </c>
    </row>
    <row r="1121" spans="1:28" x14ac:dyDescent="0.25">
      <c r="A1121" s="8" t="s">
        <v>2332</v>
      </c>
      <c r="B1121" s="8" t="s">
        <v>2333</v>
      </c>
      <c r="C1121" s="8" t="s">
        <v>62</v>
      </c>
      <c r="D1121" s="10">
        <v>5.0500002000000004</v>
      </c>
      <c r="E1121" s="10">
        <v>4</v>
      </c>
      <c r="F1121" s="10">
        <v>1.05</v>
      </c>
      <c r="G1121" s="10">
        <v>4</v>
      </c>
      <c r="H1121" s="10">
        <v>1.05</v>
      </c>
      <c r="I1121" s="10">
        <v>0</v>
      </c>
      <c r="J1121" s="10">
        <v>0</v>
      </c>
      <c r="K1121" s="10">
        <v>0</v>
      </c>
      <c r="L1121" s="10">
        <v>5.0000001000000002E-2</v>
      </c>
      <c r="M1121" s="10">
        <v>0</v>
      </c>
      <c r="N1121" s="10">
        <v>5.0000001000000002E-2</v>
      </c>
      <c r="O1121" s="8" t="s">
        <v>31</v>
      </c>
      <c r="P1121" s="8" t="s">
        <v>31</v>
      </c>
      <c r="Q1121" s="8" t="s">
        <v>31</v>
      </c>
      <c r="R1121" s="8" t="s">
        <v>31</v>
      </c>
      <c r="S1121" s="8" t="s">
        <v>31</v>
      </c>
      <c r="T1121" s="8" t="s">
        <v>57</v>
      </c>
      <c r="U1121" s="8" t="s">
        <v>57</v>
      </c>
      <c r="V1121" s="8" t="s">
        <v>31</v>
      </c>
      <c r="W1121" s="8" t="str">
        <f>_xlfn.IFNA(VLOOKUP(A1121,[1]Sheet1!$A$1:$B$101,1,FALSE),"na")</f>
        <v>na</v>
      </c>
      <c r="X1121" s="8" t="s">
        <v>2334</v>
      </c>
      <c r="Y1121" s="9">
        <v>510</v>
      </c>
      <c r="Z1121" s="9">
        <v>100.9901</v>
      </c>
      <c r="AA1121" s="9">
        <v>127.5</v>
      </c>
      <c r="AB1121" s="9">
        <v>485.71429000000001</v>
      </c>
    </row>
    <row r="1122" spans="1:28" x14ac:dyDescent="0.25">
      <c r="A1122" s="8" t="s">
        <v>2335</v>
      </c>
      <c r="B1122" s="8" t="s">
        <v>2336</v>
      </c>
      <c r="C1122" s="8" t="s">
        <v>62</v>
      </c>
      <c r="D1122" s="10">
        <v>4.1999997999999996</v>
      </c>
      <c r="E1122" s="10">
        <v>3</v>
      </c>
      <c r="F1122" s="10">
        <v>1.2</v>
      </c>
      <c r="G1122" s="10">
        <v>3</v>
      </c>
      <c r="H1122" s="10">
        <v>1.2</v>
      </c>
      <c r="I1122" s="10">
        <v>0</v>
      </c>
      <c r="J1122" s="10">
        <v>0</v>
      </c>
      <c r="K1122" s="10">
        <v>0</v>
      </c>
      <c r="L1122" s="10">
        <v>0.2</v>
      </c>
      <c r="M1122" s="10">
        <v>0</v>
      </c>
      <c r="N1122" s="10">
        <v>0.2</v>
      </c>
      <c r="O1122" s="8" t="s">
        <v>57</v>
      </c>
      <c r="P1122" s="8" t="s">
        <v>31</v>
      </c>
      <c r="Q1122" s="8" t="s">
        <v>31</v>
      </c>
      <c r="R1122" s="8" t="s">
        <v>31</v>
      </c>
      <c r="S1122" s="8" t="s">
        <v>31</v>
      </c>
      <c r="T1122" s="8" t="s">
        <v>31</v>
      </c>
      <c r="U1122" s="8" t="s">
        <v>31</v>
      </c>
      <c r="V1122" s="8" t="s">
        <v>31</v>
      </c>
      <c r="W1122" s="8" t="str">
        <f>_xlfn.IFNA(VLOOKUP(A1122,[1]Sheet1!$A$1:$B$101,1,FALSE),"na")</f>
        <v>na</v>
      </c>
      <c r="X1122" s="8" t="s">
        <v>35</v>
      </c>
      <c r="Y1122" s="9">
        <v>652</v>
      </c>
      <c r="Z1122" s="9">
        <v>155.2381</v>
      </c>
      <c r="AA1122" s="9">
        <v>217.33332999999999</v>
      </c>
      <c r="AB1122" s="9">
        <v>543.33330999999998</v>
      </c>
    </row>
    <row r="1123" spans="1:28" x14ac:dyDescent="0.25">
      <c r="A1123" s="8" t="s">
        <v>2337</v>
      </c>
      <c r="B1123" s="8" t="s">
        <v>2338</v>
      </c>
      <c r="C1123" s="8" t="s">
        <v>30</v>
      </c>
      <c r="D1123" s="10">
        <v>2.2000000000000002</v>
      </c>
      <c r="E1123" s="10">
        <v>1</v>
      </c>
      <c r="F1123" s="10">
        <v>1.2</v>
      </c>
      <c r="G1123" s="10">
        <v>1</v>
      </c>
      <c r="H1123" s="10">
        <v>1.2</v>
      </c>
      <c r="I1123" s="10">
        <v>0</v>
      </c>
      <c r="J1123" s="10">
        <v>0</v>
      </c>
      <c r="K1123" s="10">
        <v>0</v>
      </c>
      <c r="L1123" s="10">
        <v>1.2</v>
      </c>
      <c r="M1123" s="10">
        <v>0</v>
      </c>
      <c r="N1123" s="10">
        <v>0.2</v>
      </c>
      <c r="O1123" s="8" t="s">
        <v>57</v>
      </c>
      <c r="P1123" s="8" t="s">
        <v>31</v>
      </c>
      <c r="Q1123" s="8" t="s">
        <v>31</v>
      </c>
      <c r="R1123" s="8" t="s">
        <v>31</v>
      </c>
      <c r="S1123" s="8" t="s">
        <v>31</v>
      </c>
      <c r="T1123" s="8" t="s">
        <v>31</v>
      </c>
      <c r="U1123" s="8" t="s">
        <v>31</v>
      </c>
      <c r="V1123" s="8" t="s">
        <v>31</v>
      </c>
      <c r="W1123" s="8" t="str">
        <f>_xlfn.IFNA(VLOOKUP(A1123,[1]Sheet1!$A$1:$B$101,1,FALSE),"na")</f>
        <v>na</v>
      </c>
      <c r="X1123" s="8" t="s">
        <v>35</v>
      </c>
      <c r="Y1123" s="9">
        <v>424</v>
      </c>
      <c r="Z1123" s="9">
        <v>192.72726</v>
      </c>
      <c r="AA1123" s="9">
        <v>424</v>
      </c>
      <c r="AB1123" s="9">
        <v>353.33330999999998</v>
      </c>
    </row>
    <row r="1124" spans="1:28" x14ac:dyDescent="0.25">
      <c r="A1124" s="8" t="s">
        <v>2339</v>
      </c>
      <c r="B1124" s="8" t="s">
        <v>2340</v>
      </c>
      <c r="C1124" s="8" t="s">
        <v>30</v>
      </c>
      <c r="D1124" s="10">
        <v>1.2</v>
      </c>
      <c r="E1124" s="10">
        <v>1</v>
      </c>
      <c r="F1124" s="10">
        <v>0.2</v>
      </c>
      <c r="G1124" s="10">
        <v>1</v>
      </c>
      <c r="H1124" s="10">
        <v>0.2</v>
      </c>
      <c r="I1124" s="10">
        <v>0</v>
      </c>
      <c r="J1124" s="10">
        <v>0</v>
      </c>
      <c r="K1124" s="10">
        <v>0</v>
      </c>
      <c r="L1124" s="10">
        <v>0.2</v>
      </c>
      <c r="M1124" s="10">
        <v>0</v>
      </c>
      <c r="N1124" s="10">
        <v>0.2</v>
      </c>
      <c r="O1124" s="8" t="s">
        <v>31</v>
      </c>
      <c r="P1124" s="8" t="s">
        <v>31</v>
      </c>
      <c r="Q1124" s="8" t="s">
        <v>31</v>
      </c>
      <c r="R1124" s="8" t="s">
        <v>31</v>
      </c>
      <c r="S1124" s="8" t="s">
        <v>31</v>
      </c>
      <c r="T1124" s="8" t="s">
        <v>31</v>
      </c>
      <c r="U1124" s="8" t="s">
        <v>31</v>
      </c>
      <c r="V1124" s="8" t="s">
        <v>31</v>
      </c>
      <c r="W1124" s="8" t="str">
        <f>_xlfn.IFNA(VLOOKUP(A1124,[1]Sheet1!$A$1:$B$101,1,FALSE),"na")</f>
        <v>na</v>
      </c>
      <c r="X1124" s="8" t="s">
        <v>35</v>
      </c>
      <c r="Y1124" s="9">
        <v>680</v>
      </c>
      <c r="Z1124" s="9">
        <v>566.66663000000005</v>
      </c>
      <c r="AA1124" s="9">
        <v>680</v>
      </c>
      <c r="AB1124" s="9">
        <v>680</v>
      </c>
    </row>
    <row r="1125" spans="1:28" x14ac:dyDescent="0.25">
      <c r="A1125" s="8" t="s">
        <v>2341</v>
      </c>
      <c r="B1125" s="8" t="s">
        <v>2342</v>
      </c>
      <c r="C1125" s="8" t="s">
        <v>67</v>
      </c>
      <c r="D1125" s="10">
        <v>3</v>
      </c>
      <c r="E1125" s="10">
        <v>3</v>
      </c>
      <c r="F1125" s="10">
        <v>0</v>
      </c>
      <c r="G1125" s="10">
        <v>3</v>
      </c>
      <c r="H1125" s="10">
        <v>0</v>
      </c>
      <c r="I1125" s="10">
        <v>0</v>
      </c>
      <c r="J1125" s="10">
        <v>0</v>
      </c>
      <c r="K1125" s="10">
        <v>1</v>
      </c>
      <c r="L1125" s="10">
        <v>0</v>
      </c>
      <c r="M1125" s="10">
        <v>0</v>
      </c>
      <c r="N1125" s="10">
        <v>0</v>
      </c>
      <c r="O1125" s="8" t="s">
        <v>31</v>
      </c>
      <c r="P1125" s="8" t="s">
        <v>31</v>
      </c>
      <c r="Q1125" s="8" t="s">
        <v>31</v>
      </c>
      <c r="R1125" s="8" t="s">
        <v>31</v>
      </c>
      <c r="S1125" s="8" t="s">
        <v>31</v>
      </c>
      <c r="T1125" s="8" t="s">
        <v>31</v>
      </c>
      <c r="U1125" s="8" t="s">
        <v>31</v>
      </c>
      <c r="V1125" s="8" t="s">
        <v>31</v>
      </c>
      <c r="W1125" s="8" t="str">
        <f>_xlfn.IFNA(VLOOKUP(A1125,[1]Sheet1!$A$1:$B$101,1,FALSE),"na")</f>
        <v>na</v>
      </c>
      <c r="X1125" s="8" t="s">
        <v>35</v>
      </c>
      <c r="Y1125" s="9">
        <v>764</v>
      </c>
      <c r="Z1125" s="9">
        <v>254.66667000000001</v>
      </c>
      <c r="AA1125" s="9">
        <v>254.66667000000001</v>
      </c>
      <c r="AB1125" s="9">
        <v>764</v>
      </c>
    </row>
    <row r="1126" spans="1:28" x14ac:dyDescent="0.25">
      <c r="A1126" s="8" t="s">
        <v>2343</v>
      </c>
      <c r="B1126" s="8" t="s">
        <v>2344</v>
      </c>
      <c r="C1126" s="8" t="s">
        <v>30</v>
      </c>
      <c r="D1126" s="10">
        <v>2.4000001000000002</v>
      </c>
      <c r="E1126" s="10">
        <v>1.2</v>
      </c>
      <c r="F1126" s="10">
        <v>1.2</v>
      </c>
      <c r="G1126" s="10">
        <v>1</v>
      </c>
      <c r="H1126" s="10">
        <v>1.2</v>
      </c>
      <c r="I1126" s="10">
        <v>0.2</v>
      </c>
      <c r="J1126" s="10">
        <v>0</v>
      </c>
      <c r="K1126" s="10">
        <v>1</v>
      </c>
      <c r="L1126" s="10">
        <v>0.2</v>
      </c>
      <c r="M1126" s="10">
        <v>0</v>
      </c>
      <c r="N1126" s="10">
        <v>0.2</v>
      </c>
      <c r="O1126" s="8" t="s">
        <v>57</v>
      </c>
      <c r="P1126" s="8" t="s">
        <v>31</v>
      </c>
      <c r="Q1126" s="8" t="s">
        <v>31</v>
      </c>
      <c r="R1126" s="8" t="s">
        <v>31</v>
      </c>
      <c r="S1126" s="8" t="s">
        <v>31</v>
      </c>
      <c r="T1126" s="8" t="s">
        <v>31</v>
      </c>
      <c r="U1126" s="8" t="s">
        <v>31</v>
      </c>
      <c r="V1126" s="8" t="s">
        <v>31</v>
      </c>
      <c r="W1126" s="8" t="str">
        <f>_xlfn.IFNA(VLOOKUP(A1126,[1]Sheet1!$A$1:$B$101,1,FALSE),"na")</f>
        <v>na</v>
      </c>
      <c r="X1126" s="8" t="s">
        <v>35</v>
      </c>
      <c r="Y1126" s="9">
        <v>462</v>
      </c>
      <c r="Z1126" s="9">
        <v>192.49997999999999</v>
      </c>
      <c r="AA1126" s="9">
        <v>384.99997000000002</v>
      </c>
      <c r="AB1126" s="9">
        <v>384.99997000000002</v>
      </c>
    </row>
    <row r="1127" spans="1:28" x14ac:dyDescent="0.25">
      <c r="A1127" s="8" t="s">
        <v>2345</v>
      </c>
      <c r="B1127" s="8" t="s">
        <v>2346</v>
      </c>
      <c r="C1127" s="8" t="s">
        <v>30</v>
      </c>
      <c r="D1127" s="10">
        <v>1.4</v>
      </c>
      <c r="E1127" s="10">
        <v>1</v>
      </c>
      <c r="F1127" s="10">
        <v>0.40000001000000002</v>
      </c>
      <c r="G1127" s="10">
        <v>1</v>
      </c>
      <c r="H1127" s="10">
        <v>0.40000001000000002</v>
      </c>
      <c r="I1127" s="10">
        <v>0</v>
      </c>
      <c r="J1127" s="10">
        <v>0</v>
      </c>
      <c r="K1127" s="10">
        <v>0</v>
      </c>
      <c r="L1127" s="10">
        <v>0.40000001000000002</v>
      </c>
      <c r="M1127" s="10">
        <v>0</v>
      </c>
      <c r="N1127" s="10">
        <v>0.40000001000000002</v>
      </c>
      <c r="O1127" s="8" t="s">
        <v>31</v>
      </c>
      <c r="P1127" s="8" t="s">
        <v>31</v>
      </c>
      <c r="Q1127" s="8" t="s">
        <v>31</v>
      </c>
      <c r="R1127" s="8" t="s">
        <v>31</v>
      </c>
      <c r="S1127" s="8" t="s">
        <v>31</v>
      </c>
      <c r="T1127" s="8" t="s">
        <v>31</v>
      </c>
      <c r="U1127" s="8" t="s">
        <v>31</v>
      </c>
      <c r="V1127" s="8" t="s">
        <v>31</v>
      </c>
      <c r="W1127" s="8" t="str">
        <f>_xlfn.IFNA(VLOOKUP(A1127,[1]Sheet1!$A$1:$B$101,1,FALSE),"na")</f>
        <v>na</v>
      </c>
      <c r="X1127" s="8" t="s">
        <v>35</v>
      </c>
      <c r="Y1127" s="9">
        <v>461</v>
      </c>
      <c r="Z1127" s="9">
        <v>329.28570999999999</v>
      </c>
      <c r="AA1127" s="9">
        <v>461</v>
      </c>
      <c r="AB1127" s="9">
        <v>461</v>
      </c>
    </row>
    <row r="1128" spans="1:28" x14ac:dyDescent="0.25">
      <c r="A1128" s="8" t="s">
        <v>2347</v>
      </c>
      <c r="B1128" s="8" t="s">
        <v>2348</v>
      </c>
      <c r="C1128" s="8" t="s">
        <v>67</v>
      </c>
      <c r="D1128" s="10">
        <v>3.0999998999999998</v>
      </c>
      <c r="E1128" s="10">
        <v>2</v>
      </c>
      <c r="F1128" s="10">
        <v>1.1000000000000001</v>
      </c>
      <c r="G1128" s="10">
        <v>2</v>
      </c>
      <c r="H1128" s="10">
        <v>1.1000000000000001</v>
      </c>
      <c r="I1128" s="10">
        <v>0</v>
      </c>
      <c r="J1128" s="10">
        <v>0</v>
      </c>
      <c r="K1128" s="10">
        <v>1</v>
      </c>
      <c r="L1128" s="10">
        <v>1.1000000000000001</v>
      </c>
      <c r="M1128" s="10">
        <v>0</v>
      </c>
      <c r="N1128" s="10">
        <v>0.1</v>
      </c>
      <c r="O1128" s="8" t="s">
        <v>31</v>
      </c>
      <c r="P1128" s="8" t="s">
        <v>31</v>
      </c>
      <c r="Q1128" s="8" t="s">
        <v>31</v>
      </c>
      <c r="R1128" s="8" t="s">
        <v>31</v>
      </c>
      <c r="S1128" s="8" t="s">
        <v>31</v>
      </c>
      <c r="T1128" s="8" t="s">
        <v>31</v>
      </c>
      <c r="U1128" s="8" t="s">
        <v>31</v>
      </c>
      <c r="V1128" s="8" t="s">
        <v>31</v>
      </c>
      <c r="W1128" s="8" t="str">
        <f>_xlfn.IFNA(VLOOKUP(A1128,[1]Sheet1!$A$1:$B$101,1,FALSE),"na")</f>
        <v>na</v>
      </c>
      <c r="X1128" s="8" t="s">
        <v>35</v>
      </c>
      <c r="Y1128" s="9">
        <v>607</v>
      </c>
      <c r="Z1128" s="9">
        <v>195.80645999999999</v>
      </c>
      <c r="AA1128" s="9">
        <v>303.5</v>
      </c>
      <c r="AB1128" s="9">
        <v>551.81817999999998</v>
      </c>
    </row>
    <row r="1129" spans="1:28" x14ac:dyDescent="0.25">
      <c r="A1129" s="8" t="s">
        <v>2349</v>
      </c>
      <c r="B1129" s="8" t="s">
        <v>2350</v>
      </c>
      <c r="C1129" s="8" t="s">
        <v>62</v>
      </c>
      <c r="D1129" s="10">
        <v>11.4</v>
      </c>
      <c r="E1129" s="10">
        <v>11</v>
      </c>
      <c r="F1129" s="10">
        <v>0.40000001000000002</v>
      </c>
      <c r="G1129" s="10">
        <v>11</v>
      </c>
      <c r="H1129" s="10">
        <v>0.40000001000000002</v>
      </c>
      <c r="I1129" s="10">
        <v>0</v>
      </c>
      <c r="J1129" s="10">
        <v>0</v>
      </c>
      <c r="K1129" s="10">
        <v>1</v>
      </c>
      <c r="L1129" s="10">
        <v>0.40000001000000002</v>
      </c>
      <c r="M1129" s="10">
        <v>0</v>
      </c>
      <c r="N1129" s="10">
        <v>0.40000001000000002</v>
      </c>
      <c r="O1129" s="8" t="s">
        <v>31</v>
      </c>
      <c r="P1129" s="8" t="s">
        <v>31</v>
      </c>
      <c r="Q1129" s="8" t="s">
        <v>31</v>
      </c>
      <c r="R1129" s="8" t="s">
        <v>31</v>
      </c>
      <c r="S1129" s="8" t="s">
        <v>31</v>
      </c>
      <c r="T1129" s="8" t="s">
        <v>57</v>
      </c>
      <c r="U1129" s="8" t="s">
        <v>31</v>
      </c>
      <c r="V1129" s="8" t="s">
        <v>31</v>
      </c>
      <c r="W1129" s="8" t="str">
        <f>_xlfn.IFNA(VLOOKUP(A1129,[1]Sheet1!$A$1:$B$101,1,FALSE),"na")</f>
        <v>na</v>
      </c>
      <c r="X1129" s="8" t="s">
        <v>35</v>
      </c>
      <c r="Y1129" s="9">
        <v>2088</v>
      </c>
      <c r="Z1129" s="9">
        <v>183.15790000000001</v>
      </c>
      <c r="AA1129" s="9">
        <v>189.81818000000001</v>
      </c>
      <c r="AB1129" s="9">
        <v>2088</v>
      </c>
    </row>
    <row r="1130" spans="1:28" x14ac:dyDescent="0.25">
      <c r="A1130" s="8" t="s">
        <v>2351</v>
      </c>
      <c r="B1130" s="8" t="s">
        <v>2352</v>
      </c>
      <c r="C1130" s="8" t="s">
        <v>62</v>
      </c>
      <c r="D1130" s="10">
        <v>10.3</v>
      </c>
      <c r="E1130" s="10">
        <v>10</v>
      </c>
      <c r="F1130" s="10">
        <v>0.30000000999999998</v>
      </c>
      <c r="G1130" s="10">
        <v>10</v>
      </c>
      <c r="H1130" s="10">
        <v>0.30000000999999998</v>
      </c>
      <c r="I1130" s="10">
        <v>0</v>
      </c>
      <c r="J1130" s="10">
        <v>0</v>
      </c>
      <c r="K1130" s="10">
        <v>1</v>
      </c>
      <c r="L1130" s="10">
        <v>0</v>
      </c>
      <c r="M1130" s="10">
        <v>0</v>
      </c>
      <c r="N1130" s="10">
        <v>0.30000000999999998</v>
      </c>
      <c r="O1130" s="8" t="s">
        <v>31</v>
      </c>
      <c r="P1130" s="8" t="s">
        <v>31</v>
      </c>
      <c r="Q1130" s="8" t="s">
        <v>31</v>
      </c>
      <c r="R1130" s="8" t="s">
        <v>31</v>
      </c>
      <c r="S1130" s="8" t="s">
        <v>31</v>
      </c>
      <c r="T1130" s="8" t="s">
        <v>31</v>
      </c>
      <c r="U1130" s="8" t="s">
        <v>31</v>
      </c>
      <c r="V1130" s="8" t="s">
        <v>31</v>
      </c>
      <c r="W1130" s="8" t="str">
        <f>_xlfn.IFNA(VLOOKUP(A1130,[1]Sheet1!$A$1:$B$101,1,FALSE),"na")</f>
        <v>na</v>
      </c>
      <c r="X1130" s="8" t="s">
        <v>35</v>
      </c>
      <c r="Y1130" s="9">
        <v>1716</v>
      </c>
      <c r="Z1130" s="9">
        <v>166.60194000000001</v>
      </c>
      <c r="AA1130" s="9">
        <v>171.60001</v>
      </c>
      <c r="AB1130" s="9">
        <v>1716</v>
      </c>
    </row>
    <row r="1131" spans="1:28" x14ac:dyDescent="0.25">
      <c r="A1131" s="8" t="s">
        <v>2353</v>
      </c>
      <c r="B1131" s="8" t="s">
        <v>2354</v>
      </c>
      <c r="C1131" s="8" t="s">
        <v>62</v>
      </c>
      <c r="D1131" s="10">
        <v>4.0999999000000003</v>
      </c>
      <c r="E1131" s="10">
        <v>3</v>
      </c>
      <c r="F1131" s="10">
        <v>1.1000000000000001</v>
      </c>
      <c r="G1131" s="10">
        <v>3</v>
      </c>
      <c r="H1131" s="10">
        <v>1.1000000000000001</v>
      </c>
      <c r="I1131" s="10">
        <v>0</v>
      </c>
      <c r="J1131" s="10">
        <v>0</v>
      </c>
      <c r="K1131" s="10">
        <v>0</v>
      </c>
      <c r="L1131" s="10">
        <v>0.1</v>
      </c>
      <c r="M1131" s="10">
        <v>0</v>
      </c>
      <c r="N1131" s="10">
        <v>0.1</v>
      </c>
      <c r="O1131" s="8" t="s">
        <v>31</v>
      </c>
      <c r="P1131" s="8" t="s">
        <v>31</v>
      </c>
      <c r="Q1131" s="8" t="s">
        <v>31</v>
      </c>
      <c r="R1131" s="8" t="s">
        <v>31</v>
      </c>
      <c r="S1131" s="8" t="s">
        <v>31</v>
      </c>
      <c r="T1131" s="8" t="s">
        <v>31</v>
      </c>
      <c r="U1131" s="8" t="s">
        <v>31</v>
      </c>
      <c r="V1131" s="8" t="s">
        <v>31</v>
      </c>
      <c r="W1131" s="8" t="str">
        <f>_xlfn.IFNA(VLOOKUP(A1131,[1]Sheet1!$A$1:$B$101,1,FALSE),"na")</f>
        <v>na</v>
      </c>
      <c r="X1131" s="8" t="s">
        <v>35</v>
      </c>
      <c r="Y1131" s="9">
        <v>481</v>
      </c>
      <c r="Z1131" s="9">
        <v>117.31708</v>
      </c>
      <c r="AA1131" s="9">
        <v>160.33332999999999</v>
      </c>
      <c r="AB1131" s="9">
        <v>437.27271000000002</v>
      </c>
    </row>
    <row r="1132" spans="1:28" x14ac:dyDescent="0.25">
      <c r="A1132" s="8" t="s">
        <v>2355</v>
      </c>
      <c r="B1132" s="8" t="s">
        <v>2356</v>
      </c>
      <c r="C1132" s="8" t="s">
        <v>62</v>
      </c>
      <c r="D1132" s="10">
        <v>5.0999999000000003</v>
      </c>
      <c r="E1132" s="10">
        <v>2</v>
      </c>
      <c r="F1132" s="10">
        <v>3.0999998999999998</v>
      </c>
      <c r="G1132" s="10">
        <v>2</v>
      </c>
      <c r="H1132" s="10">
        <v>3.0999998999999998</v>
      </c>
      <c r="I1132" s="10">
        <v>0</v>
      </c>
      <c r="J1132" s="10">
        <v>0</v>
      </c>
      <c r="K1132" s="10">
        <v>0</v>
      </c>
      <c r="L1132" s="10">
        <v>0.1</v>
      </c>
      <c r="M1132" s="10">
        <v>0</v>
      </c>
      <c r="N1132" s="10">
        <v>0.1</v>
      </c>
      <c r="O1132" s="8" t="s">
        <v>31</v>
      </c>
      <c r="P1132" s="8" t="s">
        <v>31</v>
      </c>
      <c r="Q1132" s="8" t="s">
        <v>31</v>
      </c>
      <c r="R1132" s="8" t="s">
        <v>31</v>
      </c>
      <c r="S1132" s="8" t="s">
        <v>31</v>
      </c>
      <c r="T1132" s="8" t="s">
        <v>31</v>
      </c>
      <c r="U1132" s="8" t="s">
        <v>31</v>
      </c>
      <c r="V1132" s="8" t="s">
        <v>31</v>
      </c>
      <c r="W1132" s="8" t="str">
        <f>_xlfn.IFNA(VLOOKUP(A1132,[1]Sheet1!$A$1:$B$101,1,FALSE),"na")</f>
        <v>na</v>
      </c>
      <c r="X1132" s="8" t="s">
        <v>35</v>
      </c>
      <c r="Y1132" s="9">
        <v>509</v>
      </c>
      <c r="Z1132" s="9">
        <v>99.803925000000007</v>
      </c>
      <c r="AA1132" s="9">
        <v>254.5</v>
      </c>
      <c r="AB1132" s="9">
        <v>164.19355999999999</v>
      </c>
    </row>
    <row r="1133" spans="1:28" x14ac:dyDescent="0.25">
      <c r="A1133" s="8" t="s">
        <v>2357</v>
      </c>
      <c r="B1133" s="8" t="s">
        <v>2358</v>
      </c>
      <c r="C1133" s="8" t="s">
        <v>62</v>
      </c>
      <c r="D1133" s="10">
        <v>4</v>
      </c>
      <c r="E1133" s="10">
        <v>3</v>
      </c>
      <c r="F1133" s="10">
        <v>1</v>
      </c>
      <c r="G1133" s="10">
        <v>3</v>
      </c>
      <c r="H1133" s="10">
        <v>1</v>
      </c>
      <c r="I1133" s="10">
        <v>0</v>
      </c>
      <c r="J1133" s="10">
        <v>0</v>
      </c>
      <c r="K1133" s="10">
        <v>0</v>
      </c>
      <c r="L1133" s="10">
        <v>0</v>
      </c>
      <c r="M1133" s="10">
        <v>0</v>
      </c>
      <c r="N1133" s="10">
        <v>0</v>
      </c>
      <c r="O1133" s="8" t="s">
        <v>57</v>
      </c>
      <c r="P1133" s="8" t="s">
        <v>31</v>
      </c>
      <c r="Q1133" s="8" t="s">
        <v>31</v>
      </c>
      <c r="R1133" s="8" t="s">
        <v>31</v>
      </c>
      <c r="S1133" s="8" t="s">
        <v>31</v>
      </c>
      <c r="T1133" s="8" t="s">
        <v>31</v>
      </c>
      <c r="U1133" s="8" t="s">
        <v>31</v>
      </c>
      <c r="V1133" s="8" t="s">
        <v>31</v>
      </c>
      <c r="W1133" s="8" t="str">
        <f>_xlfn.IFNA(VLOOKUP(A1133,[1]Sheet1!$A$1:$B$101,1,FALSE),"na")</f>
        <v>na</v>
      </c>
      <c r="X1133" s="8" t="s">
        <v>35</v>
      </c>
      <c r="Y1133" s="9">
        <v>716</v>
      </c>
      <c r="Z1133" s="9">
        <v>179</v>
      </c>
      <c r="AA1133" s="9">
        <v>238.66667000000001</v>
      </c>
      <c r="AB1133" s="9">
        <v>716</v>
      </c>
    </row>
    <row r="1134" spans="1:28" x14ac:dyDescent="0.25">
      <c r="A1134" s="8" t="s">
        <v>2359</v>
      </c>
      <c r="B1134" s="8" t="s">
        <v>2360</v>
      </c>
      <c r="C1134" s="8" t="s">
        <v>80</v>
      </c>
      <c r="D1134" s="10">
        <v>3</v>
      </c>
      <c r="E1134" s="10">
        <v>2</v>
      </c>
      <c r="F1134" s="10">
        <v>1</v>
      </c>
      <c r="G1134" s="10">
        <v>2</v>
      </c>
      <c r="H1134" s="10">
        <v>1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8" t="s">
        <v>57</v>
      </c>
      <c r="P1134" s="8" t="s">
        <v>31</v>
      </c>
      <c r="Q1134" s="8" t="s">
        <v>31</v>
      </c>
      <c r="R1134" s="8" t="s">
        <v>31</v>
      </c>
      <c r="S1134" s="8" t="s">
        <v>31</v>
      </c>
      <c r="T1134" s="8" t="s">
        <v>31</v>
      </c>
      <c r="U1134" s="8" t="s">
        <v>31</v>
      </c>
      <c r="V1134" s="8" t="s">
        <v>31</v>
      </c>
      <c r="W1134" s="8" t="str">
        <f>_xlfn.IFNA(VLOOKUP(A1134,[1]Sheet1!$A$1:$B$101,1,FALSE),"na")</f>
        <v>na</v>
      </c>
      <c r="X1134" s="8" t="s">
        <v>35</v>
      </c>
      <c r="Y1134" s="9">
        <v>624</v>
      </c>
      <c r="Z1134" s="9">
        <v>208</v>
      </c>
      <c r="AA1134" s="9">
        <v>312</v>
      </c>
      <c r="AB1134" s="9">
        <v>624</v>
      </c>
    </row>
    <row r="1135" spans="1:28" x14ac:dyDescent="0.25">
      <c r="A1135" s="8" t="s">
        <v>2361</v>
      </c>
      <c r="B1135" s="8" t="s">
        <v>2362</v>
      </c>
      <c r="C1135" s="8" t="s">
        <v>62</v>
      </c>
      <c r="D1135" s="10">
        <v>6</v>
      </c>
      <c r="E1135" s="10">
        <v>5</v>
      </c>
      <c r="F1135" s="10">
        <v>1</v>
      </c>
      <c r="G1135" s="10">
        <v>5</v>
      </c>
      <c r="H1135" s="10">
        <v>1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8" t="s">
        <v>31</v>
      </c>
      <c r="P1135" s="8" t="s">
        <v>31</v>
      </c>
      <c r="Q1135" s="8" t="s">
        <v>31</v>
      </c>
      <c r="R1135" s="8" t="s">
        <v>31</v>
      </c>
      <c r="S1135" s="8" t="s">
        <v>31</v>
      </c>
      <c r="T1135" s="8" t="s">
        <v>31</v>
      </c>
      <c r="U1135" s="8" t="s">
        <v>31</v>
      </c>
      <c r="V1135" s="8" t="s">
        <v>31</v>
      </c>
      <c r="W1135" s="8" t="str">
        <f>_xlfn.IFNA(VLOOKUP(A1135,[1]Sheet1!$A$1:$B$101,1,FALSE),"na")</f>
        <v>na</v>
      </c>
      <c r="X1135" s="8" t="s">
        <v>35</v>
      </c>
      <c r="Y1135" s="9">
        <v>1000</v>
      </c>
      <c r="Z1135" s="9">
        <v>166.66667000000001</v>
      </c>
      <c r="AA1135" s="9">
        <v>200</v>
      </c>
      <c r="AB1135" s="9">
        <v>1000</v>
      </c>
    </row>
    <row r="1136" spans="1:28" x14ac:dyDescent="0.25">
      <c r="A1136" s="8" t="s">
        <v>2363</v>
      </c>
      <c r="B1136" s="8" t="s">
        <v>2364</v>
      </c>
      <c r="C1136" s="8" t="s">
        <v>62</v>
      </c>
      <c r="D1136" s="10">
        <v>7.4000000999999997</v>
      </c>
      <c r="E1136" s="10">
        <v>6</v>
      </c>
      <c r="F1136" s="10">
        <v>1.4</v>
      </c>
      <c r="G1136" s="10">
        <v>6</v>
      </c>
      <c r="H1136" s="10">
        <v>1.4</v>
      </c>
      <c r="I1136" s="10">
        <v>0</v>
      </c>
      <c r="J1136" s="10">
        <v>0</v>
      </c>
      <c r="K1136" s="10">
        <v>2</v>
      </c>
      <c r="L1136" s="10">
        <v>0</v>
      </c>
      <c r="M1136" s="10">
        <v>0</v>
      </c>
      <c r="N1136" s="10">
        <v>0.40000001000000002</v>
      </c>
      <c r="O1136" s="8" t="s">
        <v>31</v>
      </c>
      <c r="P1136" s="8" t="s">
        <v>31</v>
      </c>
      <c r="Q1136" s="8" t="s">
        <v>31</v>
      </c>
      <c r="R1136" s="8" t="s">
        <v>31</v>
      </c>
      <c r="S1136" s="8" t="s">
        <v>31</v>
      </c>
      <c r="T1136" s="8" t="s">
        <v>57</v>
      </c>
      <c r="U1136" s="8" t="s">
        <v>31</v>
      </c>
      <c r="V1136" s="8" t="s">
        <v>31</v>
      </c>
      <c r="W1136" s="8" t="str">
        <f>_xlfn.IFNA(VLOOKUP(A1136,[1]Sheet1!$A$1:$B$101,1,FALSE),"na")</f>
        <v>na</v>
      </c>
      <c r="X1136" s="8" t="s">
        <v>2365</v>
      </c>
      <c r="Y1136" s="9">
        <v>1290</v>
      </c>
      <c r="Z1136" s="9">
        <v>174.32433</v>
      </c>
      <c r="AA1136" s="9">
        <v>215</v>
      </c>
      <c r="AB1136" s="9">
        <v>921.42858999999999</v>
      </c>
    </row>
    <row r="1137" spans="1:28" x14ac:dyDescent="0.25">
      <c r="A1137" s="8" t="s">
        <v>2366</v>
      </c>
      <c r="B1137" s="8" t="s">
        <v>2367</v>
      </c>
      <c r="C1137" s="8" t="s">
        <v>62</v>
      </c>
      <c r="D1137" s="10">
        <v>8</v>
      </c>
      <c r="E1137" s="10">
        <v>6</v>
      </c>
      <c r="F1137" s="10">
        <v>2</v>
      </c>
      <c r="G1137" s="10">
        <v>6</v>
      </c>
      <c r="H1137" s="10">
        <v>2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8" t="s">
        <v>31</v>
      </c>
      <c r="P1137" s="8" t="s">
        <v>31</v>
      </c>
      <c r="Q1137" s="8" t="s">
        <v>31</v>
      </c>
      <c r="R1137" s="8" t="s">
        <v>31</v>
      </c>
      <c r="S1137" s="8" t="s">
        <v>31</v>
      </c>
      <c r="T1137" s="8" t="s">
        <v>31</v>
      </c>
      <c r="U1137" s="8" t="s">
        <v>31</v>
      </c>
      <c r="V1137" s="8" t="s">
        <v>31</v>
      </c>
      <c r="W1137" s="8" t="str">
        <f>_xlfn.IFNA(VLOOKUP(A1137,[1]Sheet1!$A$1:$B$101,1,FALSE),"na")</f>
        <v>na</v>
      </c>
      <c r="X1137" s="8" t="s">
        <v>35</v>
      </c>
      <c r="Y1137" s="9">
        <v>2080</v>
      </c>
      <c r="Z1137" s="9">
        <v>260</v>
      </c>
      <c r="AA1137" s="9">
        <v>346.66665999999998</v>
      </c>
      <c r="AB1137" s="9">
        <v>1040</v>
      </c>
    </row>
    <row r="1138" spans="1:28" x14ac:dyDescent="0.25">
      <c r="A1138" s="8" t="s">
        <v>2368</v>
      </c>
      <c r="B1138" s="8" t="s">
        <v>2369</v>
      </c>
      <c r="C1138" s="8" t="s">
        <v>62</v>
      </c>
      <c r="D1138" s="10">
        <v>2.0499999999999998</v>
      </c>
      <c r="E1138" s="10">
        <v>1</v>
      </c>
      <c r="F1138" s="10">
        <v>1.05</v>
      </c>
      <c r="G1138" s="10">
        <v>1</v>
      </c>
      <c r="H1138" s="10">
        <v>1.05</v>
      </c>
      <c r="I1138" s="10">
        <v>0</v>
      </c>
      <c r="J1138" s="10">
        <v>0</v>
      </c>
      <c r="K1138" s="10">
        <v>0</v>
      </c>
      <c r="L1138" s="10">
        <v>5.0000001000000002E-2</v>
      </c>
      <c r="M1138" s="10">
        <v>0</v>
      </c>
      <c r="N1138" s="10">
        <v>5.0000001000000002E-2</v>
      </c>
      <c r="O1138" s="8" t="s">
        <v>31</v>
      </c>
      <c r="P1138" s="8" t="s">
        <v>57</v>
      </c>
      <c r="Q1138" s="8" t="s">
        <v>31</v>
      </c>
      <c r="R1138" s="8" t="s">
        <v>31</v>
      </c>
      <c r="S1138" s="8" t="s">
        <v>31</v>
      </c>
      <c r="T1138" s="8" t="s">
        <v>31</v>
      </c>
      <c r="U1138" s="8" t="s">
        <v>31</v>
      </c>
      <c r="V1138" s="8" t="s">
        <v>31</v>
      </c>
      <c r="W1138" s="8" t="str">
        <f>_xlfn.IFNA(VLOOKUP(A1138,[1]Sheet1!$A$1:$B$101,1,FALSE),"na")</f>
        <v>na</v>
      </c>
      <c r="X1138" s="8" t="s">
        <v>35</v>
      </c>
      <c r="Y1138" s="9">
        <v>208</v>
      </c>
      <c r="Z1138" s="9">
        <v>101.46342</v>
      </c>
      <c r="AA1138" s="9">
        <v>208</v>
      </c>
      <c r="AB1138" s="9">
        <v>198.09524999999999</v>
      </c>
    </row>
    <row r="1139" spans="1:28" x14ac:dyDescent="0.25">
      <c r="A1139" s="8" t="s">
        <v>2370</v>
      </c>
      <c r="B1139" s="8" t="s">
        <v>2371</v>
      </c>
      <c r="C1139" s="8" t="s">
        <v>80</v>
      </c>
      <c r="D1139" s="10">
        <v>2.0999998999999998</v>
      </c>
      <c r="E1139" s="10">
        <v>2</v>
      </c>
      <c r="F1139" s="10">
        <v>0.1</v>
      </c>
      <c r="G1139" s="10">
        <v>2</v>
      </c>
      <c r="H1139" s="10">
        <v>0.1</v>
      </c>
      <c r="I1139" s="10">
        <v>0</v>
      </c>
      <c r="J1139" s="10">
        <v>0</v>
      </c>
      <c r="K1139" s="10">
        <v>0</v>
      </c>
      <c r="L1139" s="10">
        <v>0.1</v>
      </c>
      <c r="M1139" s="10">
        <v>0</v>
      </c>
      <c r="N1139" s="10">
        <v>0.1</v>
      </c>
      <c r="O1139" s="8" t="s">
        <v>31</v>
      </c>
      <c r="P1139" s="8" t="s">
        <v>31</v>
      </c>
      <c r="Q1139" s="8" t="s">
        <v>31</v>
      </c>
      <c r="R1139" s="8" t="s">
        <v>31</v>
      </c>
      <c r="S1139" s="8" t="s">
        <v>31</v>
      </c>
      <c r="T1139" s="8" t="s">
        <v>57</v>
      </c>
      <c r="U1139" s="8" t="s">
        <v>31</v>
      </c>
      <c r="V1139" s="8" t="s">
        <v>31</v>
      </c>
      <c r="W1139" s="8" t="str">
        <f>_xlfn.IFNA(VLOOKUP(A1139,[1]Sheet1!$A$1:$B$101,1,FALSE),"na")</f>
        <v>na</v>
      </c>
      <c r="X1139" s="8" t="s">
        <v>35</v>
      </c>
      <c r="Y1139" s="9">
        <v>73</v>
      </c>
      <c r="Z1139" s="9">
        <v>34.761906000000003</v>
      </c>
      <c r="AA1139" s="9">
        <v>36.5</v>
      </c>
      <c r="AB1139" s="9">
        <v>73</v>
      </c>
    </row>
    <row r="1140" spans="1:28" x14ac:dyDescent="0.25">
      <c r="A1140" s="8" t="s">
        <v>2372</v>
      </c>
      <c r="B1140" s="8" t="s">
        <v>2373</v>
      </c>
      <c r="C1140" s="8" t="s">
        <v>30</v>
      </c>
      <c r="D1140" s="10">
        <v>3.8</v>
      </c>
      <c r="E1140" s="10">
        <v>2</v>
      </c>
      <c r="F1140" s="10">
        <v>1.8</v>
      </c>
      <c r="G1140" s="10">
        <v>2</v>
      </c>
      <c r="H1140" s="10">
        <v>1.8</v>
      </c>
      <c r="I1140" s="10">
        <v>0</v>
      </c>
      <c r="J1140" s="10">
        <v>0</v>
      </c>
      <c r="K1140" s="10">
        <v>1</v>
      </c>
      <c r="L1140" s="10">
        <v>1.8</v>
      </c>
      <c r="M1140" s="10">
        <v>0</v>
      </c>
      <c r="N1140" s="10">
        <v>0.80000000999999998</v>
      </c>
      <c r="O1140" s="8" t="s">
        <v>57</v>
      </c>
      <c r="P1140" s="8" t="s">
        <v>31</v>
      </c>
      <c r="Q1140" s="8" t="s">
        <v>31</v>
      </c>
      <c r="R1140" s="8" t="s">
        <v>31</v>
      </c>
      <c r="S1140" s="8" t="s">
        <v>31</v>
      </c>
      <c r="T1140" s="8" t="s">
        <v>31</v>
      </c>
      <c r="U1140" s="8" t="s">
        <v>31</v>
      </c>
      <c r="V1140" s="8" t="s">
        <v>31</v>
      </c>
      <c r="W1140" s="8" t="str">
        <f>_xlfn.IFNA(VLOOKUP(A1140,[1]Sheet1!$A$1:$B$101,1,FALSE),"na")</f>
        <v>na</v>
      </c>
      <c r="X1140" s="8" t="s">
        <v>35</v>
      </c>
      <c r="Y1140" s="9">
        <v>1006</v>
      </c>
      <c r="Z1140" s="9">
        <v>264.73685</v>
      </c>
      <c r="AA1140" s="9">
        <v>503</v>
      </c>
      <c r="AB1140" s="9">
        <v>558.88891999999998</v>
      </c>
    </row>
    <row r="1141" spans="1:28" x14ac:dyDescent="0.25">
      <c r="A1141" s="8" t="s">
        <v>2374</v>
      </c>
      <c r="B1141" s="8" t="s">
        <v>2375</v>
      </c>
      <c r="C1141" s="8" t="s">
        <v>30</v>
      </c>
      <c r="D1141" s="10">
        <v>2.5999998999999998</v>
      </c>
      <c r="E1141" s="10">
        <v>2</v>
      </c>
      <c r="F1141" s="10">
        <v>0.60000001999999997</v>
      </c>
      <c r="G1141" s="10">
        <v>2</v>
      </c>
      <c r="H1141" s="10">
        <v>0.60000001999999997</v>
      </c>
      <c r="I1141" s="10">
        <v>0</v>
      </c>
      <c r="J1141" s="10">
        <v>0</v>
      </c>
      <c r="K1141" s="10">
        <v>0</v>
      </c>
      <c r="L1141" s="10">
        <v>0.60000001999999997</v>
      </c>
      <c r="M1141" s="10">
        <v>0</v>
      </c>
      <c r="N1141" s="10">
        <v>0.60000001999999997</v>
      </c>
      <c r="O1141" s="8" t="s">
        <v>31</v>
      </c>
      <c r="P1141" s="8" t="s">
        <v>31</v>
      </c>
      <c r="Q1141" s="8" t="s">
        <v>31</v>
      </c>
      <c r="R1141" s="8" t="s">
        <v>31</v>
      </c>
      <c r="S1141" s="8" t="s">
        <v>31</v>
      </c>
      <c r="T1141" s="8" t="s">
        <v>31</v>
      </c>
      <c r="U1141" s="8" t="s">
        <v>31</v>
      </c>
      <c r="V1141" s="8" t="s">
        <v>31</v>
      </c>
      <c r="W1141" s="8" t="str">
        <f>_xlfn.IFNA(VLOOKUP(A1141,[1]Sheet1!$A$1:$B$101,1,FALSE),"na")</f>
        <v>na</v>
      </c>
      <c r="X1141" s="8" t="s">
        <v>35</v>
      </c>
      <c r="Y1141" s="9">
        <v>1084</v>
      </c>
      <c r="Z1141" s="9">
        <v>416.92309999999998</v>
      </c>
      <c r="AA1141" s="9">
        <v>542</v>
      </c>
      <c r="AB1141" s="9">
        <v>1084</v>
      </c>
    </row>
    <row r="1142" spans="1:28" x14ac:dyDescent="0.25">
      <c r="A1142" s="8" t="s">
        <v>2376</v>
      </c>
      <c r="B1142" s="8" t="s">
        <v>2377</v>
      </c>
      <c r="C1142" s="8" t="s">
        <v>30</v>
      </c>
      <c r="D1142" s="10">
        <v>3.5999998999999998</v>
      </c>
      <c r="E1142" s="10">
        <v>2</v>
      </c>
      <c r="F1142" s="10">
        <v>1.6</v>
      </c>
      <c r="G1142" s="10">
        <v>2</v>
      </c>
      <c r="H1142" s="10">
        <v>1.6</v>
      </c>
      <c r="I1142" s="10">
        <v>0</v>
      </c>
      <c r="J1142" s="10">
        <v>0</v>
      </c>
      <c r="K1142" s="10">
        <v>0</v>
      </c>
      <c r="L1142" s="10">
        <v>0.40000001000000002</v>
      </c>
      <c r="M1142" s="10">
        <v>0</v>
      </c>
      <c r="N1142" s="10">
        <v>0.60000001999999997</v>
      </c>
      <c r="O1142" s="8" t="s">
        <v>57</v>
      </c>
      <c r="P1142" s="8" t="s">
        <v>31</v>
      </c>
      <c r="Q1142" s="8" t="s">
        <v>31</v>
      </c>
      <c r="R1142" s="8" t="s">
        <v>31</v>
      </c>
      <c r="S1142" s="8" t="s">
        <v>31</v>
      </c>
      <c r="T1142" s="8" t="s">
        <v>31</v>
      </c>
      <c r="U1142" s="8" t="s">
        <v>31</v>
      </c>
      <c r="V1142" s="8" t="s">
        <v>31</v>
      </c>
      <c r="W1142" s="8" t="str">
        <f>_xlfn.IFNA(VLOOKUP(A1142,[1]Sheet1!$A$1:$B$101,1,FALSE),"na")</f>
        <v>na</v>
      </c>
      <c r="X1142" s="8" t="s">
        <v>35</v>
      </c>
      <c r="Y1142" s="9">
        <v>747</v>
      </c>
      <c r="Z1142" s="9">
        <v>207.5</v>
      </c>
      <c r="AA1142" s="9">
        <v>373.5</v>
      </c>
      <c r="AB1142" s="9">
        <v>466.875</v>
      </c>
    </row>
    <row r="1143" spans="1:28" x14ac:dyDescent="0.25">
      <c r="A1143" s="8" t="s">
        <v>2378</v>
      </c>
      <c r="B1143" s="8" t="s">
        <v>2379</v>
      </c>
      <c r="C1143" s="8" t="s">
        <v>30</v>
      </c>
      <c r="D1143" s="10">
        <v>2.8</v>
      </c>
      <c r="E1143" s="10">
        <v>2</v>
      </c>
      <c r="F1143" s="10">
        <v>0.80000000999999998</v>
      </c>
      <c r="G1143" s="10">
        <v>2</v>
      </c>
      <c r="H1143" s="10">
        <v>0.80000000999999998</v>
      </c>
      <c r="I1143" s="10">
        <v>0</v>
      </c>
      <c r="J1143" s="10">
        <v>0</v>
      </c>
      <c r="K1143" s="10">
        <v>1</v>
      </c>
      <c r="L1143" s="10">
        <v>0.80000000999999998</v>
      </c>
      <c r="M1143" s="10">
        <v>0</v>
      </c>
      <c r="N1143" s="10">
        <v>0.80000000999999998</v>
      </c>
      <c r="O1143" s="8" t="s">
        <v>31</v>
      </c>
      <c r="P1143" s="8" t="s">
        <v>31</v>
      </c>
      <c r="Q1143" s="8" t="s">
        <v>31</v>
      </c>
      <c r="R1143" s="8" t="s">
        <v>31</v>
      </c>
      <c r="S1143" s="8" t="s">
        <v>31</v>
      </c>
      <c r="T1143" s="8" t="s">
        <v>31</v>
      </c>
      <c r="U1143" s="8" t="s">
        <v>31</v>
      </c>
      <c r="V1143" s="8" t="s">
        <v>31</v>
      </c>
      <c r="W1143" s="8" t="str">
        <f>_xlfn.IFNA(VLOOKUP(A1143,[1]Sheet1!$A$1:$B$101,1,FALSE),"na")</f>
        <v>na</v>
      </c>
      <c r="X1143" s="8" t="s">
        <v>35</v>
      </c>
      <c r="Y1143" s="9">
        <v>1203</v>
      </c>
      <c r="Z1143" s="9">
        <v>429.64285000000001</v>
      </c>
      <c r="AA1143" s="9">
        <v>601.5</v>
      </c>
      <c r="AB1143" s="9">
        <v>1203</v>
      </c>
    </row>
    <row r="1144" spans="1:28" x14ac:dyDescent="0.25">
      <c r="A1144" s="8" t="s">
        <v>2380</v>
      </c>
      <c r="B1144" s="8" t="s">
        <v>2381</v>
      </c>
      <c r="C1144" s="8" t="s">
        <v>67</v>
      </c>
      <c r="D1144" s="10">
        <v>3.1333300999999998</v>
      </c>
      <c r="E1144" s="10">
        <v>3</v>
      </c>
      <c r="F1144" s="10">
        <v>0.13333</v>
      </c>
      <c r="G1144" s="10">
        <v>3</v>
      </c>
      <c r="H1144" s="10">
        <v>0.13333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0.13333</v>
      </c>
      <c r="O1144" s="8" t="s">
        <v>31</v>
      </c>
      <c r="P1144" s="8" t="s">
        <v>31</v>
      </c>
      <c r="Q1144" s="8" t="s">
        <v>31</v>
      </c>
      <c r="R1144" s="8" t="s">
        <v>31</v>
      </c>
      <c r="S1144" s="8" t="s">
        <v>31</v>
      </c>
      <c r="T1144" s="8" t="s">
        <v>31</v>
      </c>
      <c r="U1144" s="8" t="s">
        <v>31</v>
      </c>
      <c r="V1144" s="8" t="s">
        <v>31</v>
      </c>
      <c r="W1144" s="8" t="str">
        <f>_xlfn.IFNA(VLOOKUP(A1144,[1]Sheet1!$A$1:$B$101,1,FALSE),"na")</f>
        <v>na</v>
      </c>
      <c r="X1144" s="8" t="s">
        <v>35</v>
      </c>
      <c r="Y1144" s="9">
        <v>1025</v>
      </c>
      <c r="Z1144" s="9">
        <v>327.12799000000001</v>
      </c>
      <c r="AA1144" s="9">
        <v>341.66665999999998</v>
      </c>
      <c r="AB1144" s="9">
        <v>1025</v>
      </c>
    </row>
    <row r="1145" spans="1:28" x14ac:dyDescent="0.25">
      <c r="A1145" s="8" t="s">
        <v>2382</v>
      </c>
      <c r="B1145" s="8" t="s">
        <v>2383</v>
      </c>
      <c r="C1145" s="8" t="s">
        <v>30</v>
      </c>
      <c r="D1145" s="10">
        <v>1.6</v>
      </c>
      <c r="E1145" s="10">
        <v>1</v>
      </c>
      <c r="F1145" s="10">
        <v>0.60000001999999997</v>
      </c>
      <c r="G1145" s="10">
        <v>1</v>
      </c>
      <c r="H1145" s="10">
        <v>0.60000001999999997</v>
      </c>
      <c r="I1145" s="10">
        <v>0</v>
      </c>
      <c r="J1145" s="10">
        <v>0</v>
      </c>
      <c r="K1145" s="10">
        <v>0</v>
      </c>
      <c r="L1145" s="10">
        <v>0.60000001999999997</v>
      </c>
      <c r="M1145" s="10">
        <v>0</v>
      </c>
      <c r="N1145" s="10">
        <v>0.60000001999999997</v>
      </c>
      <c r="O1145" s="8" t="s">
        <v>57</v>
      </c>
      <c r="P1145" s="8" t="s">
        <v>31</v>
      </c>
      <c r="Q1145" s="8" t="s">
        <v>31</v>
      </c>
      <c r="R1145" s="8" t="s">
        <v>31</v>
      </c>
      <c r="S1145" s="8" t="s">
        <v>31</v>
      </c>
      <c r="T1145" s="8" t="s">
        <v>31</v>
      </c>
      <c r="U1145" s="8" t="s">
        <v>31</v>
      </c>
      <c r="V1145" s="8" t="s">
        <v>31</v>
      </c>
      <c r="W1145" s="8" t="str">
        <f>_xlfn.IFNA(VLOOKUP(A1145,[1]Sheet1!$A$1:$B$101,1,FALSE),"na")</f>
        <v>na</v>
      </c>
      <c r="X1145" s="8" t="s">
        <v>35</v>
      </c>
      <c r="Y1145" s="9">
        <v>676</v>
      </c>
      <c r="Z1145" s="9">
        <v>422.5</v>
      </c>
      <c r="AA1145" s="9">
        <v>676</v>
      </c>
      <c r="AB1145" s="9">
        <v>676</v>
      </c>
    </row>
    <row r="1146" spans="1:28" x14ac:dyDescent="0.25">
      <c r="A1146" s="8" t="s">
        <v>2384</v>
      </c>
      <c r="B1146" s="8" t="s">
        <v>2385</v>
      </c>
      <c r="C1146" s="8" t="s">
        <v>30</v>
      </c>
      <c r="D1146" s="10">
        <v>1.6</v>
      </c>
      <c r="E1146" s="10">
        <v>1</v>
      </c>
      <c r="F1146" s="10">
        <v>0.60000001999999997</v>
      </c>
      <c r="G1146" s="10">
        <v>1</v>
      </c>
      <c r="H1146" s="10">
        <v>0.60000001999999997</v>
      </c>
      <c r="I1146" s="10">
        <v>0</v>
      </c>
      <c r="J1146" s="10">
        <v>0</v>
      </c>
      <c r="K1146" s="10">
        <v>0</v>
      </c>
      <c r="L1146" s="10">
        <v>0.60000001999999997</v>
      </c>
      <c r="M1146" s="10">
        <v>0</v>
      </c>
      <c r="N1146" s="10">
        <v>0.60000001999999997</v>
      </c>
      <c r="O1146" s="8" t="s">
        <v>31</v>
      </c>
      <c r="P1146" s="8" t="s">
        <v>31</v>
      </c>
      <c r="Q1146" s="8" t="s">
        <v>31</v>
      </c>
      <c r="R1146" s="8" t="s">
        <v>31</v>
      </c>
      <c r="S1146" s="8" t="s">
        <v>31</v>
      </c>
      <c r="T1146" s="8" t="s">
        <v>31</v>
      </c>
      <c r="U1146" s="8" t="s">
        <v>31</v>
      </c>
      <c r="V1146" s="8" t="s">
        <v>31</v>
      </c>
      <c r="W1146" s="8" t="str">
        <f>_xlfn.IFNA(VLOOKUP(A1146,[1]Sheet1!$A$1:$B$101,1,FALSE),"na")</f>
        <v>na</v>
      </c>
      <c r="X1146" s="8" t="s">
        <v>35</v>
      </c>
      <c r="Y1146" s="9">
        <v>823</v>
      </c>
      <c r="Z1146" s="9">
        <v>514.375</v>
      </c>
      <c r="AA1146" s="9">
        <v>823</v>
      </c>
      <c r="AB1146" s="9">
        <v>823</v>
      </c>
    </row>
    <row r="1147" spans="1:28" x14ac:dyDescent="0.25">
      <c r="A1147" s="8" t="s">
        <v>2386</v>
      </c>
      <c r="B1147" s="8" t="s">
        <v>2387</v>
      </c>
      <c r="C1147" s="8" t="s">
        <v>30</v>
      </c>
      <c r="D1147" s="10">
        <v>2.5999998999999998</v>
      </c>
      <c r="E1147" s="10">
        <v>2</v>
      </c>
      <c r="F1147" s="10">
        <v>0.60000001999999997</v>
      </c>
      <c r="G1147" s="10">
        <v>2</v>
      </c>
      <c r="H1147" s="10">
        <v>0.60000001999999997</v>
      </c>
      <c r="I1147" s="10">
        <v>0</v>
      </c>
      <c r="J1147" s="10">
        <v>0</v>
      </c>
      <c r="K1147" s="10">
        <v>0</v>
      </c>
      <c r="L1147" s="10">
        <v>0.60000001999999997</v>
      </c>
      <c r="M1147" s="10">
        <v>0</v>
      </c>
      <c r="N1147" s="10">
        <v>0.60000001999999997</v>
      </c>
      <c r="O1147" s="8" t="s">
        <v>31</v>
      </c>
      <c r="P1147" s="8" t="s">
        <v>31</v>
      </c>
      <c r="Q1147" s="8" t="s">
        <v>31</v>
      </c>
      <c r="R1147" s="8" t="s">
        <v>31</v>
      </c>
      <c r="S1147" s="8" t="s">
        <v>31</v>
      </c>
      <c r="T1147" s="8" t="s">
        <v>31</v>
      </c>
      <c r="U1147" s="8" t="s">
        <v>31</v>
      </c>
      <c r="V1147" s="8" t="s">
        <v>31</v>
      </c>
      <c r="W1147" s="8" t="str">
        <f>_xlfn.IFNA(VLOOKUP(A1147,[1]Sheet1!$A$1:$B$101,1,FALSE),"na")</f>
        <v>na</v>
      </c>
      <c r="X1147" s="8" t="s">
        <v>35</v>
      </c>
      <c r="Y1147" s="9">
        <v>1095</v>
      </c>
      <c r="Z1147" s="9">
        <v>421.15386999999998</v>
      </c>
      <c r="AA1147" s="9">
        <v>547.5</v>
      </c>
      <c r="AB1147" s="9">
        <v>1095</v>
      </c>
    </row>
    <row r="1148" spans="1:28" x14ac:dyDescent="0.25">
      <c r="A1148" s="8" t="s">
        <v>2388</v>
      </c>
      <c r="B1148" s="8" t="s">
        <v>2389</v>
      </c>
      <c r="C1148" s="8" t="s">
        <v>30</v>
      </c>
      <c r="D1148" s="10">
        <v>1.6</v>
      </c>
      <c r="E1148" s="10">
        <v>1</v>
      </c>
      <c r="F1148" s="10">
        <v>0.60000001999999997</v>
      </c>
      <c r="G1148" s="10">
        <v>1</v>
      </c>
      <c r="H1148" s="10">
        <v>0.60000001999999997</v>
      </c>
      <c r="I1148" s="10">
        <v>0</v>
      </c>
      <c r="J1148" s="10">
        <v>0</v>
      </c>
      <c r="K1148" s="10">
        <v>0</v>
      </c>
      <c r="L1148" s="10">
        <v>0.60000001999999997</v>
      </c>
      <c r="M1148" s="10">
        <v>0</v>
      </c>
      <c r="N1148" s="10">
        <v>0.60000001999999997</v>
      </c>
      <c r="O1148" s="8" t="s">
        <v>31</v>
      </c>
      <c r="P1148" s="8" t="s">
        <v>31</v>
      </c>
      <c r="Q1148" s="8" t="s">
        <v>31</v>
      </c>
      <c r="R1148" s="8" t="s">
        <v>31</v>
      </c>
      <c r="S1148" s="8" t="s">
        <v>31</v>
      </c>
      <c r="T1148" s="8" t="s">
        <v>31</v>
      </c>
      <c r="U1148" s="8" t="s">
        <v>31</v>
      </c>
      <c r="V1148" s="8" t="s">
        <v>31</v>
      </c>
      <c r="W1148" s="8" t="str">
        <f>_xlfn.IFNA(VLOOKUP(A1148,[1]Sheet1!$A$1:$B$101,1,FALSE),"na")</f>
        <v>na</v>
      </c>
      <c r="X1148" s="8" t="s">
        <v>35</v>
      </c>
      <c r="Y1148" s="9">
        <v>819</v>
      </c>
      <c r="Z1148" s="9">
        <v>511.875</v>
      </c>
      <c r="AA1148" s="9">
        <v>819</v>
      </c>
      <c r="AB1148" s="9">
        <v>819</v>
      </c>
    </row>
    <row r="1149" spans="1:28" x14ac:dyDescent="0.25">
      <c r="A1149" s="8" t="s">
        <v>2390</v>
      </c>
      <c r="B1149" s="8" t="s">
        <v>2391</v>
      </c>
      <c r="C1149" s="8" t="s">
        <v>30</v>
      </c>
      <c r="D1149" s="10">
        <v>2.5999998999999998</v>
      </c>
      <c r="E1149" s="10">
        <v>2</v>
      </c>
      <c r="F1149" s="10">
        <v>0.60000001999999997</v>
      </c>
      <c r="G1149" s="10">
        <v>2</v>
      </c>
      <c r="H1149" s="10">
        <v>0.60000001999999997</v>
      </c>
      <c r="I1149" s="10">
        <v>0</v>
      </c>
      <c r="J1149" s="10">
        <v>0</v>
      </c>
      <c r="K1149" s="10">
        <v>1</v>
      </c>
      <c r="L1149" s="10">
        <v>0.60000001999999997</v>
      </c>
      <c r="M1149" s="10">
        <v>0</v>
      </c>
      <c r="N1149" s="10">
        <v>0.60000001999999997</v>
      </c>
      <c r="O1149" s="8" t="s">
        <v>31</v>
      </c>
      <c r="P1149" s="8" t="s">
        <v>31</v>
      </c>
      <c r="Q1149" s="8" t="s">
        <v>31</v>
      </c>
      <c r="R1149" s="8" t="s">
        <v>31</v>
      </c>
      <c r="S1149" s="8" t="s">
        <v>31</v>
      </c>
      <c r="T1149" s="8" t="s">
        <v>31</v>
      </c>
      <c r="U1149" s="8" t="s">
        <v>31</v>
      </c>
      <c r="V1149" s="8" t="s">
        <v>31</v>
      </c>
      <c r="W1149" s="8" t="str">
        <f>_xlfn.IFNA(VLOOKUP(A1149,[1]Sheet1!$A$1:$B$101,1,FALSE),"na")</f>
        <v>na</v>
      </c>
      <c r="X1149" s="8" t="s">
        <v>2392</v>
      </c>
      <c r="Y1149" s="9">
        <v>749</v>
      </c>
      <c r="Z1149" s="9">
        <v>288.07693</v>
      </c>
      <c r="AA1149" s="9">
        <v>374.5</v>
      </c>
      <c r="AB1149" s="9">
        <v>749</v>
      </c>
    </row>
    <row r="1150" spans="1:28" x14ac:dyDescent="0.25">
      <c r="A1150" s="8" t="s">
        <v>2393</v>
      </c>
      <c r="B1150" s="8" t="s">
        <v>2394</v>
      </c>
      <c r="C1150" s="8" t="s">
        <v>30</v>
      </c>
      <c r="D1150" s="10">
        <v>3.8</v>
      </c>
      <c r="E1150" s="10">
        <v>3</v>
      </c>
      <c r="F1150" s="10">
        <v>0.80000000999999998</v>
      </c>
      <c r="G1150" s="10">
        <v>3</v>
      </c>
      <c r="H1150" s="10">
        <v>0.80000000999999998</v>
      </c>
      <c r="I1150" s="10">
        <v>0</v>
      </c>
      <c r="J1150" s="10">
        <v>0</v>
      </c>
      <c r="K1150" s="10">
        <v>0</v>
      </c>
      <c r="L1150" s="10">
        <v>0.80000000999999998</v>
      </c>
      <c r="M1150" s="10">
        <v>0</v>
      </c>
      <c r="N1150" s="10">
        <v>0.80000000999999998</v>
      </c>
      <c r="O1150" s="8" t="s">
        <v>31</v>
      </c>
      <c r="P1150" s="8" t="s">
        <v>31</v>
      </c>
      <c r="Q1150" s="8" t="s">
        <v>31</v>
      </c>
      <c r="R1150" s="8" t="s">
        <v>31</v>
      </c>
      <c r="S1150" s="8" t="s">
        <v>31</v>
      </c>
      <c r="T1150" s="8" t="s">
        <v>31</v>
      </c>
      <c r="U1150" s="8" t="s">
        <v>31</v>
      </c>
      <c r="V1150" s="8" t="s">
        <v>31</v>
      </c>
      <c r="W1150" s="8" t="str">
        <f>_xlfn.IFNA(VLOOKUP(A1150,[1]Sheet1!$A$1:$B$101,1,FALSE),"na")</f>
        <v>na</v>
      </c>
      <c r="X1150" s="8" t="s">
        <v>35</v>
      </c>
      <c r="Y1150" s="9">
        <v>1068</v>
      </c>
      <c r="Z1150" s="9">
        <v>281.05264</v>
      </c>
      <c r="AA1150" s="9">
        <v>356</v>
      </c>
      <c r="AB1150" s="9">
        <v>1068</v>
      </c>
    </row>
    <row r="1151" spans="1:28" x14ac:dyDescent="0.25">
      <c r="A1151" s="8" t="s">
        <v>2395</v>
      </c>
      <c r="B1151" s="8" t="s">
        <v>2396</v>
      </c>
      <c r="C1151" s="8" t="s">
        <v>30</v>
      </c>
      <c r="D1151" s="10">
        <v>2.2000000000000002</v>
      </c>
      <c r="E1151" s="10">
        <v>1</v>
      </c>
      <c r="F1151" s="10">
        <v>1.2</v>
      </c>
      <c r="G1151" s="10">
        <v>1</v>
      </c>
      <c r="H1151" s="10">
        <v>1.2</v>
      </c>
      <c r="I1151" s="10">
        <v>0</v>
      </c>
      <c r="J1151" s="10">
        <v>0</v>
      </c>
      <c r="K1151" s="10">
        <v>0</v>
      </c>
      <c r="L1151" s="10">
        <v>0</v>
      </c>
      <c r="M1151" s="10">
        <v>0</v>
      </c>
      <c r="N1151" s="10">
        <v>0.2</v>
      </c>
      <c r="O1151" s="8" t="s">
        <v>57</v>
      </c>
      <c r="P1151" s="8" t="s">
        <v>31</v>
      </c>
      <c r="Q1151" s="8" t="s">
        <v>31</v>
      </c>
      <c r="R1151" s="8" t="s">
        <v>31</v>
      </c>
      <c r="S1151" s="8" t="s">
        <v>31</v>
      </c>
      <c r="T1151" s="8" t="s">
        <v>31</v>
      </c>
      <c r="U1151" s="8" t="s">
        <v>31</v>
      </c>
      <c r="V1151" s="8" t="s">
        <v>31</v>
      </c>
      <c r="W1151" s="8" t="str">
        <f>_xlfn.IFNA(VLOOKUP(A1151,[1]Sheet1!$A$1:$B$101,1,FALSE),"na")</f>
        <v>na</v>
      </c>
      <c r="X1151" s="8" t="s">
        <v>35</v>
      </c>
      <c r="Y1151" s="9">
        <v>358</v>
      </c>
      <c r="Z1151" s="9">
        <v>162.72726</v>
      </c>
      <c r="AA1151" s="9">
        <v>358</v>
      </c>
      <c r="AB1151" s="9">
        <v>298.33330999999998</v>
      </c>
    </row>
    <row r="1152" spans="1:28" x14ac:dyDescent="0.25">
      <c r="A1152" s="8" t="s">
        <v>2397</v>
      </c>
      <c r="B1152" s="8" t="s">
        <v>2398</v>
      </c>
      <c r="C1152" s="8" t="s">
        <v>30</v>
      </c>
      <c r="D1152" s="10">
        <v>1.4</v>
      </c>
      <c r="E1152" s="10">
        <v>1</v>
      </c>
      <c r="F1152" s="10">
        <v>0.40000001000000002</v>
      </c>
      <c r="G1152" s="10">
        <v>1</v>
      </c>
      <c r="H1152" s="10">
        <v>0.40000001000000002</v>
      </c>
      <c r="I1152" s="10">
        <v>0</v>
      </c>
      <c r="J1152" s="10">
        <v>0</v>
      </c>
      <c r="K1152" s="10">
        <v>0</v>
      </c>
      <c r="L1152" s="10">
        <v>0.40000001000000002</v>
      </c>
      <c r="M1152" s="10">
        <v>0</v>
      </c>
      <c r="N1152" s="10">
        <v>0.40000001000000002</v>
      </c>
      <c r="O1152" s="8" t="s">
        <v>31</v>
      </c>
      <c r="P1152" s="8" t="s">
        <v>31</v>
      </c>
      <c r="Q1152" s="8" t="s">
        <v>31</v>
      </c>
      <c r="R1152" s="8" t="s">
        <v>31</v>
      </c>
      <c r="S1152" s="8" t="s">
        <v>31</v>
      </c>
      <c r="T1152" s="8" t="s">
        <v>31</v>
      </c>
      <c r="U1152" s="8" t="s">
        <v>31</v>
      </c>
      <c r="V1152" s="8" t="s">
        <v>31</v>
      </c>
      <c r="W1152" s="8" t="str">
        <f>_xlfn.IFNA(VLOOKUP(A1152,[1]Sheet1!$A$1:$B$101,1,FALSE),"na")</f>
        <v>na</v>
      </c>
      <c r="X1152" s="8" t="s">
        <v>35</v>
      </c>
      <c r="Y1152" s="9">
        <v>542</v>
      </c>
      <c r="Z1152" s="9">
        <v>387.14285000000001</v>
      </c>
      <c r="AA1152" s="9">
        <v>542</v>
      </c>
      <c r="AB1152" s="9">
        <v>542</v>
      </c>
    </row>
    <row r="1153" spans="1:28" x14ac:dyDescent="0.25">
      <c r="A1153" s="8" t="s">
        <v>2399</v>
      </c>
      <c r="B1153" s="8" t="s">
        <v>2400</v>
      </c>
      <c r="C1153" s="8" t="s">
        <v>30</v>
      </c>
      <c r="D1153" s="10">
        <v>1.4</v>
      </c>
      <c r="E1153" s="10">
        <v>1</v>
      </c>
      <c r="F1153" s="10">
        <v>0.40000001000000002</v>
      </c>
      <c r="G1153" s="10">
        <v>1</v>
      </c>
      <c r="H1153" s="10">
        <v>0.40000001000000002</v>
      </c>
      <c r="I1153" s="10">
        <v>0</v>
      </c>
      <c r="J1153" s="10">
        <v>0</v>
      </c>
      <c r="K1153" s="10">
        <v>0</v>
      </c>
      <c r="L1153" s="10">
        <v>0.40000001000000002</v>
      </c>
      <c r="M1153" s="10">
        <v>0</v>
      </c>
      <c r="N1153" s="10">
        <v>0.40000001000000002</v>
      </c>
      <c r="O1153" s="8" t="s">
        <v>31</v>
      </c>
      <c r="P1153" s="8" t="s">
        <v>31</v>
      </c>
      <c r="Q1153" s="8" t="s">
        <v>31</v>
      </c>
      <c r="R1153" s="8" t="s">
        <v>31</v>
      </c>
      <c r="S1153" s="8" t="s">
        <v>31</v>
      </c>
      <c r="T1153" s="8" t="s">
        <v>31</v>
      </c>
      <c r="U1153" s="8" t="s">
        <v>31</v>
      </c>
      <c r="V1153" s="8" t="s">
        <v>31</v>
      </c>
      <c r="W1153" s="8" t="str">
        <f>_xlfn.IFNA(VLOOKUP(A1153,[1]Sheet1!$A$1:$B$101,1,FALSE),"na")</f>
        <v>na</v>
      </c>
      <c r="X1153" s="8" t="s">
        <v>35</v>
      </c>
      <c r="Y1153" s="9">
        <v>755</v>
      </c>
      <c r="Z1153" s="9">
        <v>539.28570999999999</v>
      </c>
      <c r="AA1153" s="9">
        <v>755</v>
      </c>
      <c r="AB1153" s="9">
        <v>755</v>
      </c>
    </row>
    <row r="1154" spans="1:28" x14ac:dyDescent="0.25">
      <c r="A1154" s="8" t="s">
        <v>2401</v>
      </c>
      <c r="B1154" s="8" t="s">
        <v>2402</v>
      </c>
      <c r="C1154" s="8" t="s">
        <v>38</v>
      </c>
      <c r="D1154" s="10">
        <v>2.5999998999999998</v>
      </c>
      <c r="E1154" s="10">
        <v>1</v>
      </c>
      <c r="F1154" s="10">
        <v>1.6</v>
      </c>
      <c r="G1154" s="10">
        <v>1</v>
      </c>
      <c r="H1154" s="10">
        <v>1.6</v>
      </c>
      <c r="I1154" s="10">
        <v>0</v>
      </c>
      <c r="J1154" s="10">
        <v>0</v>
      </c>
      <c r="K1154" s="10">
        <v>0</v>
      </c>
      <c r="L1154" s="10">
        <v>0.40000001000000002</v>
      </c>
      <c r="M1154" s="10">
        <v>0</v>
      </c>
      <c r="N1154" s="10">
        <v>0.60000001999999997</v>
      </c>
      <c r="O1154" s="8" t="s">
        <v>57</v>
      </c>
      <c r="P1154" s="8" t="s">
        <v>31</v>
      </c>
      <c r="Q1154" s="8" t="s">
        <v>31</v>
      </c>
      <c r="R1154" s="8" t="s">
        <v>31</v>
      </c>
      <c r="S1154" s="8" t="s">
        <v>31</v>
      </c>
      <c r="T1154" s="8" t="s">
        <v>31</v>
      </c>
      <c r="U1154" s="8" t="s">
        <v>31</v>
      </c>
      <c r="V1154" s="8" t="s">
        <v>31</v>
      </c>
      <c r="W1154" s="8" t="str">
        <f>_xlfn.IFNA(VLOOKUP(A1154,[1]Sheet1!$A$1:$B$101,1,FALSE),"na")</f>
        <v>na</v>
      </c>
      <c r="X1154" s="8" t="s">
        <v>35</v>
      </c>
      <c r="Y1154" s="9">
        <v>528</v>
      </c>
      <c r="Z1154" s="9">
        <v>203.07693</v>
      </c>
      <c r="AA1154" s="9">
        <v>528</v>
      </c>
      <c r="AB1154" s="9">
        <v>330</v>
      </c>
    </row>
    <row r="1155" spans="1:28" x14ac:dyDescent="0.25">
      <c r="A1155" s="8" t="s">
        <v>2403</v>
      </c>
      <c r="B1155" s="8" t="s">
        <v>2404</v>
      </c>
      <c r="C1155" s="8" t="s">
        <v>30</v>
      </c>
      <c r="D1155" s="10">
        <v>2.8</v>
      </c>
      <c r="E1155" s="10">
        <v>2</v>
      </c>
      <c r="F1155" s="10">
        <v>0.80000000999999998</v>
      </c>
      <c r="G1155" s="10">
        <v>2</v>
      </c>
      <c r="H1155" s="10">
        <v>0.80000000999999998</v>
      </c>
      <c r="I1155" s="10">
        <v>0</v>
      </c>
      <c r="J1155" s="10">
        <v>0</v>
      </c>
      <c r="K1155" s="10">
        <v>0</v>
      </c>
      <c r="L1155" s="10">
        <v>0.80000000999999998</v>
      </c>
      <c r="M1155" s="10">
        <v>0</v>
      </c>
      <c r="N1155" s="10">
        <v>0.80000000999999998</v>
      </c>
      <c r="O1155" s="8" t="s">
        <v>31</v>
      </c>
      <c r="P1155" s="8" t="s">
        <v>31</v>
      </c>
      <c r="Q1155" s="8" t="s">
        <v>31</v>
      </c>
      <c r="R1155" s="8" t="s">
        <v>31</v>
      </c>
      <c r="S1155" s="8" t="s">
        <v>31</v>
      </c>
      <c r="T1155" s="8" t="s">
        <v>31</v>
      </c>
      <c r="U1155" s="8" t="s">
        <v>31</v>
      </c>
      <c r="V1155" s="8" t="s">
        <v>31</v>
      </c>
      <c r="W1155" s="8" t="str">
        <f>_xlfn.IFNA(VLOOKUP(A1155,[1]Sheet1!$A$1:$B$101,1,FALSE),"na")</f>
        <v>na</v>
      </c>
      <c r="X1155" s="8" t="s">
        <v>35</v>
      </c>
      <c r="Y1155" s="9">
        <v>612</v>
      </c>
      <c r="Z1155" s="9">
        <v>218.57142999999999</v>
      </c>
      <c r="AA1155" s="9">
        <v>306</v>
      </c>
      <c r="AB1155" s="9">
        <v>612</v>
      </c>
    </row>
    <row r="1156" spans="1:28" x14ac:dyDescent="0.25">
      <c r="A1156" s="8" t="s">
        <v>2405</v>
      </c>
      <c r="B1156" s="8" t="s">
        <v>2406</v>
      </c>
      <c r="C1156" s="8" t="s">
        <v>30</v>
      </c>
      <c r="D1156" s="10">
        <v>2.2000000000000002</v>
      </c>
      <c r="E1156" s="10">
        <v>1</v>
      </c>
      <c r="F1156" s="10">
        <v>1.2</v>
      </c>
      <c r="G1156" s="10">
        <v>1</v>
      </c>
      <c r="H1156" s="10">
        <v>1.2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0.2</v>
      </c>
      <c r="O1156" s="8" t="s">
        <v>57</v>
      </c>
      <c r="P1156" s="8" t="s">
        <v>31</v>
      </c>
      <c r="Q1156" s="8" t="s">
        <v>31</v>
      </c>
      <c r="R1156" s="8" t="s">
        <v>31</v>
      </c>
      <c r="S1156" s="8" t="s">
        <v>31</v>
      </c>
      <c r="T1156" s="8" t="s">
        <v>31</v>
      </c>
      <c r="U1156" s="8" t="s">
        <v>31</v>
      </c>
      <c r="V1156" s="8" t="s">
        <v>31</v>
      </c>
      <c r="W1156" s="8" t="str">
        <f>_xlfn.IFNA(VLOOKUP(A1156,[1]Sheet1!$A$1:$B$101,1,FALSE),"na")</f>
        <v>na</v>
      </c>
      <c r="X1156" s="8" t="s">
        <v>35</v>
      </c>
      <c r="Y1156" s="9">
        <v>409</v>
      </c>
      <c r="Z1156" s="9">
        <v>185.90908999999999</v>
      </c>
      <c r="AA1156" s="9">
        <v>409</v>
      </c>
      <c r="AB1156" s="9">
        <v>340.83330999999998</v>
      </c>
    </row>
    <row r="1157" spans="1:28" x14ac:dyDescent="0.25">
      <c r="A1157" s="8" t="s">
        <v>2407</v>
      </c>
      <c r="B1157" s="8" t="s">
        <v>2408</v>
      </c>
      <c r="C1157" s="8" t="s">
        <v>30</v>
      </c>
      <c r="D1157" s="10">
        <v>2.4000001000000002</v>
      </c>
      <c r="E1157" s="10">
        <v>1</v>
      </c>
      <c r="F1157" s="10">
        <v>1.4</v>
      </c>
      <c r="G1157" s="10">
        <v>1</v>
      </c>
      <c r="H1157" s="10">
        <v>1.4</v>
      </c>
      <c r="I1157" s="10">
        <v>0</v>
      </c>
      <c r="J1157" s="10">
        <v>0</v>
      </c>
      <c r="K1157" s="10">
        <v>0</v>
      </c>
      <c r="L1157" s="10">
        <v>0.40000001000000002</v>
      </c>
      <c r="M1157" s="10">
        <v>0</v>
      </c>
      <c r="N1157" s="10">
        <v>0.40000001000000002</v>
      </c>
      <c r="O1157" s="8" t="s">
        <v>57</v>
      </c>
      <c r="P1157" s="8" t="s">
        <v>31</v>
      </c>
      <c r="Q1157" s="8" t="s">
        <v>31</v>
      </c>
      <c r="R1157" s="8" t="s">
        <v>31</v>
      </c>
      <c r="S1157" s="8" t="s">
        <v>31</v>
      </c>
      <c r="T1157" s="8" t="s">
        <v>31</v>
      </c>
      <c r="U1157" s="8" t="s">
        <v>31</v>
      </c>
      <c r="V1157" s="8" t="s">
        <v>31</v>
      </c>
      <c r="W1157" s="8" t="str">
        <f>_xlfn.IFNA(VLOOKUP(A1157,[1]Sheet1!$A$1:$B$101,1,FALSE),"na")</f>
        <v>na</v>
      </c>
      <c r="X1157" s="8" t="s">
        <v>35</v>
      </c>
      <c r="Y1157" s="9">
        <v>462</v>
      </c>
      <c r="Z1157" s="9">
        <v>192.49997999999999</v>
      </c>
      <c r="AA1157" s="9">
        <v>462</v>
      </c>
      <c r="AB1157" s="9">
        <v>330</v>
      </c>
    </row>
    <row r="1158" spans="1:28" x14ac:dyDescent="0.25">
      <c r="A1158" s="8" t="s">
        <v>2409</v>
      </c>
      <c r="B1158" s="8" t="s">
        <v>2410</v>
      </c>
      <c r="C1158" s="8" t="s">
        <v>67</v>
      </c>
      <c r="D1158" s="10">
        <v>5.1999997999999996</v>
      </c>
      <c r="E1158" s="10">
        <v>5</v>
      </c>
      <c r="F1158" s="10">
        <v>0.2</v>
      </c>
      <c r="G1158" s="10">
        <v>5</v>
      </c>
      <c r="H1158" s="10">
        <v>0.2</v>
      </c>
      <c r="I1158" s="10">
        <v>0</v>
      </c>
      <c r="J1158" s="10">
        <v>0</v>
      </c>
      <c r="K1158" s="10">
        <v>1</v>
      </c>
      <c r="L1158" s="10">
        <v>0</v>
      </c>
      <c r="M1158" s="10">
        <v>0</v>
      </c>
      <c r="N1158" s="10">
        <v>0.2</v>
      </c>
      <c r="O1158" s="8" t="s">
        <v>31</v>
      </c>
      <c r="P1158" s="8" t="s">
        <v>31</v>
      </c>
      <c r="Q1158" s="8" t="s">
        <v>31</v>
      </c>
      <c r="R1158" s="8" t="s">
        <v>31</v>
      </c>
      <c r="S1158" s="8" t="s">
        <v>31</v>
      </c>
      <c r="T1158" s="8" t="s">
        <v>31</v>
      </c>
      <c r="U1158" s="8" t="s">
        <v>31</v>
      </c>
      <c r="V1158" s="8" t="s">
        <v>31</v>
      </c>
      <c r="W1158" s="8" t="str">
        <f>_xlfn.IFNA(VLOOKUP(A1158,[1]Sheet1!$A$1:$B$101,1,FALSE),"na")</f>
        <v>na</v>
      </c>
      <c r="X1158" s="8" t="s">
        <v>35</v>
      </c>
      <c r="Y1158" s="9">
        <v>1520</v>
      </c>
      <c r="Z1158" s="9">
        <v>292.30770999999999</v>
      </c>
      <c r="AA1158" s="9">
        <v>304</v>
      </c>
      <c r="AB1158" s="9">
        <v>1520</v>
      </c>
    </row>
    <row r="1159" spans="1:28" x14ac:dyDescent="0.25">
      <c r="A1159" s="8" t="s">
        <v>2411</v>
      </c>
      <c r="B1159" s="8" t="s">
        <v>2412</v>
      </c>
      <c r="C1159" s="8" t="s">
        <v>67</v>
      </c>
      <c r="D1159" s="10">
        <v>3.2</v>
      </c>
      <c r="E1159" s="10">
        <v>3</v>
      </c>
      <c r="F1159" s="10">
        <v>0.2</v>
      </c>
      <c r="G1159" s="10">
        <v>3</v>
      </c>
      <c r="H1159" s="10">
        <v>0.2</v>
      </c>
      <c r="I1159" s="10">
        <v>0</v>
      </c>
      <c r="J1159" s="10">
        <v>0</v>
      </c>
      <c r="K1159" s="10">
        <v>1</v>
      </c>
      <c r="L1159" s="10">
        <v>0.2</v>
      </c>
      <c r="M1159" s="10">
        <v>0</v>
      </c>
      <c r="N1159" s="10">
        <v>0.2</v>
      </c>
      <c r="O1159" s="8" t="s">
        <v>31</v>
      </c>
      <c r="P1159" s="8" t="s">
        <v>31</v>
      </c>
      <c r="Q1159" s="8" t="s">
        <v>31</v>
      </c>
      <c r="R1159" s="8" t="s">
        <v>31</v>
      </c>
      <c r="S1159" s="8" t="s">
        <v>31</v>
      </c>
      <c r="T1159" s="8" t="s">
        <v>31</v>
      </c>
      <c r="U1159" s="8" t="s">
        <v>31</v>
      </c>
      <c r="V1159" s="8" t="s">
        <v>31</v>
      </c>
      <c r="W1159" s="8" t="str">
        <f>_xlfn.IFNA(VLOOKUP(A1159,[1]Sheet1!$A$1:$B$101,1,FALSE),"na")</f>
        <v>na</v>
      </c>
      <c r="X1159" s="8" t="s">
        <v>2413</v>
      </c>
      <c r="Y1159" s="9">
        <v>607</v>
      </c>
      <c r="Z1159" s="9">
        <v>189.6875</v>
      </c>
      <c r="AA1159" s="9">
        <v>202.33332999999999</v>
      </c>
      <c r="AB1159" s="9">
        <v>607</v>
      </c>
    </row>
    <row r="1160" spans="1:28" x14ac:dyDescent="0.25">
      <c r="A1160" s="8" t="s">
        <v>2414</v>
      </c>
      <c r="B1160" s="8" t="s">
        <v>2415</v>
      </c>
      <c r="C1160" s="8" t="s">
        <v>30</v>
      </c>
      <c r="D1160" s="10">
        <v>1.4</v>
      </c>
      <c r="E1160" s="10">
        <v>1</v>
      </c>
      <c r="F1160" s="10">
        <v>0.40000001000000002</v>
      </c>
      <c r="G1160" s="10">
        <v>1</v>
      </c>
      <c r="H1160" s="10">
        <v>0.40000001000000002</v>
      </c>
      <c r="I1160" s="10">
        <v>0</v>
      </c>
      <c r="J1160" s="10">
        <v>0</v>
      </c>
      <c r="K1160" s="10">
        <v>0</v>
      </c>
      <c r="L1160" s="10">
        <v>0.40000001000000002</v>
      </c>
      <c r="M1160" s="10">
        <v>0</v>
      </c>
      <c r="N1160" s="10">
        <v>0.40000001000000002</v>
      </c>
      <c r="O1160" s="8" t="s">
        <v>31</v>
      </c>
      <c r="P1160" s="8" t="s">
        <v>31</v>
      </c>
      <c r="Q1160" s="8" t="s">
        <v>31</v>
      </c>
      <c r="R1160" s="8" t="s">
        <v>31</v>
      </c>
      <c r="S1160" s="8" t="s">
        <v>31</v>
      </c>
      <c r="T1160" s="8" t="s">
        <v>31</v>
      </c>
      <c r="U1160" s="8" t="s">
        <v>31</v>
      </c>
      <c r="V1160" s="8" t="s">
        <v>31</v>
      </c>
      <c r="W1160" s="8" t="str">
        <f>_xlfn.IFNA(VLOOKUP(A1160,[1]Sheet1!$A$1:$B$101,1,FALSE),"na")</f>
        <v>na</v>
      </c>
      <c r="X1160" s="8" t="s">
        <v>35</v>
      </c>
      <c r="Y1160" s="9">
        <v>559</v>
      </c>
      <c r="Z1160" s="9">
        <v>399.28573999999998</v>
      </c>
      <c r="AA1160" s="9">
        <v>559</v>
      </c>
      <c r="AB1160" s="9">
        <v>559</v>
      </c>
    </row>
    <row r="1161" spans="1:28" x14ac:dyDescent="0.25">
      <c r="A1161" s="8" t="s">
        <v>2416</v>
      </c>
      <c r="B1161" s="8" t="s">
        <v>2417</v>
      </c>
      <c r="C1161" s="8" t="s">
        <v>67</v>
      </c>
      <c r="D1161" s="10">
        <v>4</v>
      </c>
      <c r="E1161" s="10">
        <v>2.8</v>
      </c>
      <c r="F1161" s="10">
        <v>1.2</v>
      </c>
      <c r="G1161" s="10">
        <v>2</v>
      </c>
      <c r="H1161" s="10">
        <v>1.2</v>
      </c>
      <c r="I1161" s="10">
        <v>0.80000000999999998</v>
      </c>
      <c r="J1161" s="10">
        <v>0</v>
      </c>
      <c r="K1161" s="10">
        <v>1</v>
      </c>
      <c r="L1161" s="10">
        <v>0.2</v>
      </c>
      <c r="M1161" s="10">
        <v>0</v>
      </c>
      <c r="N1161" s="10">
        <v>0.2</v>
      </c>
      <c r="O1161" s="8" t="s">
        <v>57</v>
      </c>
      <c r="P1161" s="8" t="s">
        <v>31</v>
      </c>
      <c r="Q1161" s="8" t="s">
        <v>31</v>
      </c>
      <c r="R1161" s="8" t="s">
        <v>31</v>
      </c>
      <c r="S1161" s="8" t="s">
        <v>31</v>
      </c>
      <c r="T1161" s="8" t="s">
        <v>31</v>
      </c>
      <c r="U1161" s="8" t="s">
        <v>31</v>
      </c>
      <c r="V1161" s="8" t="s">
        <v>31</v>
      </c>
      <c r="W1161" s="8" t="str">
        <f>_xlfn.IFNA(VLOOKUP(A1161,[1]Sheet1!$A$1:$B$101,1,FALSE),"na")</f>
        <v>na</v>
      </c>
      <c r="X1161" s="8" t="s">
        <v>35</v>
      </c>
      <c r="Y1161" s="9">
        <v>985</v>
      </c>
      <c r="Z1161" s="9">
        <v>246.25</v>
      </c>
      <c r="AA1161" s="9">
        <v>351.78570999999999</v>
      </c>
      <c r="AB1161" s="9">
        <v>820.83330999999998</v>
      </c>
    </row>
    <row r="1162" spans="1:28" x14ac:dyDescent="0.25">
      <c r="A1162" s="8" t="s">
        <v>2418</v>
      </c>
      <c r="B1162" s="8" t="s">
        <v>2419</v>
      </c>
      <c r="C1162" s="8" t="s">
        <v>38</v>
      </c>
      <c r="D1162" s="10">
        <v>2.4000001000000002</v>
      </c>
      <c r="E1162" s="10">
        <v>1</v>
      </c>
      <c r="F1162" s="10">
        <v>1.4</v>
      </c>
      <c r="G1162" s="10">
        <v>1</v>
      </c>
      <c r="H1162" s="10">
        <v>1.4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0.40000001000000002</v>
      </c>
      <c r="O1162" s="8" t="s">
        <v>57</v>
      </c>
      <c r="P1162" s="8" t="s">
        <v>31</v>
      </c>
      <c r="Q1162" s="8" t="s">
        <v>31</v>
      </c>
      <c r="R1162" s="8" t="s">
        <v>31</v>
      </c>
      <c r="S1162" s="8" t="s">
        <v>31</v>
      </c>
      <c r="T1162" s="8" t="s">
        <v>31</v>
      </c>
      <c r="U1162" s="8" t="s">
        <v>31</v>
      </c>
      <c r="V1162" s="8" t="s">
        <v>31</v>
      </c>
      <c r="W1162" s="8" t="str">
        <f>_xlfn.IFNA(VLOOKUP(A1162,[1]Sheet1!$A$1:$B$101,1,FALSE),"na")</f>
        <v>na</v>
      </c>
      <c r="X1162" s="8" t="s">
        <v>35</v>
      </c>
      <c r="Y1162" s="9">
        <v>492</v>
      </c>
      <c r="Z1162" s="9">
        <v>204.99997999999999</v>
      </c>
      <c r="AA1162" s="9">
        <v>492</v>
      </c>
      <c r="AB1162" s="9">
        <v>351.42858999999999</v>
      </c>
    </row>
    <row r="1163" spans="1:28" x14ac:dyDescent="0.25">
      <c r="A1163" s="8" t="s">
        <v>2420</v>
      </c>
      <c r="B1163" s="8" t="s">
        <v>2421</v>
      </c>
      <c r="C1163" s="8" t="s">
        <v>30</v>
      </c>
      <c r="D1163" s="10">
        <v>1.4</v>
      </c>
      <c r="E1163" s="10">
        <v>1</v>
      </c>
      <c r="F1163" s="10">
        <v>0.40000001000000002</v>
      </c>
      <c r="G1163" s="10">
        <v>1</v>
      </c>
      <c r="H1163" s="10">
        <v>0.40000001000000002</v>
      </c>
      <c r="I1163" s="10">
        <v>0</v>
      </c>
      <c r="J1163" s="10">
        <v>0</v>
      </c>
      <c r="K1163" s="10">
        <v>0</v>
      </c>
      <c r="L1163" s="10">
        <v>0</v>
      </c>
      <c r="M1163" s="10">
        <v>0</v>
      </c>
      <c r="N1163" s="10">
        <v>0.40000001000000002</v>
      </c>
      <c r="O1163" s="8" t="s">
        <v>31</v>
      </c>
      <c r="P1163" s="8" t="s">
        <v>31</v>
      </c>
      <c r="Q1163" s="8" t="s">
        <v>31</v>
      </c>
      <c r="R1163" s="8" t="s">
        <v>31</v>
      </c>
      <c r="S1163" s="8" t="s">
        <v>31</v>
      </c>
      <c r="T1163" s="8" t="s">
        <v>31</v>
      </c>
      <c r="U1163" s="8" t="s">
        <v>31</v>
      </c>
      <c r="V1163" s="8" t="s">
        <v>31</v>
      </c>
      <c r="W1163" s="8" t="str">
        <f>_xlfn.IFNA(VLOOKUP(A1163,[1]Sheet1!$A$1:$B$101,1,FALSE),"na")</f>
        <v>na</v>
      </c>
      <c r="X1163" s="8" t="s">
        <v>35</v>
      </c>
      <c r="Y1163" s="9">
        <v>308</v>
      </c>
      <c r="Z1163" s="9">
        <v>220</v>
      </c>
      <c r="AA1163" s="9">
        <v>308</v>
      </c>
      <c r="AB1163" s="9">
        <v>308</v>
      </c>
    </row>
    <row r="1164" spans="1:28" x14ac:dyDescent="0.25">
      <c r="A1164" s="8" t="s">
        <v>2422</v>
      </c>
      <c r="B1164" s="8" t="s">
        <v>2423</v>
      </c>
      <c r="C1164" s="8" t="s">
        <v>30</v>
      </c>
      <c r="D1164" s="10">
        <v>1.3</v>
      </c>
      <c r="E1164" s="10">
        <v>1</v>
      </c>
      <c r="F1164" s="10">
        <v>0.30000000999999998</v>
      </c>
      <c r="G1164" s="10">
        <v>1</v>
      </c>
      <c r="H1164" s="10">
        <v>0.30000000999999998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0.30000000999999998</v>
      </c>
      <c r="O1164" s="8" t="s">
        <v>31</v>
      </c>
      <c r="P1164" s="8" t="s">
        <v>31</v>
      </c>
      <c r="Q1164" s="8" t="s">
        <v>31</v>
      </c>
      <c r="R1164" s="8" t="s">
        <v>31</v>
      </c>
      <c r="S1164" s="8" t="s">
        <v>31</v>
      </c>
      <c r="T1164" s="8" t="s">
        <v>31</v>
      </c>
      <c r="U1164" s="8" t="s">
        <v>31</v>
      </c>
      <c r="V1164" s="8" t="s">
        <v>31</v>
      </c>
      <c r="W1164" s="8" t="str">
        <f>_xlfn.IFNA(VLOOKUP(A1164,[1]Sheet1!$A$1:$B$101,1,FALSE),"na")</f>
        <v>na</v>
      </c>
      <c r="X1164" s="8" t="s">
        <v>35</v>
      </c>
      <c r="Y1164" s="9">
        <v>440</v>
      </c>
      <c r="Z1164" s="9">
        <v>338.46154999999999</v>
      </c>
      <c r="AA1164" s="9">
        <v>440</v>
      </c>
      <c r="AB1164" s="9">
        <v>440</v>
      </c>
    </row>
    <row r="1165" spans="1:28" x14ac:dyDescent="0.25">
      <c r="A1165" s="8" t="s">
        <v>2424</v>
      </c>
      <c r="B1165" s="8" t="s">
        <v>2425</v>
      </c>
      <c r="C1165" s="8" t="s">
        <v>30</v>
      </c>
      <c r="D1165" s="10">
        <v>2.4000001000000002</v>
      </c>
      <c r="E1165" s="10">
        <v>1</v>
      </c>
      <c r="F1165" s="10">
        <v>1.4</v>
      </c>
      <c r="G1165" s="10">
        <v>1</v>
      </c>
      <c r="H1165" s="10">
        <v>1.4</v>
      </c>
      <c r="I1165" s="10">
        <v>0</v>
      </c>
      <c r="J1165" s="10">
        <v>0</v>
      </c>
      <c r="K1165" s="10">
        <v>0</v>
      </c>
      <c r="L1165" s="10">
        <v>0.40000001000000002</v>
      </c>
      <c r="M1165" s="10">
        <v>0</v>
      </c>
      <c r="N1165" s="10">
        <v>0.40000001000000002</v>
      </c>
      <c r="O1165" s="8" t="s">
        <v>57</v>
      </c>
      <c r="P1165" s="8" t="s">
        <v>31</v>
      </c>
      <c r="Q1165" s="8" t="s">
        <v>31</v>
      </c>
      <c r="R1165" s="8" t="s">
        <v>31</v>
      </c>
      <c r="S1165" s="8" t="s">
        <v>31</v>
      </c>
      <c r="T1165" s="8" t="s">
        <v>31</v>
      </c>
      <c r="U1165" s="8" t="s">
        <v>31</v>
      </c>
      <c r="V1165" s="8" t="s">
        <v>31</v>
      </c>
      <c r="W1165" s="8" t="str">
        <f>_xlfn.IFNA(VLOOKUP(A1165,[1]Sheet1!$A$1:$B$101,1,FALSE),"na")</f>
        <v>na</v>
      </c>
      <c r="X1165" s="8" t="s">
        <v>35</v>
      </c>
      <c r="Y1165" s="9">
        <v>340</v>
      </c>
      <c r="Z1165" s="9">
        <v>141.66666000000001</v>
      </c>
      <c r="AA1165" s="9">
        <v>340</v>
      </c>
      <c r="AB1165" s="9">
        <v>242.85714999999999</v>
      </c>
    </row>
    <row r="1166" spans="1:28" x14ac:dyDescent="0.25">
      <c r="A1166" s="8" t="s">
        <v>2426</v>
      </c>
      <c r="B1166" s="8" t="s">
        <v>2427</v>
      </c>
      <c r="C1166" s="8" t="s">
        <v>38</v>
      </c>
      <c r="D1166" s="10">
        <v>3.2</v>
      </c>
      <c r="E1166" s="10">
        <v>1</v>
      </c>
      <c r="F1166" s="10">
        <v>2.2000000000000002</v>
      </c>
      <c r="G1166" s="10">
        <v>1</v>
      </c>
      <c r="H1166" s="10">
        <v>2.2000000000000002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0.2</v>
      </c>
      <c r="O1166" s="8" t="s">
        <v>31</v>
      </c>
      <c r="P1166" s="8" t="s">
        <v>31</v>
      </c>
      <c r="Q1166" s="8" t="s">
        <v>31</v>
      </c>
      <c r="R1166" s="8" t="s">
        <v>31</v>
      </c>
      <c r="S1166" s="8" t="s">
        <v>31</v>
      </c>
      <c r="T1166" s="8" t="s">
        <v>31</v>
      </c>
      <c r="U1166" s="8" t="s">
        <v>31</v>
      </c>
      <c r="V1166" s="8" t="s">
        <v>31</v>
      </c>
      <c r="W1166" s="8" t="str">
        <f>_xlfn.IFNA(VLOOKUP(A1166,[1]Sheet1!$A$1:$B$101,1,FALSE),"na")</f>
        <v>na</v>
      </c>
      <c r="X1166" s="8" t="s">
        <v>35</v>
      </c>
      <c r="Y1166" s="9">
        <v>604</v>
      </c>
      <c r="Z1166" s="9">
        <v>188.75</v>
      </c>
      <c r="AA1166" s="9">
        <v>604</v>
      </c>
      <c r="AB1166" s="9">
        <v>274.54543999999999</v>
      </c>
    </row>
    <row r="1167" spans="1:28" x14ac:dyDescent="0.25">
      <c r="A1167" s="8" t="s">
        <v>2428</v>
      </c>
      <c r="B1167" s="8" t="s">
        <v>2429</v>
      </c>
      <c r="C1167" s="8" t="s">
        <v>67</v>
      </c>
      <c r="D1167" s="10">
        <v>4.0999999000000003</v>
      </c>
      <c r="E1167" s="10">
        <v>3</v>
      </c>
      <c r="F1167" s="10">
        <v>1.1000000000000001</v>
      </c>
      <c r="G1167" s="10">
        <v>3</v>
      </c>
      <c r="H1167" s="10">
        <v>1.1000000000000001</v>
      </c>
      <c r="I1167" s="10">
        <v>0</v>
      </c>
      <c r="J1167" s="10">
        <v>0</v>
      </c>
      <c r="K1167" s="10">
        <v>1</v>
      </c>
      <c r="L1167" s="10">
        <v>0.1</v>
      </c>
      <c r="M1167" s="10">
        <v>0</v>
      </c>
      <c r="N1167" s="10">
        <v>0.1</v>
      </c>
      <c r="O1167" s="8" t="s">
        <v>57</v>
      </c>
      <c r="P1167" s="8" t="s">
        <v>31</v>
      </c>
      <c r="Q1167" s="8" t="s">
        <v>31</v>
      </c>
      <c r="R1167" s="8" t="s">
        <v>31</v>
      </c>
      <c r="S1167" s="8" t="s">
        <v>31</v>
      </c>
      <c r="T1167" s="8" t="s">
        <v>31</v>
      </c>
      <c r="U1167" s="8" t="s">
        <v>31</v>
      </c>
      <c r="V1167" s="8" t="s">
        <v>31</v>
      </c>
      <c r="W1167" s="8" t="str">
        <f>_xlfn.IFNA(VLOOKUP(A1167,[1]Sheet1!$A$1:$B$101,1,FALSE),"na")</f>
        <v>na</v>
      </c>
      <c r="X1167" s="8" t="s">
        <v>35</v>
      </c>
      <c r="Y1167" s="9">
        <v>1313</v>
      </c>
      <c r="Z1167" s="9">
        <v>320.2439</v>
      </c>
      <c r="AA1167" s="9">
        <v>437.66665999999998</v>
      </c>
      <c r="AB1167" s="9">
        <v>1193.6364000000001</v>
      </c>
    </row>
    <row r="1168" spans="1:28" x14ac:dyDescent="0.25">
      <c r="A1168" s="8" t="s">
        <v>2430</v>
      </c>
      <c r="B1168" s="8" t="s">
        <v>2431</v>
      </c>
      <c r="C1168" s="8" t="s">
        <v>62</v>
      </c>
      <c r="D1168" s="10">
        <v>4.1333298999999997</v>
      </c>
      <c r="E1168" s="10">
        <v>3</v>
      </c>
      <c r="F1168" s="10">
        <v>1.1333299999999999</v>
      </c>
      <c r="G1168" s="10">
        <v>3</v>
      </c>
      <c r="H1168" s="10">
        <v>1.1333299999999999</v>
      </c>
      <c r="I1168" s="10">
        <v>0</v>
      </c>
      <c r="J1168" s="10">
        <v>0</v>
      </c>
      <c r="K1168" s="10">
        <v>1</v>
      </c>
      <c r="L1168" s="10">
        <v>0</v>
      </c>
      <c r="M1168" s="10">
        <v>0</v>
      </c>
      <c r="N1168" s="10">
        <v>0.13333</v>
      </c>
      <c r="O1168" s="8" t="s">
        <v>31</v>
      </c>
      <c r="P1168" s="8" t="s">
        <v>31</v>
      </c>
      <c r="Q1168" s="8" t="s">
        <v>31</v>
      </c>
      <c r="R1168" s="8" t="s">
        <v>31</v>
      </c>
      <c r="S1168" s="8" t="s">
        <v>31</v>
      </c>
      <c r="T1168" s="8" t="s">
        <v>31</v>
      </c>
      <c r="U1168" s="8" t="s">
        <v>31</v>
      </c>
      <c r="V1168" s="8" t="s">
        <v>31</v>
      </c>
      <c r="W1168" s="8" t="str">
        <f>_xlfn.IFNA(VLOOKUP(A1168,[1]Sheet1!$A$1:$B$101,1,FALSE),"na")</f>
        <v>na</v>
      </c>
      <c r="X1168" s="8" t="s">
        <v>35</v>
      </c>
      <c r="Y1168" s="9">
        <v>653</v>
      </c>
      <c r="Z1168" s="9">
        <v>157.98401000000001</v>
      </c>
      <c r="AA1168" s="9">
        <v>217.66667000000001</v>
      </c>
      <c r="AB1168" s="9">
        <v>576.17816000000005</v>
      </c>
    </row>
    <row r="1169" spans="1:28" x14ac:dyDescent="0.25">
      <c r="A1169" s="8" t="s">
        <v>2432</v>
      </c>
      <c r="B1169" s="8" t="s">
        <v>2433</v>
      </c>
      <c r="C1169" s="8" t="s">
        <v>62</v>
      </c>
      <c r="D1169" s="10">
        <v>3.1333300999999998</v>
      </c>
      <c r="E1169" s="10">
        <v>3</v>
      </c>
      <c r="F1169" s="10">
        <v>0.13333</v>
      </c>
      <c r="G1169" s="10">
        <v>3</v>
      </c>
      <c r="H1169" s="10">
        <v>0.13333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0.13333</v>
      </c>
      <c r="O1169" s="8" t="s">
        <v>31</v>
      </c>
      <c r="P1169" s="8" t="s">
        <v>31</v>
      </c>
      <c r="Q1169" s="8" t="s">
        <v>31</v>
      </c>
      <c r="R1169" s="8" t="s">
        <v>31</v>
      </c>
      <c r="S1169" s="8" t="s">
        <v>31</v>
      </c>
      <c r="T1169" s="8" t="s">
        <v>57</v>
      </c>
      <c r="U1169" s="8" t="s">
        <v>31</v>
      </c>
      <c r="V1169" s="8" t="s">
        <v>31</v>
      </c>
      <c r="W1169" s="8" t="str">
        <f>_xlfn.IFNA(VLOOKUP(A1169,[1]Sheet1!$A$1:$B$101,1,FALSE),"na")</f>
        <v>na</v>
      </c>
      <c r="X1169" s="8" t="s">
        <v>35</v>
      </c>
      <c r="Y1169" s="9">
        <v>447</v>
      </c>
      <c r="Z1169" s="9">
        <v>142.65970999999999</v>
      </c>
      <c r="AA1169" s="9">
        <v>149</v>
      </c>
      <c r="AB1169" s="9">
        <v>447</v>
      </c>
    </row>
    <row r="1170" spans="1:28" x14ac:dyDescent="0.25">
      <c r="A1170" s="8" t="s">
        <v>2434</v>
      </c>
      <c r="B1170" s="8" t="s">
        <v>2435</v>
      </c>
      <c r="C1170" s="8" t="s">
        <v>444</v>
      </c>
      <c r="D1170" s="10">
        <v>1.2</v>
      </c>
      <c r="E1170" s="10">
        <v>0</v>
      </c>
      <c r="F1170" s="10">
        <v>1.2</v>
      </c>
      <c r="G1170" s="10">
        <v>0</v>
      </c>
      <c r="H1170" s="10">
        <v>1.2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0.2</v>
      </c>
      <c r="O1170" s="8" t="s">
        <v>57</v>
      </c>
      <c r="P1170" s="8" t="s">
        <v>31</v>
      </c>
      <c r="Q1170" s="8" t="s">
        <v>31</v>
      </c>
      <c r="R1170" s="8" t="s">
        <v>31</v>
      </c>
      <c r="S1170" s="8" t="s">
        <v>31</v>
      </c>
      <c r="T1170" s="8" t="s">
        <v>31</v>
      </c>
      <c r="U1170" s="8" t="s">
        <v>31</v>
      </c>
      <c r="V1170" s="8" t="s">
        <v>31</v>
      </c>
      <c r="W1170" s="8" t="str">
        <f>_xlfn.IFNA(VLOOKUP(A1170,[1]Sheet1!$A$1:$B$101,1,FALSE),"na")</f>
        <v>na</v>
      </c>
      <c r="X1170" s="8" t="s">
        <v>35</v>
      </c>
      <c r="Y1170" s="9">
        <v>306</v>
      </c>
      <c r="Z1170" s="9">
        <v>254.99997999999999</v>
      </c>
      <c r="AA1170" s="9">
        <v>306</v>
      </c>
      <c r="AB1170" s="9">
        <v>254.99997999999999</v>
      </c>
    </row>
    <row r="1171" spans="1:28" x14ac:dyDescent="0.25">
      <c r="A1171" s="8" t="s">
        <v>2436</v>
      </c>
      <c r="B1171" s="8" t="s">
        <v>2437</v>
      </c>
      <c r="C1171" s="8" t="s">
        <v>444</v>
      </c>
      <c r="D1171" s="10">
        <v>2.2000000000000002</v>
      </c>
      <c r="E1171" s="10">
        <v>1</v>
      </c>
      <c r="F1171" s="10">
        <v>1.2</v>
      </c>
      <c r="G1171" s="10">
        <v>1</v>
      </c>
      <c r="H1171" s="10">
        <v>1.2</v>
      </c>
      <c r="I1171" s="10">
        <v>0</v>
      </c>
      <c r="J1171" s="10">
        <v>0</v>
      </c>
      <c r="K1171" s="10">
        <v>0</v>
      </c>
      <c r="L1171" s="10">
        <v>0.2</v>
      </c>
      <c r="M1171" s="10">
        <v>0</v>
      </c>
      <c r="N1171" s="10">
        <v>0.2</v>
      </c>
      <c r="O1171" s="8" t="s">
        <v>57</v>
      </c>
      <c r="P1171" s="8" t="s">
        <v>31</v>
      </c>
      <c r="Q1171" s="8" t="s">
        <v>31</v>
      </c>
      <c r="R1171" s="8" t="s">
        <v>31</v>
      </c>
      <c r="S1171" s="8" t="s">
        <v>31</v>
      </c>
      <c r="T1171" s="8" t="s">
        <v>31</v>
      </c>
      <c r="U1171" s="8" t="s">
        <v>31</v>
      </c>
      <c r="V1171" s="8" t="s">
        <v>31</v>
      </c>
      <c r="W1171" s="8" t="str">
        <f>_xlfn.IFNA(VLOOKUP(A1171,[1]Sheet1!$A$1:$B$101,1,FALSE),"na")</f>
        <v>na</v>
      </c>
      <c r="X1171" s="8" t="s">
        <v>35</v>
      </c>
      <c r="Y1171" s="9">
        <v>459</v>
      </c>
      <c r="Z1171" s="9">
        <v>208.63634999999999</v>
      </c>
      <c r="AA1171" s="9">
        <v>459</v>
      </c>
      <c r="AB1171" s="9">
        <v>382.5</v>
      </c>
    </row>
    <row r="1172" spans="1:28" x14ac:dyDescent="0.25">
      <c r="A1172" s="8" t="s">
        <v>2438</v>
      </c>
      <c r="B1172" s="8" t="s">
        <v>2439</v>
      </c>
      <c r="C1172" s="8" t="s">
        <v>67</v>
      </c>
      <c r="D1172" s="10">
        <v>2.0666698999999999</v>
      </c>
      <c r="E1172" s="10">
        <v>1</v>
      </c>
      <c r="F1172" s="10">
        <v>1.0666698999999999</v>
      </c>
      <c r="G1172" s="10">
        <v>1</v>
      </c>
      <c r="H1172" s="10">
        <v>1.0666698999999999</v>
      </c>
      <c r="I1172" s="10">
        <v>0</v>
      </c>
      <c r="J1172" s="10">
        <v>0</v>
      </c>
      <c r="K1172" s="10">
        <v>1</v>
      </c>
      <c r="L1172" s="10">
        <v>6.6670001000000007E-2</v>
      </c>
      <c r="M1172" s="10">
        <v>0</v>
      </c>
      <c r="N1172" s="10">
        <v>6.6670001000000007E-2</v>
      </c>
      <c r="O1172" s="8" t="s">
        <v>57</v>
      </c>
      <c r="P1172" s="8" t="s">
        <v>31</v>
      </c>
      <c r="Q1172" s="8" t="s">
        <v>31</v>
      </c>
      <c r="R1172" s="8" t="s">
        <v>31</v>
      </c>
      <c r="S1172" s="8" t="s">
        <v>31</v>
      </c>
      <c r="T1172" s="8" t="s">
        <v>31</v>
      </c>
      <c r="U1172" s="8" t="s">
        <v>31</v>
      </c>
      <c r="V1172" s="8" t="s">
        <v>31</v>
      </c>
      <c r="W1172" s="8" t="str">
        <f>_xlfn.IFNA(VLOOKUP(A1172,[1]Sheet1!$A$1:$B$101,1,FALSE),"na")</f>
        <v>na</v>
      </c>
      <c r="X1172" s="8" t="s">
        <v>35</v>
      </c>
      <c r="Y1172" s="9">
        <v>257</v>
      </c>
      <c r="Z1172" s="9">
        <v>124.35464</v>
      </c>
      <c r="AA1172" s="9">
        <v>257</v>
      </c>
      <c r="AB1172" s="9">
        <v>240.93677</v>
      </c>
    </row>
    <row r="1173" spans="1:28" x14ac:dyDescent="0.25">
      <c r="A1173" s="8" t="s">
        <v>2440</v>
      </c>
      <c r="B1173" s="8" t="s">
        <v>2441</v>
      </c>
      <c r="C1173" s="8" t="s">
        <v>80</v>
      </c>
      <c r="D1173" s="10">
        <v>5.0666698999999999</v>
      </c>
      <c r="E1173" s="10">
        <v>4</v>
      </c>
      <c r="F1173" s="10">
        <v>1.0666698999999999</v>
      </c>
      <c r="G1173" s="10">
        <v>4</v>
      </c>
      <c r="H1173" s="10">
        <v>1.0666698999999999</v>
      </c>
      <c r="I1173" s="10">
        <v>0</v>
      </c>
      <c r="J1173" s="10">
        <v>0</v>
      </c>
      <c r="K1173" s="10">
        <v>1</v>
      </c>
      <c r="L1173" s="10">
        <v>6.6670001000000007E-2</v>
      </c>
      <c r="M1173" s="10">
        <v>0</v>
      </c>
      <c r="N1173" s="10">
        <v>6.6670001000000007E-2</v>
      </c>
      <c r="O1173" s="8" t="s">
        <v>31</v>
      </c>
      <c r="P1173" s="8" t="s">
        <v>31</v>
      </c>
      <c r="Q1173" s="8" t="s">
        <v>31</v>
      </c>
      <c r="R1173" s="8" t="s">
        <v>31</v>
      </c>
      <c r="S1173" s="8" t="s">
        <v>31</v>
      </c>
      <c r="T1173" s="8" t="s">
        <v>31</v>
      </c>
      <c r="U1173" s="8" t="s">
        <v>31</v>
      </c>
      <c r="V1173" s="8" t="s">
        <v>31</v>
      </c>
      <c r="W1173" s="8" t="str">
        <f>_xlfn.IFNA(VLOOKUP(A1173,[1]Sheet1!$A$1:$B$101,1,FALSE),"na")</f>
        <v>na</v>
      </c>
      <c r="X1173" s="8" t="s">
        <v>35</v>
      </c>
      <c r="Y1173" s="9">
        <v>593</v>
      </c>
      <c r="Z1173" s="9">
        <v>117.0394</v>
      </c>
      <c r="AA1173" s="9">
        <v>148.25</v>
      </c>
      <c r="AB1173" s="9">
        <v>555.93579</v>
      </c>
    </row>
    <row r="1174" spans="1:28" x14ac:dyDescent="0.25">
      <c r="A1174" s="8" t="s">
        <v>2442</v>
      </c>
      <c r="B1174" s="8" t="s">
        <v>2443</v>
      </c>
      <c r="C1174" s="8" t="s">
        <v>62</v>
      </c>
      <c r="D1174" s="10">
        <v>2</v>
      </c>
      <c r="E1174" s="10">
        <v>1</v>
      </c>
      <c r="F1174" s="10">
        <v>1</v>
      </c>
      <c r="G1174" s="10">
        <v>1</v>
      </c>
      <c r="H1174" s="10">
        <v>1</v>
      </c>
      <c r="I1174" s="10">
        <v>0</v>
      </c>
      <c r="J1174" s="10">
        <v>0</v>
      </c>
      <c r="K1174" s="10">
        <v>1</v>
      </c>
      <c r="L1174" s="10">
        <v>0</v>
      </c>
      <c r="M1174" s="10">
        <v>0</v>
      </c>
      <c r="N1174" s="10">
        <v>0</v>
      </c>
      <c r="O1174" s="8" t="s">
        <v>31</v>
      </c>
      <c r="P1174" s="8" t="s">
        <v>31</v>
      </c>
      <c r="Q1174" s="8" t="s">
        <v>31</v>
      </c>
      <c r="R1174" s="8" t="s">
        <v>31</v>
      </c>
      <c r="S1174" s="8" t="s">
        <v>31</v>
      </c>
      <c r="T1174" s="8" t="s">
        <v>31</v>
      </c>
      <c r="U1174" s="8" t="s">
        <v>57</v>
      </c>
      <c r="V1174" s="8" t="s">
        <v>31</v>
      </c>
      <c r="W1174" s="8" t="str">
        <f>_xlfn.IFNA(VLOOKUP(A1174,[1]Sheet1!$A$1:$B$101,1,FALSE),"na")</f>
        <v>na</v>
      </c>
      <c r="X1174" s="8" t="s">
        <v>844</v>
      </c>
      <c r="Y1174" s="9">
        <v>410</v>
      </c>
      <c r="Z1174" s="9">
        <v>205</v>
      </c>
      <c r="AA1174" s="9">
        <v>410</v>
      </c>
      <c r="AB1174" s="9">
        <v>410</v>
      </c>
    </row>
    <row r="1175" spans="1:28" x14ac:dyDescent="0.25">
      <c r="A1175" s="8" t="s">
        <v>2444</v>
      </c>
      <c r="B1175" s="8" t="s">
        <v>2445</v>
      </c>
      <c r="C1175" s="8" t="s">
        <v>80</v>
      </c>
      <c r="D1175" s="10">
        <v>3.0999998999999998</v>
      </c>
      <c r="E1175" s="10">
        <v>2</v>
      </c>
      <c r="F1175" s="10">
        <v>1.1000000000000001</v>
      </c>
      <c r="G1175" s="10">
        <v>2</v>
      </c>
      <c r="H1175" s="10">
        <v>1.1000000000000001</v>
      </c>
      <c r="I1175" s="10">
        <v>0</v>
      </c>
      <c r="J1175" s="10">
        <v>0</v>
      </c>
      <c r="K1175" s="10">
        <v>0</v>
      </c>
      <c r="L1175" s="10">
        <v>0.1</v>
      </c>
      <c r="M1175" s="10">
        <v>0</v>
      </c>
      <c r="N1175" s="10">
        <v>0.1</v>
      </c>
      <c r="O1175" s="8" t="s">
        <v>31</v>
      </c>
      <c r="P1175" s="8" t="s">
        <v>31</v>
      </c>
      <c r="Q1175" s="8" t="s">
        <v>31</v>
      </c>
      <c r="R1175" s="8" t="s">
        <v>57</v>
      </c>
      <c r="S1175" s="8" t="s">
        <v>31</v>
      </c>
      <c r="T1175" s="8" t="s">
        <v>31</v>
      </c>
      <c r="U1175" s="8" t="s">
        <v>31</v>
      </c>
      <c r="V1175" s="8" t="s">
        <v>31</v>
      </c>
      <c r="W1175" s="8" t="str">
        <f>_xlfn.IFNA(VLOOKUP(A1175,[1]Sheet1!$A$1:$B$101,1,FALSE),"na")</f>
        <v>na</v>
      </c>
      <c r="X1175" s="8" t="s">
        <v>35</v>
      </c>
      <c r="Y1175" s="9">
        <v>703</v>
      </c>
      <c r="Z1175" s="9">
        <v>226.77420000000001</v>
      </c>
      <c r="AA1175" s="9">
        <v>351.5</v>
      </c>
      <c r="AB1175" s="9">
        <v>639.09087999999997</v>
      </c>
    </row>
    <row r="1176" spans="1:28" x14ac:dyDescent="0.25">
      <c r="A1176" s="8" t="s">
        <v>2446</v>
      </c>
      <c r="B1176" s="8" t="s">
        <v>2447</v>
      </c>
      <c r="C1176" s="8" t="s">
        <v>80</v>
      </c>
      <c r="D1176" s="10">
        <v>3.1333300999999998</v>
      </c>
      <c r="E1176" s="10">
        <v>2</v>
      </c>
      <c r="F1176" s="10">
        <v>1.1333299999999999</v>
      </c>
      <c r="G1176" s="10">
        <v>2</v>
      </c>
      <c r="H1176" s="10">
        <v>1.1333299999999999</v>
      </c>
      <c r="I1176" s="10">
        <v>0</v>
      </c>
      <c r="J1176" s="10">
        <v>0</v>
      </c>
      <c r="K1176" s="10">
        <v>1</v>
      </c>
      <c r="L1176" s="10">
        <v>0</v>
      </c>
      <c r="M1176" s="10">
        <v>0</v>
      </c>
      <c r="N1176" s="10">
        <v>0.13333</v>
      </c>
      <c r="O1176" s="8" t="s">
        <v>57</v>
      </c>
      <c r="P1176" s="8" t="s">
        <v>31</v>
      </c>
      <c r="Q1176" s="8" t="s">
        <v>31</v>
      </c>
      <c r="R1176" s="8" t="s">
        <v>31</v>
      </c>
      <c r="S1176" s="8" t="s">
        <v>31</v>
      </c>
      <c r="T1176" s="8" t="s">
        <v>31</v>
      </c>
      <c r="U1176" s="8" t="s">
        <v>31</v>
      </c>
      <c r="V1176" s="8" t="s">
        <v>31</v>
      </c>
      <c r="W1176" s="8" t="str">
        <f>_xlfn.IFNA(VLOOKUP(A1176,[1]Sheet1!$A$1:$B$101,1,FALSE),"na")</f>
        <v>na</v>
      </c>
      <c r="X1176" s="8" t="s">
        <v>35</v>
      </c>
      <c r="Y1176" s="9">
        <v>610</v>
      </c>
      <c r="Z1176" s="9">
        <v>194.68105</v>
      </c>
      <c r="AA1176" s="9">
        <v>305</v>
      </c>
      <c r="AB1176" s="9">
        <v>538.23688000000004</v>
      </c>
    </row>
    <row r="1177" spans="1:28" x14ac:dyDescent="0.25">
      <c r="A1177" s="8" t="s">
        <v>2448</v>
      </c>
      <c r="B1177" s="8" t="s">
        <v>2449</v>
      </c>
      <c r="C1177" s="8" t="s">
        <v>67</v>
      </c>
      <c r="D1177" s="10">
        <v>2.2000000000000002</v>
      </c>
      <c r="E1177" s="10">
        <v>1</v>
      </c>
      <c r="F1177" s="10">
        <v>1.2</v>
      </c>
      <c r="G1177" s="10">
        <v>1</v>
      </c>
      <c r="H1177" s="10">
        <v>1.2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0.2</v>
      </c>
      <c r="O1177" s="8" t="s">
        <v>57</v>
      </c>
      <c r="P1177" s="8" t="s">
        <v>31</v>
      </c>
      <c r="Q1177" s="8" t="s">
        <v>31</v>
      </c>
      <c r="R1177" s="8" t="s">
        <v>31</v>
      </c>
      <c r="S1177" s="8" t="s">
        <v>31</v>
      </c>
      <c r="T1177" s="8" t="s">
        <v>31</v>
      </c>
      <c r="U1177" s="8" t="s">
        <v>31</v>
      </c>
      <c r="V1177" s="8" t="s">
        <v>31</v>
      </c>
      <c r="W1177" s="8" t="str">
        <f>_xlfn.IFNA(VLOOKUP(A1177,[1]Sheet1!$A$1:$B$101,1,FALSE),"na")</f>
        <v>na</v>
      </c>
      <c r="X1177" s="8" t="s">
        <v>35</v>
      </c>
      <c r="Y1177" s="9">
        <v>440</v>
      </c>
      <c r="Z1177" s="9">
        <v>200</v>
      </c>
      <c r="AA1177" s="9">
        <v>440</v>
      </c>
      <c r="AB1177" s="9">
        <v>366.66665999999998</v>
      </c>
    </row>
    <row r="1178" spans="1:28" x14ac:dyDescent="0.25">
      <c r="A1178" s="8" t="s">
        <v>2450</v>
      </c>
      <c r="B1178" s="8" t="s">
        <v>2451</v>
      </c>
      <c r="C1178" s="8" t="s">
        <v>67</v>
      </c>
      <c r="D1178" s="10">
        <v>3</v>
      </c>
      <c r="E1178" s="10">
        <v>2</v>
      </c>
      <c r="F1178" s="10">
        <v>1</v>
      </c>
      <c r="G1178" s="10">
        <v>2</v>
      </c>
      <c r="H1178" s="10">
        <v>1</v>
      </c>
      <c r="I1178" s="10">
        <v>0</v>
      </c>
      <c r="J1178" s="10">
        <v>0</v>
      </c>
      <c r="K1178" s="10">
        <v>0</v>
      </c>
      <c r="L1178" s="10">
        <v>0</v>
      </c>
      <c r="M1178" s="10">
        <v>0</v>
      </c>
      <c r="N1178" s="10">
        <v>0</v>
      </c>
      <c r="O1178" s="8" t="s">
        <v>57</v>
      </c>
      <c r="P1178" s="8" t="s">
        <v>31</v>
      </c>
      <c r="Q1178" s="8" t="s">
        <v>31</v>
      </c>
      <c r="R1178" s="8" t="s">
        <v>31</v>
      </c>
      <c r="S1178" s="8" t="s">
        <v>31</v>
      </c>
      <c r="T1178" s="8" t="s">
        <v>31</v>
      </c>
      <c r="U1178" s="8" t="s">
        <v>31</v>
      </c>
      <c r="V1178" s="8" t="s">
        <v>31</v>
      </c>
      <c r="W1178" s="8" t="str">
        <f>_xlfn.IFNA(VLOOKUP(A1178,[1]Sheet1!$A$1:$B$101,1,FALSE),"na")</f>
        <v>na</v>
      </c>
      <c r="X1178" s="8" t="s">
        <v>35</v>
      </c>
      <c r="Y1178" s="9">
        <v>435</v>
      </c>
      <c r="Z1178" s="9">
        <v>145</v>
      </c>
      <c r="AA1178" s="9">
        <v>217.5</v>
      </c>
      <c r="AB1178" s="9">
        <v>435</v>
      </c>
    </row>
    <row r="1179" spans="1:28" x14ac:dyDescent="0.25">
      <c r="A1179" s="8" t="s">
        <v>2452</v>
      </c>
      <c r="B1179" s="8" t="s">
        <v>2453</v>
      </c>
      <c r="C1179" s="8" t="s">
        <v>62</v>
      </c>
      <c r="D1179" s="10">
        <v>17</v>
      </c>
      <c r="E1179" s="10">
        <v>15</v>
      </c>
      <c r="F1179" s="10">
        <v>2</v>
      </c>
      <c r="G1179" s="10">
        <v>15</v>
      </c>
      <c r="H1179" s="10">
        <v>2</v>
      </c>
      <c r="I1179" s="10">
        <v>0</v>
      </c>
      <c r="J1179" s="10">
        <v>0</v>
      </c>
      <c r="K1179" s="10">
        <v>5</v>
      </c>
      <c r="L1179" s="10">
        <v>1</v>
      </c>
      <c r="M1179" s="10">
        <v>0</v>
      </c>
      <c r="N1179" s="10">
        <v>1</v>
      </c>
      <c r="O1179" s="8" t="s">
        <v>31</v>
      </c>
      <c r="P1179" s="8" t="s">
        <v>31</v>
      </c>
      <c r="Q1179" s="8" t="s">
        <v>31</v>
      </c>
      <c r="R1179" s="8" t="s">
        <v>31</v>
      </c>
      <c r="S1179" s="8" t="s">
        <v>31</v>
      </c>
      <c r="T1179" s="8" t="s">
        <v>57</v>
      </c>
      <c r="U1179" s="8" t="s">
        <v>31</v>
      </c>
      <c r="V1179" s="8" t="s">
        <v>31</v>
      </c>
      <c r="W1179" s="8" t="str">
        <f>_xlfn.IFNA(VLOOKUP(A1179,[1]Sheet1!$A$1:$B$101,1,FALSE),"na")</f>
        <v>na</v>
      </c>
      <c r="X1179" s="8" t="s">
        <v>35</v>
      </c>
      <c r="Y1179" s="9">
        <v>2782</v>
      </c>
      <c r="Z1179" s="9">
        <v>163.64706000000001</v>
      </c>
      <c r="AA1179" s="9">
        <v>185.46665999999999</v>
      </c>
      <c r="AB1179" s="9">
        <v>1391</v>
      </c>
    </row>
    <row r="1180" spans="1:28" x14ac:dyDescent="0.25">
      <c r="A1180" s="8" t="s">
        <v>2454</v>
      </c>
      <c r="B1180" s="8" t="s">
        <v>2455</v>
      </c>
      <c r="C1180" s="8" t="s">
        <v>62</v>
      </c>
      <c r="D1180" s="10">
        <v>11.133330000000001</v>
      </c>
      <c r="E1180" s="10">
        <v>10</v>
      </c>
      <c r="F1180" s="10">
        <v>1.1333299999999999</v>
      </c>
      <c r="G1180" s="10">
        <v>10</v>
      </c>
      <c r="H1180" s="10">
        <v>1.1333299999999999</v>
      </c>
      <c r="I1180" s="10">
        <v>0</v>
      </c>
      <c r="J1180" s="10">
        <v>0</v>
      </c>
      <c r="K1180" s="10">
        <v>1</v>
      </c>
      <c r="L1180" s="10">
        <v>0</v>
      </c>
      <c r="M1180" s="10">
        <v>0</v>
      </c>
      <c r="N1180" s="10">
        <v>0.13333</v>
      </c>
      <c r="O1180" s="8" t="s">
        <v>31</v>
      </c>
      <c r="P1180" s="8" t="s">
        <v>31</v>
      </c>
      <c r="Q1180" s="8" t="s">
        <v>31</v>
      </c>
      <c r="R1180" s="8" t="s">
        <v>31</v>
      </c>
      <c r="S1180" s="8" t="s">
        <v>31</v>
      </c>
      <c r="T1180" s="8" t="s">
        <v>57</v>
      </c>
      <c r="U1180" s="8" t="s">
        <v>31</v>
      </c>
      <c r="V1180" s="8" t="s">
        <v>31</v>
      </c>
      <c r="W1180" s="8" t="str">
        <f>_xlfn.IFNA(VLOOKUP(A1180,[1]Sheet1!$A$1:$B$101,1,FALSE),"na")</f>
        <v>na</v>
      </c>
      <c r="X1180" s="8" t="s">
        <v>844</v>
      </c>
      <c r="Y1180" s="9">
        <v>1634</v>
      </c>
      <c r="Z1180" s="9">
        <v>146.76651000000001</v>
      </c>
      <c r="AA1180" s="9">
        <v>163.39999</v>
      </c>
      <c r="AB1180" s="9">
        <v>1441.7689</v>
      </c>
    </row>
    <row r="1181" spans="1:28" x14ac:dyDescent="0.25">
      <c r="A1181" s="8" t="s">
        <v>2456</v>
      </c>
      <c r="B1181" s="8" t="s">
        <v>2457</v>
      </c>
      <c r="C1181" s="8" t="s">
        <v>38</v>
      </c>
      <c r="D1181" s="10">
        <v>2.2000000000000002</v>
      </c>
      <c r="E1181" s="10">
        <v>1</v>
      </c>
      <c r="F1181" s="10">
        <v>1.2</v>
      </c>
      <c r="G1181" s="10">
        <v>1</v>
      </c>
      <c r="H1181" s="10">
        <v>1.2</v>
      </c>
      <c r="I1181" s="10">
        <v>0</v>
      </c>
      <c r="J1181" s="10">
        <v>0</v>
      </c>
      <c r="K1181" s="10">
        <v>0</v>
      </c>
      <c r="L1181" s="10">
        <v>0</v>
      </c>
      <c r="M1181" s="10">
        <v>0</v>
      </c>
      <c r="N1181" s="10">
        <v>0.2</v>
      </c>
      <c r="O1181" s="8" t="s">
        <v>57</v>
      </c>
      <c r="P1181" s="8" t="s">
        <v>31</v>
      </c>
      <c r="Q1181" s="8" t="s">
        <v>31</v>
      </c>
      <c r="R1181" s="8" t="s">
        <v>31</v>
      </c>
      <c r="S1181" s="8" t="s">
        <v>31</v>
      </c>
      <c r="T1181" s="8" t="s">
        <v>31</v>
      </c>
      <c r="U1181" s="8" t="s">
        <v>31</v>
      </c>
      <c r="V1181" s="8" t="s">
        <v>31</v>
      </c>
      <c r="W1181" s="8" t="str">
        <f>_xlfn.IFNA(VLOOKUP(A1181,[1]Sheet1!$A$1:$B$101,1,FALSE),"na")</f>
        <v>na</v>
      </c>
      <c r="X1181" s="8" t="s">
        <v>35</v>
      </c>
      <c r="Y1181" s="9">
        <v>536</v>
      </c>
      <c r="Z1181" s="9">
        <v>243.63634999999999</v>
      </c>
      <c r="AA1181" s="9">
        <v>536</v>
      </c>
      <c r="AB1181" s="9">
        <v>446.66665999999998</v>
      </c>
    </row>
    <row r="1182" spans="1:28" x14ac:dyDescent="0.25">
      <c r="A1182" s="8" t="s">
        <v>2458</v>
      </c>
      <c r="B1182" s="8" t="s">
        <v>2459</v>
      </c>
      <c r="C1182" s="8" t="s">
        <v>62</v>
      </c>
      <c r="D1182" s="10">
        <v>7</v>
      </c>
      <c r="E1182" s="10">
        <v>6</v>
      </c>
      <c r="F1182" s="10">
        <v>1</v>
      </c>
      <c r="G1182" s="10">
        <v>6</v>
      </c>
      <c r="H1182" s="10">
        <v>1</v>
      </c>
      <c r="I1182" s="10">
        <v>0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8" t="s">
        <v>57</v>
      </c>
      <c r="P1182" s="8" t="s">
        <v>31</v>
      </c>
      <c r="Q1182" s="8" t="s">
        <v>31</v>
      </c>
      <c r="R1182" s="8" t="s">
        <v>31</v>
      </c>
      <c r="S1182" s="8" t="s">
        <v>31</v>
      </c>
      <c r="T1182" s="8" t="s">
        <v>31</v>
      </c>
      <c r="U1182" s="8" t="s">
        <v>31</v>
      </c>
      <c r="V1182" s="8" t="s">
        <v>31</v>
      </c>
      <c r="W1182" s="8" t="str">
        <f>_xlfn.IFNA(VLOOKUP(A1182,[1]Sheet1!$A$1:$B$101,1,FALSE),"na")</f>
        <v>na</v>
      </c>
      <c r="X1182" s="8" t="s">
        <v>35</v>
      </c>
      <c r="Y1182" s="9">
        <v>1342</v>
      </c>
      <c r="Z1182" s="9">
        <v>191.71428</v>
      </c>
      <c r="AA1182" s="9">
        <v>223.66667000000001</v>
      </c>
      <c r="AB1182" s="9">
        <v>1342</v>
      </c>
    </row>
    <row r="1183" spans="1:28" x14ac:dyDescent="0.25">
      <c r="A1183" s="8" t="s">
        <v>2460</v>
      </c>
      <c r="B1183" s="8" t="s">
        <v>2461</v>
      </c>
      <c r="C1183" s="8" t="s">
        <v>62</v>
      </c>
      <c r="D1183" s="10">
        <v>5</v>
      </c>
      <c r="E1183" s="10">
        <v>4</v>
      </c>
      <c r="F1183" s="10">
        <v>1</v>
      </c>
      <c r="G1183" s="10">
        <v>4</v>
      </c>
      <c r="H1183" s="10">
        <v>1</v>
      </c>
      <c r="I1183" s="10">
        <v>0</v>
      </c>
      <c r="J1183" s="10">
        <v>0</v>
      </c>
      <c r="K1183" s="10">
        <v>1</v>
      </c>
      <c r="L1183" s="10">
        <v>0</v>
      </c>
      <c r="M1183" s="10">
        <v>0</v>
      </c>
      <c r="N1183" s="10">
        <v>0</v>
      </c>
      <c r="O1183" s="8" t="s">
        <v>57</v>
      </c>
      <c r="P1183" s="8" t="s">
        <v>31</v>
      </c>
      <c r="Q1183" s="8" t="s">
        <v>31</v>
      </c>
      <c r="R1183" s="8" t="s">
        <v>31</v>
      </c>
      <c r="S1183" s="8" t="s">
        <v>31</v>
      </c>
      <c r="T1183" s="8" t="s">
        <v>31</v>
      </c>
      <c r="U1183" s="8" t="s">
        <v>31</v>
      </c>
      <c r="V1183" s="8" t="s">
        <v>57</v>
      </c>
      <c r="W1183" s="8" t="str">
        <f>_xlfn.IFNA(VLOOKUP(A1183,[1]Sheet1!$A$1:$B$101,1,FALSE),"na")</f>
        <v>na</v>
      </c>
      <c r="X1183" s="8" t="s">
        <v>2266</v>
      </c>
      <c r="Y1183" s="9">
        <v>373</v>
      </c>
      <c r="Z1183" s="9">
        <v>74.599997999999999</v>
      </c>
      <c r="AA1183" s="9">
        <v>93.25</v>
      </c>
      <c r="AB1183" s="9">
        <v>373</v>
      </c>
    </row>
    <row r="1184" spans="1:28" x14ac:dyDescent="0.25">
      <c r="A1184" s="8" t="s">
        <v>2462</v>
      </c>
      <c r="B1184" s="8" t="s">
        <v>2463</v>
      </c>
      <c r="C1184" s="8" t="s">
        <v>62</v>
      </c>
      <c r="D1184" s="10">
        <v>4</v>
      </c>
      <c r="E1184" s="10">
        <v>3</v>
      </c>
      <c r="F1184" s="10">
        <v>1</v>
      </c>
      <c r="G1184" s="10">
        <v>3</v>
      </c>
      <c r="H1184" s="10">
        <v>1</v>
      </c>
      <c r="I1184" s="10">
        <v>0</v>
      </c>
      <c r="J1184" s="10">
        <v>0</v>
      </c>
      <c r="K1184" s="10">
        <v>0</v>
      </c>
      <c r="L1184" s="10">
        <v>0</v>
      </c>
      <c r="M1184" s="10">
        <v>0</v>
      </c>
      <c r="N1184" s="10">
        <v>0</v>
      </c>
      <c r="O1184" s="8" t="s">
        <v>57</v>
      </c>
      <c r="P1184" s="8" t="s">
        <v>31</v>
      </c>
      <c r="Q1184" s="8" t="s">
        <v>31</v>
      </c>
      <c r="R1184" s="8" t="s">
        <v>31</v>
      </c>
      <c r="S1184" s="8" t="s">
        <v>31</v>
      </c>
      <c r="T1184" s="8" t="s">
        <v>31</v>
      </c>
      <c r="U1184" s="8" t="s">
        <v>31</v>
      </c>
      <c r="V1184" s="8" t="s">
        <v>31</v>
      </c>
      <c r="W1184" s="8" t="str">
        <f>_xlfn.IFNA(VLOOKUP(A1184,[1]Sheet1!$A$1:$B$101,1,FALSE),"na")</f>
        <v>na</v>
      </c>
      <c r="X1184" s="8" t="s">
        <v>35</v>
      </c>
      <c r="Y1184" s="9">
        <v>589</v>
      </c>
      <c r="Z1184" s="9">
        <v>147.25</v>
      </c>
      <c r="AA1184" s="9">
        <v>196.33332999999999</v>
      </c>
      <c r="AB1184" s="9">
        <v>589</v>
      </c>
    </row>
    <row r="1185" spans="1:28" x14ac:dyDescent="0.25">
      <c r="A1185" s="8" t="s">
        <v>2464</v>
      </c>
      <c r="B1185" s="8" t="s">
        <v>2465</v>
      </c>
      <c r="C1185" s="8" t="s">
        <v>62</v>
      </c>
      <c r="D1185" s="10">
        <v>1</v>
      </c>
      <c r="E1185" s="10">
        <v>1</v>
      </c>
      <c r="F1185" s="10">
        <v>0</v>
      </c>
      <c r="G1185" s="10">
        <v>1</v>
      </c>
      <c r="H1185" s="10">
        <v>0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0</v>
      </c>
      <c r="O1185" s="8" t="s">
        <v>57</v>
      </c>
      <c r="P1185" s="8" t="s">
        <v>31</v>
      </c>
      <c r="Q1185" s="8" t="s">
        <v>31</v>
      </c>
      <c r="R1185" s="8" t="s">
        <v>31</v>
      </c>
      <c r="S1185" s="8" t="s">
        <v>31</v>
      </c>
      <c r="T1185" s="8" t="s">
        <v>31</v>
      </c>
      <c r="U1185" s="8" t="s">
        <v>31</v>
      </c>
      <c r="V1185" s="8" t="s">
        <v>31</v>
      </c>
      <c r="W1185" s="8" t="str">
        <f>_xlfn.IFNA(VLOOKUP(A1185,[1]Sheet1!$A$1:$B$101,1,FALSE),"na")</f>
        <v>na</v>
      </c>
      <c r="X1185" s="8" t="s">
        <v>35</v>
      </c>
      <c r="Y1185" s="9">
        <v>130</v>
      </c>
      <c r="Z1185" s="9">
        <v>130</v>
      </c>
      <c r="AA1185" s="9">
        <v>130</v>
      </c>
      <c r="AB1185" s="9">
        <v>130</v>
      </c>
    </row>
    <row r="1186" spans="1:28" x14ac:dyDescent="0.25">
      <c r="A1186" s="8" t="s">
        <v>2466</v>
      </c>
      <c r="B1186" s="8" t="s">
        <v>2467</v>
      </c>
      <c r="C1186" s="8" t="s">
        <v>30</v>
      </c>
      <c r="D1186" s="10">
        <v>2.4000001000000002</v>
      </c>
      <c r="E1186" s="10">
        <v>1</v>
      </c>
      <c r="F1186" s="10">
        <v>1.4</v>
      </c>
      <c r="G1186" s="10">
        <v>1</v>
      </c>
      <c r="H1186" s="10">
        <v>1.4</v>
      </c>
      <c r="I1186" s="10">
        <v>0</v>
      </c>
      <c r="J1186" s="10">
        <v>0</v>
      </c>
      <c r="K1186" s="10">
        <v>0</v>
      </c>
      <c r="L1186" s="10">
        <v>0.40000001000000002</v>
      </c>
      <c r="M1186" s="10">
        <v>0</v>
      </c>
      <c r="N1186" s="10">
        <v>0.40000001000000002</v>
      </c>
      <c r="O1186" s="8" t="s">
        <v>57</v>
      </c>
      <c r="P1186" s="8" t="s">
        <v>31</v>
      </c>
      <c r="Q1186" s="8" t="s">
        <v>31</v>
      </c>
      <c r="R1186" s="8" t="s">
        <v>31</v>
      </c>
      <c r="S1186" s="8" t="s">
        <v>31</v>
      </c>
      <c r="T1186" s="8" t="s">
        <v>31</v>
      </c>
      <c r="U1186" s="8" t="s">
        <v>31</v>
      </c>
      <c r="V1186" s="8" t="s">
        <v>31</v>
      </c>
      <c r="W1186" s="8" t="str">
        <f>_xlfn.IFNA(VLOOKUP(A1186,[1]Sheet1!$A$1:$B$101,1,FALSE),"na")</f>
        <v>na</v>
      </c>
      <c r="X1186" s="8" t="s">
        <v>35</v>
      </c>
      <c r="Y1186" s="9">
        <v>430</v>
      </c>
      <c r="Z1186" s="9">
        <v>179.16666000000001</v>
      </c>
      <c r="AA1186" s="9">
        <v>430</v>
      </c>
      <c r="AB1186" s="9">
        <v>307.14285000000001</v>
      </c>
    </row>
    <row r="1187" spans="1:28" x14ac:dyDescent="0.25">
      <c r="A1187" s="8" t="s">
        <v>2468</v>
      </c>
      <c r="B1187" s="8" t="s">
        <v>2469</v>
      </c>
      <c r="C1187" s="8" t="s">
        <v>30</v>
      </c>
      <c r="D1187" s="10">
        <v>1.4</v>
      </c>
      <c r="E1187" s="10">
        <v>1</v>
      </c>
      <c r="F1187" s="10">
        <v>0.40000001000000002</v>
      </c>
      <c r="G1187" s="10">
        <v>1</v>
      </c>
      <c r="H1187" s="10">
        <v>0.40000001000000002</v>
      </c>
      <c r="I1187" s="10">
        <v>0</v>
      </c>
      <c r="J1187" s="10">
        <v>0</v>
      </c>
      <c r="K1187" s="10">
        <v>0</v>
      </c>
      <c r="L1187" s="10">
        <v>0.30000000999999998</v>
      </c>
      <c r="M1187" s="10">
        <v>0</v>
      </c>
      <c r="N1187" s="10">
        <v>0.40000001000000002</v>
      </c>
      <c r="O1187" s="8" t="s">
        <v>31</v>
      </c>
      <c r="P1187" s="8" t="s">
        <v>31</v>
      </c>
      <c r="Q1187" s="8" t="s">
        <v>31</v>
      </c>
      <c r="R1187" s="8" t="s">
        <v>31</v>
      </c>
      <c r="S1187" s="8" t="s">
        <v>31</v>
      </c>
      <c r="T1187" s="8" t="s">
        <v>31</v>
      </c>
      <c r="U1187" s="8" t="s">
        <v>31</v>
      </c>
      <c r="V1187" s="8" t="s">
        <v>31</v>
      </c>
      <c r="W1187" s="8" t="str">
        <f>_xlfn.IFNA(VLOOKUP(A1187,[1]Sheet1!$A$1:$B$101,1,FALSE),"na")</f>
        <v>na</v>
      </c>
      <c r="X1187" s="8" t="s">
        <v>35</v>
      </c>
      <c r="Y1187" s="9">
        <v>544</v>
      </c>
      <c r="Z1187" s="9">
        <v>388.57144</v>
      </c>
      <c r="AA1187" s="9">
        <v>544</v>
      </c>
      <c r="AB1187" s="9">
        <v>544</v>
      </c>
    </row>
    <row r="1188" spans="1:28" x14ac:dyDescent="0.25">
      <c r="A1188" s="8" t="s">
        <v>2470</v>
      </c>
      <c r="B1188" s="8" t="s">
        <v>2471</v>
      </c>
      <c r="C1188" s="8" t="s">
        <v>30</v>
      </c>
      <c r="D1188" s="10">
        <v>1.4</v>
      </c>
      <c r="E1188" s="10">
        <v>0</v>
      </c>
      <c r="F1188" s="10">
        <v>1.4</v>
      </c>
      <c r="G1188" s="10">
        <v>0</v>
      </c>
      <c r="H1188" s="10">
        <v>1.4</v>
      </c>
      <c r="I1188" s="10">
        <v>0</v>
      </c>
      <c r="J1188" s="10">
        <v>0</v>
      </c>
      <c r="K1188" s="10">
        <v>0</v>
      </c>
      <c r="L1188" s="10">
        <v>0.40000001000000002</v>
      </c>
      <c r="M1188" s="10">
        <v>0</v>
      </c>
      <c r="N1188" s="10">
        <v>0.40000001000000002</v>
      </c>
      <c r="O1188" s="8" t="s">
        <v>57</v>
      </c>
      <c r="P1188" s="8" t="s">
        <v>31</v>
      </c>
      <c r="Q1188" s="8" t="s">
        <v>31</v>
      </c>
      <c r="R1188" s="8" t="s">
        <v>31</v>
      </c>
      <c r="S1188" s="8" t="s">
        <v>31</v>
      </c>
      <c r="T1188" s="8" t="s">
        <v>31</v>
      </c>
      <c r="U1188" s="8" t="s">
        <v>31</v>
      </c>
      <c r="V1188" s="8" t="s">
        <v>31</v>
      </c>
      <c r="W1188" s="8" t="str">
        <f>_xlfn.IFNA(VLOOKUP(A1188,[1]Sheet1!$A$1:$B$101,1,FALSE),"na")</f>
        <v>na</v>
      </c>
      <c r="X1188" s="8" t="s">
        <v>35</v>
      </c>
      <c r="Y1188" s="9">
        <v>352</v>
      </c>
      <c r="Z1188" s="9">
        <v>251.42857000000001</v>
      </c>
      <c r="AA1188" s="9">
        <v>352</v>
      </c>
      <c r="AB1188" s="9">
        <v>251.42857000000001</v>
      </c>
    </row>
    <row r="1189" spans="1:28" x14ac:dyDescent="0.25">
      <c r="A1189" s="8" t="s">
        <v>2472</v>
      </c>
      <c r="B1189" s="8" t="s">
        <v>2473</v>
      </c>
      <c r="C1189" s="8" t="s">
        <v>30</v>
      </c>
      <c r="D1189" s="10">
        <v>1.4</v>
      </c>
      <c r="E1189" s="10">
        <v>0</v>
      </c>
      <c r="F1189" s="10">
        <v>1.4</v>
      </c>
      <c r="G1189" s="10">
        <v>0</v>
      </c>
      <c r="H1189" s="10">
        <v>1.4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0.40000001000000002</v>
      </c>
      <c r="O1189" s="8" t="s">
        <v>31</v>
      </c>
      <c r="P1189" s="8" t="s">
        <v>31</v>
      </c>
      <c r="Q1189" s="8" t="s">
        <v>31</v>
      </c>
      <c r="R1189" s="8" t="s">
        <v>31</v>
      </c>
      <c r="S1189" s="8" t="s">
        <v>31</v>
      </c>
      <c r="T1189" s="8" t="s">
        <v>31</v>
      </c>
      <c r="U1189" s="8" t="s">
        <v>31</v>
      </c>
      <c r="V1189" s="8" t="s">
        <v>31</v>
      </c>
      <c r="W1189" s="8" t="str">
        <f>_xlfn.IFNA(VLOOKUP(A1189,[1]Sheet1!$A$1:$B$101,1,FALSE),"na")</f>
        <v>na</v>
      </c>
      <c r="X1189" s="8" t="s">
        <v>35</v>
      </c>
      <c r="Y1189" s="9">
        <v>448</v>
      </c>
      <c r="Z1189" s="9">
        <v>320</v>
      </c>
      <c r="AA1189" s="9">
        <v>448</v>
      </c>
      <c r="AB1189" s="9">
        <v>320</v>
      </c>
    </row>
    <row r="1190" spans="1:28" x14ac:dyDescent="0.25">
      <c r="A1190" s="8" t="s">
        <v>2474</v>
      </c>
      <c r="B1190" s="8" t="s">
        <v>2475</v>
      </c>
      <c r="C1190" s="8" t="s">
        <v>30</v>
      </c>
      <c r="D1190" s="10">
        <v>2.2000000000000002</v>
      </c>
      <c r="E1190" s="10">
        <v>1.6</v>
      </c>
      <c r="F1190" s="10">
        <v>0.60000001999999997</v>
      </c>
      <c r="G1190" s="10">
        <v>1</v>
      </c>
      <c r="H1190" s="10">
        <v>0.60000001999999997</v>
      </c>
      <c r="I1190" s="10">
        <v>0.60000001999999997</v>
      </c>
      <c r="J1190" s="10">
        <v>0</v>
      </c>
      <c r="K1190" s="10">
        <v>0</v>
      </c>
      <c r="L1190" s="10">
        <v>0.60000001999999997</v>
      </c>
      <c r="M1190" s="10">
        <v>0</v>
      </c>
      <c r="N1190" s="10">
        <v>0.60000001999999997</v>
      </c>
      <c r="O1190" s="8" t="s">
        <v>31</v>
      </c>
      <c r="P1190" s="8" t="s">
        <v>31</v>
      </c>
      <c r="Q1190" s="8" t="s">
        <v>31</v>
      </c>
      <c r="R1190" s="8" t="s">
        <v>31</v>
      </c>
      <c r="S1190" s="8" t="s">
        <v>31</v>
      </c>
      <c r="T1190" s="8" t="s">
        <v>31</v>
      </c>
      <c r="U1190" s="8" t="s">
        <v>31</v>
      </c>
      <c r="V1190" s="8" t="s">
        <v>31</v>
      </c>
      <c r="W1190" s="8" t="str">
        <f>_xlfn.IFNA(VLOOKUP(A1190,[1]Sheet1!$A$1:$B$101,1,FALSE),"na")</f>
        <v>na</v>
      </c>
      <c r="X1190" s="8" t="s">
        <v>35</v>
      </c>
      <c r="Y1190" s="9">
        <v>524</v>
      </c>
      <c r="Z1190" s="9">
        <v>238.18181000000001</v>
      </c>
      <c r="AA1190" s="9">
        <v>327.5</v>
      </c>
      <c r="AB1190" s="9">
        <v>524</v>
      </c>
    </row>
    <row r="1191" spans="1:28" x14ac:dyDescent="0.25">
      <c r="A1191" s="8" t="s">
        <v>2476</v>
      </c>
      <c r="B1191" s="8" t="s">
        <v>2477</v>
      </c>
      <c r="C1191" s="8" t="s">
        <v>67</v>
      </c>
      <c r="D1191" s="10">
        <v>3.2</v>
      </c>
      <c r="E1191" s="10">
        <v>2</v>
      </c>
      <c r="F1191" s="10">
        <v>1.2</v>
      </c>
      <c r="G1191" s="10">
        <v>2</v>
      </c>
      <c r="H1191" s="10">
        <v>1.2</v>
      </c>
      <c r="I1191" s="10">
        <v>0</v>
      </c>
      <c r="J1191" s="10">
        <v>0</v>
      </c>
      <c r="K1191" s="10">
        <v>0</v>
      </c>
      <c r="L1191" s="10">
        <v>0</v>
      </c>
      <c r="M1191" s="10">
        <v>0</v>
      </c>
      <c r="N1191" s="10">
        <v>0.2</v>
      </c>
      <c r="O1191" s="8" t="s">
        <v>57</v>
      </c>
      <c r="P1191" s="8" t="s">
        <v>31</v>
      </c>
      <c r="Q1191" s="8" t="s">
        <v>31</v>
      </c>
      <c r="R1191" s="8" t="s">
        <v>31</v>
      </c>
      <c r="S1191" s="8" t="s">
        <v>31</v>
      </c>
      <c r="T1191" s="8" t="s">
        <v>31</v>
      </c>
      <c r="U1191" s="8" t="s">
        <v>31</v>
      </c>
      <c r="V1191" s="8" t="s">
        <v>31</v>
      </c>
      <c r="W1191" s="8" t="str">
        <f>_xlfn.IFNA(VLOOKUP(A1191,[1]Sheet1!$A$1:$B$101,1,FALSE),"na")</f>
        <v>na</v>
      </c>
      <c r="X1191" s="8" t="s">
        <v>35</v>
      </c>
      <c r="Y1191" s="9">
        <v>1003</v>
      </c>
      <c r="Z1191" s="9">
        <v>313.4375</v>
      </c>
      <c r="AA1191" s="9">
        <v>501.5</v>
      </c>
      <c r="AB1191" s="9">
        <v>835.83330999999998</v>
      </c>
    </row>
    <row r="1192" spans="1:28" x14ac:dyDescent="0.25">
      <c r="A1192" s="8" t="s">
        <v>2478</v>
      </c>
      <c r="B1192" s="8" t="s">
        <v>2479</v>
      </c>
      <c r="C1192" s="8" t="s">
        <v>67</v>
      </c>
      <c r="D1192" s="10">
        <v>2.4000001000000002</v>
      </c>
      <c r="E1192" s="10">
        <v>2</v>
      </c>
      <c r="F1192" s="10">
        <v>0.40000001000000002</v>
      </c>
      <c r="G1192" s="10">
        <v>2</v>
      </c>
      <c r="H1192" s="10">
        <v>0.40000001000000002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0.40000001000000002</v>
      </c>
      <c r="O1192" s="8" t="s">
        <v>31</v>
      </c>
      <c r="P1192" s="8" t="s">
        <v>31</v>
      </c>
      <c r="Q1192" s="8" t="s">
        <v>31</v>
      </c>
      <c r="R1192" s="8" t="s">
        <v>31</v>
      </c>
      <c r="S1192" s="8" t="s">
        <v>31</v>
      </c>
      <c r="T1192" s="8" t="s">
        <v>31</v>
      </c>
      <c r="U1192" s="8" t="s">
        <v>31</v>
      </c>
      <c r="V1192" s="8" t="s">
        <v>31</v>
      </c>
      <c r="W1192" s="8" t="str">
        <f>_xlfn.IFNA(VLOOKUP(A1192,[1]Sheet1!$A$1:$B$101,1,FALSE),"na")</f>
        <v>na</v>
      </c>
      <c r="X1192" s="8" t="s">
        <v>35</v>
      </c>
      <c r="Y1192" s="9">
        <v>1110</v>
      </c>
      <c r="Z1192" s="9">
        <v>462.49997000000002</v>
      </c>
      <c r="AA1192" s="9">
        <v>555</v>
      </c>
      <c r="AB1192" s="9">
        <v>1110</v>
      </c>
    </row>
    <row r="1193" spans="1:28" x14ac:dyDescent="0.25">
      <c r="A1193" s="8" t="s">
        <v>2480</v>
      </c>
      <c r="B1193" s="8" t="s">
        <v>2481</v>
      </c>
      <c r="C1193" s="8" t="s">
        <v>30</v>
      </c>
      <c r="D1193" s="10">
        <v>2.4000001000000002</v>
      </c>
      <c r="E1193" s="10">
        <v>1</v>
      </c>
      <c r="F1193" s="10">
        <v>1.4</v>
      </c>
      <c r="G1193" s="10">
        <v>1</v>
      </c>
      <c r="H1193" s="10">
        <v>1.4</v>
      </c>
      <c r="I1193" s="10">
        <v>0</v>
      </c>
      <c r="J1193" s="10">
        <v>0</v>
      </c>
      <c r="K1193" s="10">
        <v>0</v>
      </c>
      <c r="L1193" s="10">
        <v>0</v>
      </c>
      <c r="M1193" s="10">
        <v>0</v>
      </c>
      <c r="N1193" s="10">
        <v>0.40000001000000002</v>
      </c>
      <c r="O1193" s="8" t="s">
        <v>57</v>
      </c>
      <c r="P1193" s="8" t="s">
        <v>31</v>
      </c>
      <c r="Q1193" s="8" t="s">
        <v>31</v>
      </c>
      <c r="R1193" s="8" t="s">
        <v>31</v>
      </c>
      <c r="S1193" s="8" t="s">
        <v>31</v>
      </c>
      <c r="T1193" s="8" t="s">
        <v>31</v>
      </c>
      <c r="U1193" s="8" t="s">
        <v>31</v>
      </c>
      <c r="V1193" s="8" t="s">
        <v>31</v>
      </c>
      <c r="W1193" s="8" t="str">
        <f>_xlfn.IFNA(VLOOKUP(A1193,[1]Sheet1!$A$1:$B$101,1,FALSE),"na")</f>
        <v>na</v>
      </c>
      <c r="X1193" s="8" t="s">
        <v>35</v>
      </c>
      <c r="Y1193" s="9">
        <v>355</v>
      </c>
      <c r="Z1193" s="9">
        <v>147.91666000000001</v>
      </c>
      <c r="AA1193" s="9">
        <v>355</v>
      </c>
      <c r="AB1193" s="9">
        <v>253.57142999999999</v>
      </c>
    </row>
    <row r="1194" spans="1:28" x14ac:dyDescent="0.25">
      <c r="A1194" s="8" t="s">
        <v>2482</v>
      </c>
      <c r="B1194" s="8" t="s">
        <v>2483</v>
      </c>
      <c r="C1194" s="8" t="s">
        <v>30</v>
      </c>
      <c r="D1194" s="10">
        <v>2.2000000000000002</v>
      </c>
      <c r="E1194" s="10">
        <v>1</v>
      </c>
      <c r="F1194" s="10">
        <v>1.2</v>
      </c>
      <c r="G1194" s="10">
        <v>1</v>
      </c>
      <c r="H1194" s="10">
        <v>1.2</v>
      </c>
      <c r="I1194" s="10">
        <v>0</v>
      </c>
      <c r="J1194" s="10">
        <v>0</v>
      </c>
      <c r="K1194" s="10">
        <v>0</v>
      </c>
      <c r="L1194" s="10">
        <v>1</v>
      </c>
      <c r="M1194" s="10">
        <v>0</v>
      </c>
      <c r="N1194" s="10">
        <v>0.2</v>
      </c>
      <c r="O1194" s="8" t="s">
        <v>57</v>
      </c>
      <c r="P1194" s="8" t="s">
        <v>31</v>
      </c>
      <c r="Q1194" s="8" t="s">
        <v>31</v>
      </c>
      <c r="R1194" s="8" t="s">
        <v>31</v>
      </c>
      <c r="S1194" s="8" t="s">
        <v>31</v>
      </c>
      <c r="T1194" s="8" t="s">
        <v>31</v>
      </c>
      <c r="U1194" s="8" t="s">
        <v>31</v>
      </c>
      <c r="V1194" s="8" t="s">
        <v>31</v>
      </c>
      <c r="W1194" s="8" t="str">
        <f>_xlfn.IFNA(VLOOKUP(A1194,[1]Sheet1!$A$1:$B$101,1,FALSE),"na")</f>
        <v>na</v>
      </c>
      <c r="X1194" s="8" t="s">
        <v>35</v>
      </c>
      <c r="Y1194" s="9">
        <v>267</v>
      </c>
      <c r="Z1194" s="9">
        <v>121.36363</v>
      </c>
      <c r="AA1194" s="9">
        <v>267</v>
      </c>
      <c r="AB1194" s="9">
        <v>222.49997999999999</v>
      </c>
    </row>
    <row r="1195" spans="1:28" x14ac:dyDescent="0.25">
      <c r="A1195" s="8" t="s">
        <v>2484</v>
      </c>
      <c r="B1195" s="8" t="s">
        <v>2485</v>
      </c>
      <c r="C1195" s="8" t="s">
        <v>30</v>
      </c>
      <c r="D1195" s="10">
        <v>1.6</v>
      </c>
      <c r="E1195" s="10">
        <v>1</v>
      </c>
      <c r="F1195" s="10">
        <v>0.60000001999999997</v>
      </c>
      <c r="G1195" s="10">
        <v>1</v>
      </c>
      <c r="H1195" s="10">
        <v>0.60000001999999997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0.60000001999999997</v>
      </c>
      <c r="O1195" s="8" t="s">
        <v>31</v>
      </c>
      <c r="P1195" s="8" t="s">
        <v>31</v>
      </c>
      <c r="Q1195" s="8" t="s">
        <v>31</v>
      </c>
      <c r="R1195" s="8" t="s">
        <v>31</v>
      </c>
      <c r="S1195" s="8" t="s">
        <v>31</v>
      </c>
      <c r="T1195" s="8" t="s">
        <v>31</v>
      </c>
      <c r="U1195" s="8" t="s">
        <v>31</v>
      </c>
      <c r="V1195" s="8" t="s">
        <v>31</v>
      </c>
      <c r="W1195" s="8" t="str">
        <f>_xlfn.IFNA(VLOOKUP(A1195,[1]Sheet1!$A$1:$B$101,1,FALSE),"na")</f>
        <v>na</v>
      </c>
      <c r="X1195" s="8" t="s">
        <v>35</v>
      </c>
      <c r="Y1195" s="9">
        <v>664</v>
      </c>
      <c r="Z1195" s="9">
        <v>415</v>
      </c>
      <c r="AA1195" s="9">
        <v>664</v>
      </c>
      <c r="AB1195" s="9">
        <v>664</v>
      </c>
    </row>
    <row r="1196" spans="1:28" x14ac:dyDescent="0.25">
      <c r="A1196" s="8" t="s">
        <v>2486</v>
      </c>
      <c r="B1196" s="8" t="s">
        <v>2487</v>
      </c>
      <c r="C1196" s="8" t="s">
        <v>30</v>
      </c>
      <c r="D1196" s="10">
        <v>1.8</v>
      </c>
      <c r="E1196" s="10">
        <v>1</v>
      </c>
      <c r="F1196" s="10">
        <v>0.80000000999999998</v>
      </c>
      <c r="G1196" s="10">
        <v>1</v>
      </c>
      <c r="H1196" s="10">
        <v>0.80000000999999998</v>
      </c>
      <c r="I1196" s="10">
        <v>0</v>
      </c>
      <c r="J1196" s="10">
        <v>0</v>
      </c>
      <c r="K1196" s="10">
        <v>0</v>
      </c>
      <c r="L1196" s="10">
        <v>0</v>
      </c>
      <c r="M1196" s="10">
        <v>0</v>
      </c>
      <c r="N1196" s="10">
        <v>0.80000000999999998</v>
      </c>
      <c r="O1196" s="8" t="s">
        <v>31</v>
      </c>
      <c r="P1196" s="8" t="s">
        <v>31</v>
      </c>
      <c r="Q1196" s="8" t="s">
        <v>31</v>
      </c>
      <c r="R1196" s="8" t="s">
        <v>31</v>
      </c>
      <c r="S1196" s="8" t="s">
        <v>31</v>
      </c>
      <c r="T1196" s="8" t="s">
        <v>31</v>
      </c>
      <c r="U1196" s="8" t="s">
        <v>31</v>
      </c>
      <c r="V1196" s="8" t="s">
        <v>31</v>
      </c>
      <c r="W1196" s="8" t="str">
        <f>_xlfn.IFNA(VLOOKUP(A1196,[1]Sheet1!$A$1:$B$101,1,FALSE),"na")</f>
        <v>na</v>
      </c>
      <c r="X1196" s="8" t="s">
        <v>35</v>
      </c>
      <c r="Y1196" s="9">
        <v>596</v>
      </c>
      <c r="Z1196" s="9">
        <v>331.11111</v>
      </c>
      <c r="AA1196" s="9">
        <v>596</v>
      </c>
      <c r="AB1196" s="9">
        <v>596</v>
      </c>
    </row>
    <row r="1197" spans="1:28" x14ac:dyDescent="0.25">
      <c r="A1197" s="8" t="s">
        <v>2488</v>
      </c>
      <c r="B1197" s="8" t="s">
        <v>2489</v>
      </c>
      <c r="C1197" s="8" t="s">
        <v>67</v>
      </c>
      <c r="D1197" s="10">
        <v>2</v>
      </c>
      <c r="E1197" s="10">
        <v>2</v>
      </c>
      <c r="F1197" s="10">
        <v>0</v>
      </c>
      <c r="G1197" s="10">
        <v>2</v>
      </c>
      <c r="H1197" s="10">
        <v>0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8" t="s">
        <v>31</v>
      </c>
      <c r="P1197" s="8" t="s">
        <v>31</v>
      </c>
      <c r="Q1197" s="8" t="s">
        <v>31</v>
      </c>
      <c r="R1197" s="8" t="s">
        <v>31</v>
      </c>
      <c r="S1197" s="8" t="s">
        <v>31</v>
      </c>
      <c r="T1197" s="8" t="s">
        <v>31</v>
      </c>
      <c r="U1197" s="8" t="s">
        <v>31</v>
      </c>
      <c r="V1197" s="8" t="s">
        <v>31</v>
      </c>
      <c r="W1197" s="8" t="str">
        <f>_xlfn.IFNA(VLOOKUP(A1197,[1]Sheet1!$A$1:$B$101,1,FALSE),"na")</f>
        <v>na</v>
      </c>
      <c r="X1197" s="8" t="s">
        <v>35</v>
      </c>
      <c r="Y1197" s="9">
        <v>844</v>
      </c>
      <c r="Z1197" s="9">
        <v>422</v>
      </c>
      <c r="AA1197" s="9">
        <v>422</v>
      </c>
      <c r="AB1197" s="9">
        <v>844</v>
      </c>
    </row>
    <row r="1198" spans="1:28" x14ac:dyDescent="0.25">
      <c r="A1198" s="8" t="s">
        <v>2490</v>
      </c>
      <c r="B1198" s="8" t="s">
        <v>2491</v>
      </c>
      <c r="C1198" s="8" t="s">
        <v>30</v>
      </c>
      <c r="D1198" s="10">
        <v>1.6</v>
      </c>
      <c r="E1198" s="10">
        <v>1</v>
      </c>
      <c r="F1198" s="10">
        <v>0.60000001999999997</v>
      </c>
      <c r="G1198" s="10">
        <v>1</v>
      </c>
      <c r="H1198" s="10">
        <v>0.60000001999999997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0.60000001999999997</v>
      </c>
      <c r="O1198" s="8" t="s">
        <v>31</v>
      </c>
      <c r="P1198" s="8" t="s">
        <v>31</v>
      </c>
      <c r="Q1198" s="8" t="s">
        <v>31</v>
      </c>
      <c r="R1198" s="8" t="s">
        <v>31</v>
      </c>
      <c r="S1198" s="8" t="s">
        <v>31</v>
      </c>
      <c r="T1198" s="8" t="s">
        <v>31</v>
      </c>
      <c r="U1198" s="8" t="s">
        <v>31</v>
      </c>
      <c r="V1198" s="8" t="s">
        <v>31</v>
      </c>
      <c r="W1198" s="8" t="str">
        <f>_xlfn.IFNA(VLOOKUP(A1198,[1]Sheet1!$A$1:$B$101,1,FALSE),"na")</f>
        <v>na</v>
      </c>
      <c r="X1198" s="8" t="s">
        <v>35</v>
      </c>
      <c r="Y1198" s="9">
        <v>507</v>
      </c>
      <c r="Z1198" s="9">
        <v>316.875</v>
      </c>
      <c r="AA1198" s="9">
        <v>507</v>
      </c>
      <c r="AB1198" s="9">
        <v>507</v>
      </c>
    </row>
    <row r="1199" spans="1:28" x14ac:dyDescent="0.25">
      <c r="A1199" s="8" t="s">
        <v>2492</v>
      </c>
      <c r="B1199" s="8" t="s">
        <v>2493</v>
      </c>
      <c r="C1199" s="8" t="s">
        <v>30</v>
      </c>
      <c r="D1199" s="10">
        <v>1.6</v>
      </c>
      <c r="E1199" s="10">
        <v>1</v>
      </c>
      <c r="F1199" s="10">
        <v>0.60000001999999997</v>
      </c>
      <c r="G1199" s="10">
        <v>1</v>
      </c>
      <c r="H1199" s="10">
        <v>0.60000001999999997</v>
      </c>
      <c r="I1199" s="10">
        <v>0</v>
      </c>
      <c r="J1199" s="10">
        <v>0</v>
      </c>
      <c r="K1199" s="10">
        <v>1</v>
      </c>
      <c r="L1199" s="10">
        <v>0.60000001999999997</v>
      </c>
      <c r="M1199" s="10">
        <v>0</v>
      </c>
      <c r="N1199" s="10">
        <v>0.60000001999999997</v>
      </c>
      <c r="O1199" s="8" t="s">
        <v>31</v>
      </c>
      <c r="P1199" s="8" t="s">
        <v>31</v>
      </c>
      <c r="Q1199" s="8" t="s">
        <v>31</v>
      </c>
      <c r="R1199" s="8" t="s">
        <v>31</v>
      </c>
      <c r="S1199" s="8" t="s">
        <v>31</v>
      </c>
      <c r="T1199" s="8" t="s">
        <v>31</v>
      </c>
      <c r="U1199" s="8" t="s">
        <v>31</v>
      </c>
      <c r="V1199" s="8" t="s">
        <v>31</v>
      </c>
      <c r="W1199" s="8" t="str">
        <f>_xlfn.IFNA(VLOOKUP(A1199,[1]Sheet1!$A$1:$B$101,1,FALSE),"na")</f>
        <v>na</v>
      </c>
      <c r="X1199" s="8" t="s">
        <v>35</v>
      </c>
      <c r="Y1199" s="9">
        <v>444</v>
      </c>
      <c r="Z1199" s="9">
        <v>277.5</v>
      </c>
      <c r="AA1199" s="9">
        <v>444</v>
      </c>
      <c r="AB1199" s="9">
        <v>444</v>
      </c>
    </row>
    <row r="1200" spans="1:28" x14ac:dyDescent="0.25">
      <c r="A1200" s="8" t="s">
        <v>2494</v>
      </c>
      <c r="B1200" s="8" t="s">
        <v>2495</v>
      </c>
      <c r="C1200" s="8" t="s">
        <v>67</v>
      </c>
      <c r="D1200" s="10">
        <v>3.2</v>
      </c>
      <c r="E1200" s="10">
        <v>2</v>
      </c>
      <c r="F1200" s="10">
        <v>1.2</v>
      </c>
      <c r="G1200" s="10">
        <v>2</v>
      </c>
      <c r="H1200" s="10">
        <v>1.2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0.2</v>
      </c>
      <c r="O1200" s="8" t="s">
        <v>57</v>
      </c>
      <c r="P1200" s="8" t="s">
        <v>31</v>
      </c>
      <c r="Q1200" s="8" t="s">
        <v>31</v>
      </c>
      <c r="R1200" s="8" t="s">
        <v>31</v>
      </c>
      <c r="S1200" s="8" t="s">
        <v>31</v>
      </c>
      <c r="T1200" s="8" t="s">
        <v>31</v>
      </c>
      <c r="U1200" s="8" t="s">
        <v>31</v>
      </c>
      <c r="V1200" s="8" t="s">
        <v>31</v>
      </c>
      <c r="W1200" s="8" t="str">
        <f>_xlfn.IFNA(VLOOKUP(A1200,[1]Sheet1!$A$1:$B$101,1,FALSE),"na")</f>
        <v>na</v>
      </c>
      <c r="X1200" s="8" t="s">
        <v>35</v>
      </c>
      <c r="Y1200" s="9">
        <v>798</v>
      </c>
      <c r="Z1200" s="9">
        <v>249.375</v>
      </c>
      <c r="AA1200" s="9">
        <v>399</v>
      </c>
      <c r="AB1200" s="9">
        <v>665</v>
      </c>
    </row>
    <row r="1201" spans="1:28" x14ac:dyDescent="0.25">
      <c r="A1201" s="8" t="s">
        <v>2496</v>
      </c>
      <c r="B1201" s="8" t="s">
        <v>2497</v>
      </c>
      <c r="C1201" s="8" t="s">
        <v>30</v>
      </c>
      <c r="D1201" s="10">
        <v>4.1999997999999996</v>
      </c>
      <c r="E1201" s="10">
        <v>2</v>
      </c>
      <c r="F1201" s="10">
        <v>2.2000000000000002</v>
      </c>
      <c r="G1201" s="10">
        <v>2</v>
      </c>
      <c r="H1201" s="10">
        <v>2.2000000000000002</v>
      </c>
      <c r="I1201" s="10">
        <v>0</v>
      </c>
      <c r="J1201" s="10">
        <v>0</v>
      </c>
      <c r="K1201" s="10">
        <v>0</v>
      </c>
      <c r="L1201" s="10">
        <v>1.2</v>
      </c>
      <c r="M1201" s="10">
        <v>0</v>
      </c>
      <c r="N1201" s="10">
        <v>1.2</v>
      </c>
      <c r="O1201" s="8" t="s">
        <v>57</v>
      </c>
      <c r="P1201" s="8" t="s">
        <v>31</v>
      </c>
      <c r="Q1201" s="8" t="s">
        <v>31</v>
      </c>
      <c r="R1201" s="8" t="s">
        <v>31</v>
      </c>
      <c r="S1201" s="8" t="s">
        <v>31</v>
      </c>
      <c r="T1201" s="8" t="s">
        <v>31</v>
      </c>
      <c r="U1201" s="8" t="s">
        <v>31</v>
      </c>
      <c r="V1201" s="8" t="s">
        <v>31</v>
      </c>
      <c r="W1201" s="8" t="str">
        <f>_xlfn.IFNA(VLOOKUP(A1201,[1]Sheet1!$A$1:$B$101,1,FALSE),"na")</f>
        <v>na</v>
      </c>
      <c r="X1201" s="8" t="s">
        <v>35</v>
      </c>
      <c r="Y1201" s="9">
        <v>959</v>
      </c>
      <c r="Z1201" s="9">
        <v>228.33333999999999</v>
      </c>
      <c r="AA1201" s="9">
        <v>479.5</v>
      </c>
      <c r="AB1201" s="9">
        <v>435.90908999999999</v>
      </c>
    </row>
    <row r="1202" spans="1:28" x14ac:dyDescent="0.25">
      <c r="A1202" s="8" t="s">
        <v>2498</v>
      </c>
      <c r="B1202" s="8" t="s">
        <v>2499</v>
      </c>
      <c r="C1202" s="8" t="s">
        <v>38</v>
      </c>
      <c r="D1202" s="10">
        <v>2.4000001000000002</v>
      </c>
      <c r="E1202" s="10">
        <v>1</v>
      </c>
      <c r="F1202" s="10">
        <v>1.4</v>
      </c>
      <c r="G1202" s="10">
        <v>1</v>
      </c>
      <c r="H1202" s="10">
        <v>1.4</v>
      </c>
      <c r="I1202" s="10">
        <v>0</v>
      </c>
      <c r="J1202" s="10">
        <v>0</v>
      </c>
      <c r="K1202" s="10">
        <v>1</v>
      </c>
      <c r="L1202" s="10">
        <v>0</v>
      </c>
      <c r="M1202" s="10">
        <v>0</v>
      </c>
      <c r="N1202" s="10">
        <v>0.40000001000000002</v>
      </c>
      <c r="O1202" s="8" t="s">
        <v>57</v>
      </c>
      <c r="P1202" s="8" t="s">
        <v>31</v>
      </c>
      <c r="Q1202" s="8" t="s">
        <v>31</v>
      </c>
      <c r="R1202" s="8" t="s">
        <v>31</v>
      </c>
      <c r="S1202" s="8" t="s">
        <v>31</v>
      </c>
      <c r="T1202" s="8" t="s">
        <v>31</v>
      </c>
      <c r="U1202" s="8" t="s">
        <v>31</v>
      </c>
      <c r="V1202" s="8" t="s">
        <v>31</v>
      </c>
      <c r="W1202" s="8" t="str">
        <f>_xlfn.IFNA(VLOOKUP(A1202,[1]Sheet1!$A$1:$B$101,1,FALSE),"na")</f>
        <v>na</v>
      </c>
      <c r="X1202" s="8" t="s">
        <v>35</v>
      </c>
      <c r="Y1202" s="9">
        <v>525</v>
      </c>
      <c r="Z1202" s="9">
        <v>218.74997999999999</v>
      </c>
      <c r="AA1202" s="9">
        <v>525</v>
      </c>
      <c r="AB1202" s="9">
        <v>375</v>
      </c>
    </row>
    <row r="1203" spans="1:28" x14ac:dyDescent="0.25">
      <c r="A1203" s="8" t="s">
        <v>2500</v>
      </c>
      <c r="B1203" s="8" t="s">
        <v>2501</v>
      </c>
      <c r="C1203" s="8" t="s">
        <v>30</v>
      </c>
      <c r="D1203" s="10">
        <v>2.4000001000000002</v>
      </c>
      <c r="E1203" s="10">
        <v>1</v>
      </c>
      <c r="F1203" s="10">
        <v>1.4</v>
      </c>
      <c r="G1203" s="10">
        <v>1</v>
      </c>
      <c r="H1203" s="10">
        <v>1.4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0.40000001000000002</v>
      </c>
      <c r="O1203" s="8" t="s">
        <v>31</v>
      </c>
      <c r="P1203" s="8" t="s">
        <v>31</v>
      </c>
      <c r="Q1203" s="8" t="s">
        <v>31</v>
      </c>
      <c r="R1203" s="8" t="s">
        <v>31</v>
      </c>
      <c r="S1203" s="8" t="s">
        <v>31</v>
      </c>
      <c r="T1203" s="8" t="s">
        <v>31</v>
      </c>
      <c r="U1203" s="8" t="s">
        <v>31</v>
      </c>
      <c r="V1203" s="8" t="s">
        <v>31</v>
      </c>
      <c r="W1203" s="8" t="str">
        <f>_xlfn.IFNA(VLOOKUP(A1203,[1]Sheet1!$A$1:$B$101,1,FALSE),"na")</f>
        <v>na</v>
      </c>
      <c r="X1203" s="8" t="s">
        <v>35</v>
      </c>
      <c r="Y1203" s="9">
        <v>317</v>
      </c>
      <c r="Z1203" s="9">
        <v>132.08332999999999</v>
      </c>
      <c r="AA1203" s="9">
        <v>317</v>
      </c>
      <c r="AB1203" s="9">
        <v>226.42857000000001</v>
      </c>
    </row>
    <row r="1204" spans="1:28" x14ac:dyDescent="0.25">
      <c r="A1204" s="8" t="s">
        <v>2502</v>
      </c>
      <c r="B1204" s="8" t="s">
        <v>2503</v>
      </c>
      <c r="C1204" s="8" t="s">
        <v>30</v>
      </c>
      <c r="D1204" s="10">
        <v>2.4000001000000002</v>
      </c>
      <c r="E1204" s="10">
        <v>1</v>
      </c>
      <c r="F1204" s="10">
        <v>1.4</v>
      </c>
      <c r="G1204" s="10">
        <v>1</v>
      </c>
      <c r="H1204" s="10">
        <v>1.4</v>
      </c>
      <c r="I1204" s="10">
        <v>0</v>
      </c>
      <c r="J1204" s="10">
        <v>0</v>
      </c>
      <c r="K1204" s="10">
        <v>1</v>
      </c>
      <c r="L1204" s="10">
        <v>0</v>
      </c>
      <c r="M1204" s="10">
        <v>0</v>
      </c>
      <c r="N1204" s="10">
        <v>0.40000001000000002</v>
      </c>
      <c r="O1204" s="8" t="s">
        <v>57</v>
      </c>
      <c r="P1204" s="8" t="s">
        <v>57</v>
      </c>
      <c r="Q1204" s="8" t="s">
        <v>31</v>
      </c>
      <c r="R1204" s="8" t="s">
        <v>31</v>
      </c>
      <c r="S1204" s="8" t="s">
        <v>31</v>
      </c>
      <c r="T1204" s="8" t="s">
        <v>31</v>
      </c>
      <c r="U1204" s="8" t="s">
        <v>31</v>
      </c>
      <c r="V1204" s="8" t="s">
        <v>31</v>
      </c>
      <c r="W1204" s="8" t="str">
        <f>_xlfn.IFNA(VLOOKUP(A1204,[1]Sheet1!$A$1:$B$101,1,FALSE),"na")</f>
        <v>na</v>
      </c>
      <c r="X1204" s="8" t="s">
        <v>35</v>
      </c>
      <c r="Y1204" s="9">
        <v>641</v>
      </c>
      <c r="Z1204" s="9">
        <v>267.08330999999998</v>
      </c>
      <c r="AA1204" s="9">
        <v>641</v>
      </c>
      <c r="AB1204" s="9">
        <v>457.85714999999999</v>
      </c>
    </row>
    <row r="1205" spans="1:28" x14ac:dyDescent="0.25">
      <c r="A1205" s="8" t="s">
        <v>2504</v>
      </c>
      <c r="B1205" s="8" t="s">
        <v>2505</v>
      </c>
      <c r="C1205" s="8" t="s">
        <v>30</v>
      </c>
      <c r="D1205" s="10">
        <v>1.2</v>
      </c>
      <c r="E1205" s="10">
        <v>0</v>
      </c>
      <c r="F1205" s="10">
        <v>1.2</v>
      </c>
      <c r="G1205" s="10">
        <v>0</v>
      </c>
      <c r="H1205" s="10">
        <v>1.2</v>
      </c>
      <c r="I1205" s="10">
        <v>0</v>
      </c>
      <c r="J1205" s="10">
        <v>0</v>
      </c>
      <c r="K1205" s="10">
        <v>0</v>
      </c>
      <c r="L1205" s="10">
        <v>0</v>
      </c>
      <c r="M1205" s="10">
        <v>0</v>
      </c>
      <c r="N1205" s="10">
        <v>0.2</v>
      </c>
      <c r="O1205" s="8" t="s">
        <v>57</v>
      </c>
      <c r="P1205" s="8" t="s">
        <v>31</v>
      </c>
      <c r="Q1205" s="8" t="s">
        <v>31</v>
      </c>
      <c r="R1205" s="8" t="s">
        <v>31</v>
      </c>
      <c r="S1205" s="8" t="s">
        <v>31</v>
      </c>
      <c r="T1205" s="8" t="s">
        <v>31</v>
      </c>
      <c r="U1205" s="8" t="s">
        <v>31</v>
      </c>
      <c r="V1205" s="8" t="s">
        <v>31</v>
      </c>
      <c r="W1205" s="8" t="str">
        <f>_xlfn.IFNA(VLOOKUP(A1205,[1]Sheet1!$A$1:$B$101,1,FALSE),"na")</f>
        <v>na</v>
      </c>
      <c r="X1205" s="8" t="s">
        <v>35</v>
      </c>
      <c r="Y1205" s="9">
        <v>331</v>
      </c>
      <c r="Z1205" s="9">
        <v>275.83330999999998</v>
      </c>
      <c r="AA1205" s="9">
        <v>331</v>
      </c>
      <c r="AB1205" s="9">
        <v>275.83330999999998</v>
      </c>
    </row>
    <row r="1206" spans="1:28" x14ac:dyDescent="0.25">
      <c r="A1206" s="8" t="s">
        <v>2506</v>
      </c>
      <c r="B1206" s="8" t="s">
        <v>2507</v>
      </c>
      <c r="C1206" s="8" t="s">
        <v>30</v>
      </c>
      <c r="D1206" s="10">
        <v>1.6</v>
      </c>
      <c r="E1206" s="10">
        <v>1</v>
      </c>
      <c r="F1206" s="10">
        <v>0.60000001999999997</v>
      </c>
      <c r="G1206" s="10">
        <v>1</v>
      </c>
      <c r="H1206" s="10">
        <v>0.60000001999999997</v>
      </c>
      <c r="I1206" s="10">
        <v>0</v>
      </c>
      <c r="J1206" s="10">
        <v>0</v>
      </c>
      <c r="K1206" s="10">
        <v>0</v>
      </c>
      <c r="L1206" s="10">
        <v>0.60000001999999997</v>
      </c>
      <c r="M1206" s="10">
        <v>0</v>
      </c>
      <c r="N1206" s="10">
        <v>0.60000001999999997</v>
      </c>
      <c r="O1206" s="8" t="s">
        <v>31</v>
      </c>
      <c r="P1206" s="8" t="s">
        <v>31</v>
      </c>
      <c r="Q1206" s="8" t="s">
        <v>31</v>
      </c>
      <c r="R1206" s="8" t="s">
        <v>31</v>
      </c>
      <c r="S1206" s="8" t="s">
        <v>31</v>
      </c>
      <c r="T1206" s="8" t="s">
        <v>31</v>
      </c>
      <c r="U1206" s="8" t="s">
        <v>31</v>
      </c>
      <c r="V1206" s="8" t="s">
        <v>31</v>
      </c>
      <c r="W1206" s="8" t="str">
        <f>_xlfn.IFNA(VLOOKUP(A1206,[1]Sheet1!$A$1:$B$101,1,FALSE),"na")</f>
        <v>na</v>
      </c>
      <c r="X1206" s="8" t="s">
        <v>35</v>
      </c>
      <c r="Y1206" s="9">
        <v>823</v>
      </c>
      <c r="Z1206" s="9">
        <v>514.375</v>
      </c>
      <c r="AA1206" s="9">
        <v>823</v>
      </c>
      <c r="AB1206" s="9">
        <v>823</v>
      </c>
    </row>
    <row r="1207" spans="1:28" x14ac:dyDescent="0.25">
      <c r="A1207" s="8" t="s">
        <v>2508</v>
      </c>
      <c r="B1207" s="8" t="s">
        <v>2509</v>
      </c>
      <c r="C1207" s="8" t="s">
        <v>30</v>
      </c>
      <c r="D1207" s="10">
        <v>0.2</v>
      </c>
      <c r="E1207" s="10">
        <v>0</v>
      </c>
      <c r="F1207" s="10">
        <v>0.2</v>
      </c>
      <c r="G1207" s="10">
        <v>0</v>
      </c>
      <c r="H1207" s="10">
        <v>0.2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0.2</v>
      </c>
      <c r="O1207" s="8" t="s">
        <v>31</v>
      </c>
      <c r="P1207" s="8" t="s">
        <v>31</v>
      </c>
      <c r="Q1207" s="8" t="s">
        <v>31</v>
      </c>
      <c r="R1207" s="8" t="s">
        <v>31</v>
      </c>
      <c r="S1207" s="8" t="s">
        <v>31</v>
      </c>
      <c r="T1207" s="8" t="s">
        <v>31</v>
      </c>
      <c r="U1207" s="8" t="s">
        <v>31</v>
      </c>
      <c r="V1207" s="8" t="s">
        <v>31</v>
      </c>
      <c r="W1207" s="8" t="str">
        <f>_xlfn.IFNA(VLOOKUP(A1207,[1]Sheet1!$A$1:$B$101,1,FALSE),"na")</f>
        <v>na</v>
      </c>
      <c r="X1207" s="8" t="s">
        <v>35</v>
      </c>
      <c r="Y1207" s="9">
        <v>224</v>
      </c>
      <c r="Z1207" s="9">
        <v>224</v>
      </c>
      <c r="AA1207" s="9">
        <v>224</v>
      </c>
      <c r="AB1207" s="9">
        <v>224</v>
      </c>
    </row>
    <row r="1208" spans="1:28" x14ac:dyDescent="0.25">
      <c r="A1208" s="8" t="s">
        <v>2510</v>
      </c>
      <c r="B1208" s="8" t="s">
        <v>2511</v>
      </c>
      <c r="C1208" s="8" t="s">
        <v>30</v>
      </c>
      <c r="D1208" s="10">
        <v>2.2000000000000002</v>
      </c>
      <c r="E1208" s="10">
        <v>1</v>
      </c>
      <c r="F1208" s="10">
        <v>1.2</v>
      </c>
      <c r="G1208" s="10">
        <v>1</v>
      </c>
      <c r="H1208" s="10">
        <v>1.2</v>
      </c>
      <c r="I1208" s="10">
        <v>0</v>
      </c>
      <c r="J1208" s="10">
        <v>0</v>
      </c>
      <c r="K1208" s="10">
        <v>1</v>
      </c>
      <c r="L1208" s="10">
        <v>0.2</v>
      </c>
      <c r="M1208" s="10">
        <v>0</v>
      </c>
      <c r="N1208" s="10">
        <v>0.2</v>
      </c>
      <c r="O1208" s="8" t="s">
        <v>57</v>
      </c>
      <c r="P1208" s="8" t="s">
        <v>31</v>
      </c>
      <c r="Q1208" s="8" t="s">
        <v>31</v>
      </c>
      <c r="R1208" s="8" t="s">
        <v>31</v>
      </c>
      <c r="S1208" s="8" t="s">
        <v>31</v>
      </c>
      <c r="T1208" s="8" t="s">
        <v>31</v>
      </c>
      <c r="U1208" s="8" t="s">
        <v>31</v>
      </c>
      <c r="V1208" s="8" t="s">
        <v>31</v>
      </c>
      <c r="W1208" s="8" t="str">
        <f>_xlfn.IFNA(VLOOKUP(A1208,[1]Sheet1!$A$1:$B$101,1,FALSE),"na")</f>
        <v>na</v>
      </c>
      <c r="X1208" s="8" t="s">
        <v>35</v>
      </c>
      <c r="Y1208" s="9">
        <v>373</v>
      </c>
      <c r="Z1208" s="9">
        <v>169.54545999999999</v>
      </c>
      <c r="AA1208" s="9">
        <v>373</v>
      </c>
      <c r="AB1208" s="9">
        <v>310.83330999999998</v>
      </c>
    </row>
    <row r="1209" spans="1:28" x14ac:dyDescent="0.25">
      <c r="A1209" s="8" t="s">
        <v>2512</v>
      </c>
      <c r="B1209" s="8" t="s">
        <v>2513</v>
      </c>
      <c r="C1209" s="8" t="s">
        <v>67</v>
      </c>
      <c r="D1209" s="10">
        <v>3.2</v>
      </c>
      <c r="E1209" s="10">
        <v>3</v>
      </c>
      <c r="F1209" s="10">
        <v>0.2</v>
      </c>
      <c r="G1209" s="10">
        <v>3</v>
      </c>
      <c r="H1209" s="10">
        <v>0.2</v>
      </c>
      <c r="I1209" s="10">
        <v>0</v>
      </c>
      <c r="J1209" s="10">
        <v>0</v>
      </c>
      <c r="K1209" s="10">
        <v>0</v>
      </c>
      <c r="L1209" s="10">
        <v>0.2</v>
      </c>
      <c r="M1209" s="10">
        <v>0</v>
      </c>
      <c r="N1209" s="10">
        <v>0.2</v>
      </c>
      <c r="O1209" s="8" t="s">
        <v>31</v>
      </c>
      <c r="P1209" s="8" t="s">
        <v>31</v>
      </c>
      <c r="Q1209" s="8" t="s">
        <v>31</v>
      </c>
      <c r="R1209" s="8" t="s">
        <v>31</v>
      </c>
      <c r="S1209" s="8" t="s">
        <v>31</v>
      </c>
      <c r="T1209" s="8" t="s">
        <v>31</v>
      </c>
      <c r="U1209" s="8" t="s">
        <v>31</v>
      </c>
      <c r="V1209" s="8" t="s">
        <v>31</v>
      </c>
      <c r="W1209" s="8" t="str">
        <f>_xlfn.IFNA(VLOOKUP(A1209,[1]Sheet1!$A$1:$B$101,1,FALSE),"na")</f>
        <v>na</v>
      </c>
      <c r="X1209" s="8" t="s">
        <v>35</v>
      </c>
      <c r="Y1209" s="9">
        <v>1514</v>
      </c>
      <c r="Z1209" s="9">
        <v>473.125</v>
      </c>
      <c r="AA1209" s="9">
        <v>504.66665999999998</v>
      </c>
      <c r="AB1209" s="9">
        <v>1514</v>
      </c>
    </row>
    <row r="1210" spans="1:28" x14ac:dyDescent="0.25">
      <c r="A1210" s="8" t="s">
        <v>2514</v>
      </c>
      <c r="B1210" s="8" t="s">
        <v>2515</v>
      </c>
      <c r="C1210" s="8" t="s">
        <v>30</v>
      </c>
      <c r="D1210" s="10">
        <v>1.6</v>
      </c>
      <c r="E1210" s="10">
        <v>1</v>
      </c>
      <c r="F1210" s="10">
        <v>0.60000001999999997</v>
      </c>
      <c r="G1210" s="10">
        <v>1</v>
      </c>
      <c r="H1210" s="10">
        <v>0.60000001999999997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0.60000001999999997</v>
      </c>
      <c r="O1210" s="8" t="s">
        <v>31</v>
      </c>
      <c r="P1210" s="8" t="s">
        <v>31</v>
      </c>
      <c r="Q1210" s="8" t="s">
        <v>31</v>
      </c>
      <c r="R1210" s="8" t="s">
        <v>31</v>
      </c>
      <c r="S1210" s="8" t="s">
        <v>31</v>
      </c>
      <c r="T1210" s="8" t="s">
        <v>31</v>
      </c>
      <c r="U1210" s="8" t="s">
        <v>31</v>
      </c>
      <c r="V1210" s="8" t="s">
        <v>31</v>
      </c>
      <c r="W1210" s="8" t="str">
        <f>_xlfn.IFNA(VLOOKUP(A1210,[1]Sheet1!$A$1:$B$101,1,FALSE),"na")</f>
        <v>na</v>
      </c>
      <c r="X1210" s="8" t="s">
        <v>35</v>
      </c>
      <c r="Y1210" s="9">
        <v>510</v>
      </c>
      <c r="Z1210" s="9">
        <v>318.75</v>
      </c>
      <c r="AA1210" s="9">
        <v>510</v>
      </c>
      <c r="AB1210" s="9">
        <v>510</v>
      </c>
    </row>
    <row r="1211" spans="1:28" x14ac:dyDescent="0.25">
      <c r="A1211" s="8" t="s">
        <v>2516</v>
      </c>
      <c r="B1211" s="8" t="s">
        <v>2517</v>
      </c>
      <c r="C1211" s="8" t="s">
        <v>38</v>
      </c>
      <c r="D1211" s="10">
        <v>1.3</v>
      </c>
      <c r="E1211" s="10">
        <v>1</v>
      </c>
      <c r="F1211" s="10">
        <v>0.30000000999999998</v>
      </c>
      <c r="G1211" s="10">
        <v>1</v>
      </c>
      <c r="H1211" s="10">
        <v>0.30000000999999998</v>
      </c>
      <c r="I1211" s="10">
        <v>0</v>
      </c>
      <c r="J1211" s="10">
        <v>0</v>
      </c>
      <c r="K1211" s="10">
        <v>0</v>
      </c>
      <c r="L1211" s="10">
        <v>0</v>
      </c>
      <c r="M1211" s="10">
        <v>0</v>
      </c>
      <c r="N1211" s="10">
        <v>0.30000000999999998</v>
      </c>
      <c r="O1211" s="8" t="s">
        <v>31</v>
      </c>
      <c r="P1211" s="8" t="s">
        <v>31</v>
      </c>
      <c r="Q1211" s="8" t="s">
        <v>31</v>
      </c>
      <c r="R1211" s="8" t="s">
        <v>31</v>
      </c>
      <c r="S1211" s="8" t="s">
        <v>31</v>
      </c>
      <c r="T1211" s="8" t="s">
        <v>31</v>
      </c>
      <c r="U1211" s="8" t="s">
        <v>31</v>
      </c>
      <c r="V1211" s="8" t="s">
        <v>31</v>
      </c>
      <c r="W1211" s="8" t="str">
        <f>_xlfn.IFNA(VLOOKUP(A1211,[1]Sheet1!$A$1:$B$101,1,FALSE),"na")</f>
        <v>na</v>
      </c>
      <c r="X1211" s="8" t="s">
        <v>35</v>
      </c>
      <c r="Y1211" s="9">
        <v>468</v>
      </c>
      <c r="Z1211" s="9">
        <v>360</v>
      </c>
      <c r="AA1211" s="9">
        <v>468</v>
      </c>
      <c r="AB1211" s="9">
        <v>468</v>
      </c>
    </row>
    <row r="1212" spans="1:28" x14ac:dyDescent="0.25">
      <c r="A1212" s="8" t="s">
        <v>2518</v>
      </c>
      <c r="B1212" s="8" t="s">
        <v>2519</v>
      </c>
      <c r="C1212" s="8" t="s">
        <v>62</v>
      </c>
      <c r="D1212" s="10">
        <v>3.2</v>
      </c>
      <c r="E1212" s="10">
        <v>3</v>
      </c>
      <c r="F1212" s="10">
        <v>0.2</v>
      </c>
      <c r="G1212" s="10">
        <v>3</v>
      </c>
      <c r="H1212" s="10">
        <v>0.2</v>
      </c>
      <c r="I1212" s="10">
        <v>0</v>
      </c>
      <c r="J1212" s="10">
        <v>0</v>
      </c>
      <c r="K1212" s="10">
        <v>0</v>
      </c>
      <c r="L1212" s="10">
        <v>0.2</v>
      </c>
      <c r="M1212" s="10">
        <v>0</v>
      </c>
      <c r="N1212" s="10">
        <v>0.2</v>
      </c>
      <c r="O1212" s="8" t="s">
        <v>31</v>
      </c>
      <c r="P1212" s="8" t="s">
        <v>31</v>
      </c>
      <c r="Q1212" s="8" t="s">
        <v>31</v>
      </c>
      <c r="R1212" s="8" t="s">
        <v>31</v>
      </c>
      <c r="S1212" s="8" t="s">
        <v>31</v>
      </c>
      <c r="T1212" s="8" t="s">
        <v>31</v>
      </c>
      <c r="U1212" s="8" t="s">
        <v>31</v>
      </c>
      <c r="V1212" s="8" t="s">
        <v>31</v>
      </c>
      <c r="W1212" s="8" t="str">
        <f>_xlfn.IFNA(VLOOKUP(A1212,[1]Sheet1!$A$1:$B$101,1,FALSE),"na")</f>
        <v>na</v>
      </c>
      <c r="X1212" s="8" t="s">
        <v>35</v>
      </c>
      <c r="Y1212" s="9">
        <v>599</v>
      </c>
      <c r="Z1212" s="9">
        <v>187.1875</v>
      </c>
      <c r="AA1212" s="9">
        <v>199.66667000000001</v>
      </c>
      <c r="AB1212" s="9">
        <v>599</v>
      </c>
    </row>
    <row r="1213" spans="1:28" x14ac:dyDescent="0.25">
      <c r="A1213" s="8" t="s">
        <v>2520</v>
      </c>
      <c r="B1213" s="8" t="s">
        <v>2521</v>
      </c>
      <c r="C1213" s="8" t="s">
        <v>30</v>
      </c>
      <c r="D1213" s="10">
        <v>2.7</v>
      </c>
      <c r="E1213" s="10">
        <v>1.5</v>
      </c>
      <c r="F1213" s="10">
        <v>1.2</v>
      </c>
      <c r="G1213" s="10">
        <v>1</v>
      </c>
      <c r="H1213" s="10">
        <v>1.2</v>
      </c>
      <c r="I1213" s="10">
        <v>0.5</v>
      </c>
      <c r="J1213" s="10">
        <v>0</v>
      </c>
      <c r="K1213" s="10">
        <v>0</v>
      </c>
      <c r="L1213" s="10">
        <v>0</v>
      </c>
      <c r="M1213" s="10">
        <v>0</v>
      </c>
      <c r="N1213" s="10">
        <v>0.2</v>
      </c>
      <c r="O1213" s="8" t="s">
        <v>57</v>
      </c>
      <c r="P1213" s="8" t="s">
        <v>57</v>
      </c>
      <c r="Q1213" s="8" t="s">
        <v>31</v>
      </c>
      <c r="R1213" s="8" t="s">
        <v>31</v>
      </c>
      <c r="S1213" s="8" t="s">
        <v>31</v>
      </c>
      <c r="T1213" s="8" t="s">
        <v>31</v>
      </c>
      <c r="U1213" s="8" t="s">
        <v>31</v>
      </c>
      <c r="V1213" s="8" t="s">
        <v>31</v>
      </c>
      <c r="W1213" s="8" t="str">
        <f>_xlfn.IFNA(VLOOKUP(A1213,[1]Sheet1!$A$1:$B$101,1,FALSE),"na")</f>
        <v>na</v>
      </c>
      <c r="X1213" s="8" t="s">
        <v>35</v>
      </c>
      <c r="Y1213" s="9">
        <v>548</v>
      </c>
      <c r="Z1213" s="9">
        <v>202.96297000000001</v>
      </c>
      <c r="AA1213" s="9">
        <v>365.33334000000002</v>
      </c>
      <c r="AB1213" s="9">
        <v>456.66665999999998</v>
      </c>
    </row>
    <row r="1214" spans="1:28" x14ac:dyDescent="0.25">
      <c r="A1214" s="8" t="s">
        <v>2522</v>
      </c>
      <c r="B1214" s="8" t="s">
        <v>2523</v>
      </c>
      <c r="C1214" s="8" t="s">
        <v>30</v>
      </c>
      <c r="D1214" s="10">
        <v>1.5</v>
      </c>
      <c r="E1214" s="10">
        <v>0.5</v>
      </c>
      <c r="F1214" s="10">
        <v>1</v>
      </c>
      <c r="G1214" s="10">
        <v>0</v>
      </c>
      <c r="H1214" s="10">
        <v>1</v>
      </c>
      <c r="I1214" s="10">
        <v>0.5</v>
      </c>
      <c r="J1214" s="10">
        <v>0</v>
      </c>
      <c r="K1214" s="10">
        <v>0</v>
      </c>
      <c r="L1214" s="10">
        <v>0</v>
      </c>
      <c r="M1214" s="10">
        <v>0</v>
      </c>
      <c r="N1214" s="10">
        <v>0</v>
      </c>
      <c r="O1214" s="8" t="s">
        <v>57</v>
      </c>
      <c r="P1214" s="8" t="s">
        <v>31</v>
      </c>
      <c r="Q1214" s="8" t="s">
        <v>31</v>
      </c>
      <c r="R1214" s="8" t="s">
        <v>31</v>
      </c>
      <c r="S1214" s="8" t="s">
        <v>31</v>
      </c>
      <c r="T1214" s="8" t="s">
        <v>31</v>
      </c>
      <c r="U1214" s="8" t="s">
        <v>31</v>
      </c>
      <c r="V1214" s="8" t="s">
        <v>31</v>
      </c>
      <c r="W1214" s="8" t="str">
        <f>_xlfn.IFNA(VLOOKUP(A1214,[1]Sheet1!$A$1:$B$101,1,FALSE),"na")</f>
        <v>na</v>
      </c>
      <c r="X1214" s="8" t="s">
        <v>35</v>
      </c>
      <c r="Y1214" s="9">
        <v>147</v>
      </c>
      <c r="Z1214" s="9">
        <v>98</v>
      </c>
      <c r="AA1214" s="9">
        <v>147</v>
      </c>
      <c r="AB1214" s="9">
        <v>147</v>
      </c>
    </row>
    <row r="1215" spans="1:28" x14ac:dyDescent="0.25">
      <c r="A1215" s="8" t="s">
        <v>2524</v>
      </c>
      <c r="B1215" s="8" t="s">
        <v>2525</v>
      </c>
      <c r="C1215" s="8" t="s">
        <v>62</v>
      </c>
      <c r="D1215" s="10">
        <v>15.5</v>
      </c>
      <c r="E1215" s="10">
        <v>12</v>
      </c>
      <c r="F1215" s="10">
        <v>3.5</v>
      </c>
      <c r="G1215" s="10">
        <v>12</v>
      </c>
      <c r="H1215" s="10">
        <v>3.5</v>
      </c>
      <c r="I1215" s="10">
        <v>0</v>
      </c>
      <c r="J1215" s="10">
        <v>0</v>
      </c>
      <c r="K1215" s="10">
        <v>1</v>
      </c>
      <c r="L1215" s="10">
        <v>0</v>
      </c>
      <c r="M1215" s="10">
        <v>0</v>
      </c>
      <c r="N1215" s="10">
        <v>0.5</v>
      </c>
      <c r="O1215" s="8" t="s">
        <v>31</v>
      </c>
      <c r="P1215" s="8" t="s">
        <v>31</v>
      </c>
      <c r="Q1215" s="8" t="s">
        <v>31</v>
      </c>
      <c r="R1215" s="8" t="s">
        <v>31</v>
      </c>
      <c r="S1215" s="8" t="s">
        <v>31</v>
      </c>
      <c r="T1215" s="8" t="s">
        <v>31</v>
      </c>
      <c r="U1215" s="8" t="s">
        <v>31</v>
      </c>
      <c r="V1215" s="8" t="s">
        <v>31</v>
      </c>
      <c r="W1215" s="8" t="str">
        <f>_xlfn.IFNA(VLOOKUP(A1215,[1]Sheet1!$A$1:$B$101,1,FALSE),"na")</f>
        <v>na</v>
      </c>
      <c r="X1215" s="8" t="s">
        <v>35</v>
      </c>
      <c r="Y1215" s="9">
        <v>2882</v>
      </c>
      <c r="Z1215" s="9">
        <v>185.93548999999999</v>
      </c>
      <c r="AA1215" s="9">
        <v>240.16667000000001</v>
      </c>
      <c r="AB1215" s="9">
        <v>823.42858999999999</v>
      </c>
    </row>
    <row r="1216" spans="1:28" x14ac:dyDescent="0.25">
      <c r="A1216" s="8" t="s">
        <v>2526</v>
      </c>
      <c r="B1216" s="8" t="s">
        <v>2527</v>
      </c>
      <c r="C1216" s="8" t="s">
        <v>62</v>
      </c>
      <c r="D1216" s="10">
        <v>19.5</v>
      </c>
      <c r="E1216" s="10">
        <v>18</v>
      </c>
      <c r="F1216" s="10">
        <v>1.5</v>
      </c>
      <c r="G1216" s="10">
        <v>18</v>
      </c>
      <c r="H1216" s="10">
        <v>1.5</v>
      </c>
      <c r="I1216" s="10">
        <v>0</v>
      </c>
      <c r="J1216" s="10">
        <v>0</v>
      </c>
      <c r="K1216" s="10">
        <v>1</v>
      </c>
      <c r="L1216" s="10">
        <v>0.5</v>
      </c>
      <c r="M1216" s="10">
        <v>0</v>
      </c>
      <c r="N1216" s="10">
        <v>0.5</v>
      </c>
      <c r="O1216" s="8" t="s">
        <v>31</v>
      </c>
      <c r="P1216" s="8" t="s">
        <v>31</v>
      </c>
      <c r="Q1216" s="8" t="s">
        <v>31</v>
      </c>
      <c r="R1216" s="8" t="s">
        <v>31</v>
      </c>
      <c r="S1216" s="8" t="s">
        <v>31</v>
      </c>
      <c r="T1216" s="8" t="s">
        <v>31</v>
      </c>
      <c r="U1216" s="8" t="s">
        <v>31</v>
      </c>
      <c r="V1216" s="8" t="s">
        <v>31</v>
      </c>
      <c r="W1216" s="8" t="str">
        <f>_xlfn.IFNA(VLOOKUP(A1216,[1]Sheet1!$A$1:$B$101,1,FALSE),"na")</f>
        <v>na</v>
      </c>
      <c r="X1216" s="8" t="s">
        <v>35</v>
      </c>
      <c r="Y1216" s="9">
        <v>4577</v>
      </c>
      <c r="Z1216" s="9">
        <v>234.71794</v>
      </c>
      <c r="AA1216" s="9">
        <v>254.27777</v>
      </c>
      <c r="AB1216" s="9">
        <v>3051.3332999999998</v>
      </c>
    </row>
    <row r="1217" spans="1:28" x14ac:dyDescent="0.25">
      <c r="A1217" s="8" t="s">
        <v>2528</v>
      </c>
      <c r="B1217" s="8" t="s">
        <v>2529</v>
      </c>
      <c r="C1217" s="8" t="s">
        <v>62</v>
      </c>
      <c r="D1217" s="10">
        <v>6.1999997999999996</v>
      </c>
      <c r="E1217" s="10">
        <v>5</v>
      </c>
      <c r="F1217" s="10">
        <v>1.2</v>
      </c>
      <c r="G1217" s="10">
        <v>5</v>
      </c>
      <c r="H1217" s="10">
        <v>1.2</v>
      </c>
      <c r="I1217" s="10">
        <v>0</v>
      </c>
      <c r="J1217" s="10">
        <v>0</v>
      </c>
      <c r="K1217" s="10">
        <v>0</v>
      </c>
      <c r="L1217" s="10">
        <v>0.2</v>
      </c>
      <c r="M1217" s="10">
        <v>0</v>
      </c>
      <c r="N1217" s="10">
        <v>0.2</v>
      </c>
      <c r="O1217" s="8" t="s">
        <v>31</v>
      </c>
      <c r="P1217" s="8" t="s">
        <v>31</v>
      </c>
      <c r="Q1217" s="8" t="s">
        <v>31</v>
      </c>
      <c r="R1217" s="8" t="s">
        <v>31</v>
      </c>
      <c r="S1217" s="8" t="s">
        <v>31</v>
      </c>
      <c r="T1217" s="8" t="s">
        <v>57</v>
      </c>
      <c r="U1217" s="8" t="s">
        <v>31</v>
      </c>
      <c r="V1217" s="8" t="s">
        <v>31</v>
      </c>
      <c r="W1217" s="8" t="str">
        <f>_xlfn.IFNA(VLOOKUP(A1217,[1]Sheet1!$A$1:$B$101,1,FALSE),"na")</f>
        <v>na</v>
      </c>
      <c r="X1217" s="8" t="s">
        <v>2266</v>
      </c>
      <c r="Y1217" s="9">
        <v>1140</v>
      </c>
      <c r="Z1217" s="9">
        <v>183.87097</v>
      </c>
      <c r="AA1217" s="9">
        <v>228</v>
      </c>
      <c r="AB1217" s="9">
        <v>949.99994000000004</v>
      </c>
    </row>
    <row r="1218" spans="1:28" x14ac:dyDescent="0.25">
      <c r="A1218" s="8" t="s">
        <v>2530</v>
      </c>
      <c r="B1218" s="8" t="s">
        <v>2531</v>
      </c>
      <c r="C1218" s="8" t="s">
        <v>62</v>
      </c>
      <c r="D1218" s="10">
        <v>20.299999</v>
      </c>
      <c r="E1218" s="10">
        <v>16</v>
      </c>
      <c r="F1218" s="10">
        <v>4.3000002000000004</v>
      </c>
      <c r="G1218" s="10">
        <v>16</v>
      </c>
      <c r="H1218" s="10">
        <v>4.3000002000000004</v>
      </c>
      <c r="I1218" s="10">
        <v>0</v>
      </c>
      <c r="J1218" s="10">
        <v>0</v>
      </c>
      <c r="K1218" s="10">
        <v>2</v>
      </c>
      <c r="L1218" s="10">
        <v>0</v>
      </c>
      <c r="M1218" s="10">
        <v>0</v>
      </c>
      <c r="N1218" s="10">
        <v>0.30000000999999998</v>
      </c>
      <c r="O1218" s="8" t="s">
        <v>31</v>
      </c>
      <c r="P1218" s="8" t="s">
        <v>31</v>
      </c>
      <c r="Q1218" s="8" t="s">
        <v>31</v>
      </c>
      <c r="R1218" s="8" t="s">
        <v>31</v>
      </c>
      <c r="S1218" s="8" t="s">
        <v>31</v>
      </c>
      <c r="T1218" s="8" t="s">
        <v>31</v>
      </c>
      <c r="U1218" s="8" t="s">
        <v>31</v>
      </c>
      <c r="V1218" s="8" t="s">
        <v>31</v>
      </c>
      <c r="W1218" s="8" t="str">
        <f>_xlfn.IFNA(VLOOKUP(A1218,[1]Sheet1!$A$1:$B$101,1,FALSE),"na")</f>
        <v>na</v>
      </c>
      <c r="X1218" s="8" t="s">
        <v>35</v>
      </c>
      <c r="Y1218" s="9">
        <v>2980</v>
      </c>
      <c r="Z1218" s="9">
        <v>146.79803000000001</v>
      </c>
      <c r="AA1218" s="9">
        <v>186.25</v>
      </c>
      <c r="AB1218" s="9">
        <v>693.02324999999996</v>
      </c>
    </row>
    <row r="1219" spans="1:28" x14ac:dyDescent="0.25">
      <c r="A1219" s="8" t="s">
        <v>2532</v>
      </c>
      <c r="B1219" s="8" t="s">
        <v>2533</v>
      </c>
      <c r="C1219" s="8" t="s">
        <v>62</v>
      </c>
      <c r="D1219" s="10">
        <v>7</v>
      </c>
      <c r="E1219" s="10">
        <v>5</v>
      </c>
      <c r="F1219" s="10">
        <v>2</v>
      </c>
      <c r="G1219" s="10">
        <v>5</v>
      </c>
      <c r="H1219" s="10">
        <v>2</v>
      </c>
      <c r="I1219" s="10">
        <v>0</v>
      </c>
      <c r="J1219" s="10">
        <v>0</v>
      </c>
      <c r="K1219" s="10">
        <v>1</v>
      </c>
      <c r="L1219" s="10">
        <v>0</v>
      </c>
      <c r="M1219" s="10">
        <v>0</v>
      </c>
      <c r="N1219" s="10">
        <v>0</v>
      </c>
      <c r="O1219" s="8" t="s">
        <v>57</v>
      </c>
      <c r="P1219" s="8" t="s">
        <v>31</v>
      </c>
      <c r="Q1219" s="8" t="s">
        <v>31</v>
      </c>
      <c r="R1219" s="8" t="s">
        <v>31</v>
      </c>
      <c r="S1219" s="8" t="s">
        <v>31</v>
      </c>
      <c r="T1219" s="8" t="s">
        <v>31</v>
      </c>
      <c r="U1219" s="8" t="s">
        <v>31</v>
      </c>
      <c r="V1219" s="8" t="s">
        <v>31</v>
      </c>
      <c r="W1219" s="8" t="str">
        <f>_xlfn.IFNA(VLOOKUP(A1219,[1]Sheet1!$A$1:$B$101,1,FALSE),"na")</f>
        <v>na</v>
      </c>
      <c r="X1219" s="8" t="s">
        <v>35</v>
      </c>
      <c r="Y1219" s="9">
        <v>841</v>
      </c>
      <c r="Z1219" s="9">
        <v>120.14286</v>
      </c>
      <c r="AA1219" s="9">
        <v>168.2</v>
      </c>
      <c r="AB1219" s="9">
        <v>420.5</v>
      </c>
    </row>
    <row r="1220" spans="1:28" x14ac:dyDescent="0.25">
      <c r="A1220" s="8" t="s">
        <v>2534</v>
      </c>
      <c r="B1220" s="8" t="s">
        <v>2535</v>
      </c>
      <c r="C1220" s="8" t="s">
        <v>38</v>
      </c>
      <c r="D1220" s="10">
        <v>1.3</v>
      </c>
      <c r="E1220" s="10">
        <v>1</v>
      </c>
      <c r="F1220" s="10">
        <v>0.30000000999999998</v>
      </c>
      <c r="G1220" s="10">
        <v>1</v>
      </c>
      <c r="H1220" s="10">
        <v>0.30000000999999998</v>
      </c>
      <c r="I1220" s="10">
        <v>0</v>
      </c>
      <c r="J1220" s="10">
        <v>0</v>
      </c>
      <c r="K1220" s="10">
        <v>0</v>
      </c>
      <c r="L1220" s="10">
        <v>0</v>
      </c>
      <c r="M1220" s="10">
        <v>0</v>
      </c>
      <c r="N1220" s="10">
        <v>0.30000000999999998</v>
      </c>
      <c r="O1220" s="8" t="s">
        <v>31</v>
      </c>
      <c r="P1220" s="8" t="s">
        <v>31</v>
      </c>
      <c r="Q1220" s="8" t="s">
        <v>31</v>
      </c>
      <c r="R1220" s="8" t="s">
        <v>31</v>
      </c>
      <c r="S1220" s="8" t="s">
        <v>31</v>
      </c>
      <c r="T1220" s="8" t="s">
        <v>31</v>
      </c>
      <c r="U1220" s="8" t="s">
        <v>31</v>
      </c>
      <c r="V1220" s="8" t="s">
        <v>31</v>
      </c>
      <c r="W1220" s="8" t="str">
        <f>_xlfn.IFNA(VLOOKUP(A1220,[1]Sheet1!$A$1:$B$101,1,FALSE),"na")</f>
        <v>na</v>
      </c>
      <c r="X1220" s="8" t="s">
        <v>512</v>
      </c>
      <c r="Y1220" s="9">
        <v>645</v>
      </c>
      <c r="Z1220" s="9">
        <v>496.15386999999998</v>
      </c>
      <c r="AA1220" s="9">
        <v>645</v>
      </c>
      <c r="AB1220" s="9">
        <v>645</v>
      </c>
    </row>
    <row r="1221" spans="1:28" x14ac:dyDescent="0.25">
      <c r="A1221" s="8" t="s">
        <v>2536</v>
      </c>
      <c r="B1221" s="8" t="s">
        <v>2537</v>
      </c>
      <c r="C1221" s="8" t="s">
        <v>38</v>
      </c>
      <c r="D1221" s="10">
        <v>2.2999999999999998</v>
      </c>
      <c r="E1221" s="10">
        <v>2</v>
      </c>
      <c r="F1221" s="10">
        <v>0.30000000999999998</v>
      </c>
      <c r="G1221" s="10">
        <v>2</v>
      </c>
      <c r="H1221" s="10">
        <v>0.30000000999999998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0.30000000999999998</v>
      </c>
      <c r="O1221" s="8" t="s">
        <v>31</v>
      </c>
      <c r="P1221" s="8" t="s">
        <v>31</v>
      </c>
      <c r="Q1221" s="8" t="s">
        <v>31</v>
      </c>
      <c r="R1221" s="8" t="s">
        <v>31</v>
      </c>
      <c r="S1221" s="8" t="s">
        <v>31</v>
      </c>
      <c r="T1221" s="8" t="s">
        <v>31</v>
      </c>
      <c r="U1221" s="8" t="s">
        <v>31</v>
      </c>
      <c r="V1221" s="8" t="s">
        <v>31</v>
      </c>
      <c r="W1221" s="8" t="str">
        <f>_xlfn.IFNA(VLOOKUP(A1221,[1]Sheet1!$A$1:$B$101,1,FALSE),"na")</f>
        <v>na</v>
      </c>
      <c r="X1221" s="8" t="s">
        <v>2538</v>
      </c>
      <c r="Y1221" s="9">
        <v>581</v>
      </c>
      <c r="Z1221" s="9">
        <v>252.6087</v>
      </c>
      <c r="AA1221" s="9">
        <v>290.5</v>
      </c>
      <c r="AB1221" s="9">
        <v>581</v>
      </c>
    </row>
    <row r="1222" spans="1:28" x14ac:dyDescent="0.25">
      <c r="A1222" s="8" t="s">
        <v>2539</v>
      </c>
      <c r="B1222" s="8" t="s">
        <v>2540</v>
      </c>
      <c r="C1222" s="8" t="s">
        <v>30</v>
      </c>
      <c r="D1222" s="10">
        <v>2.4000001000000002</v>
      </c>
      <c r="E1222" s="10">
        <v>1</v>
      </c>
      <c r="F1222" s="10">
        <v>1.4</v>
      </c>
      <c r="G1222" s="10">
        <v>1</v>
      </c>
      <c r="H1222" s="10">
        <v>1.4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0.40000001000000002</v>
      </c>
      <c r="O1222" s="8" t="s">
        <v>57</v>
      </c>
      <c r="P1222" s="8" t="s">
        <v>31</v>
      </c>
      <c r="Q1222" s="8" t="s">
        <v>31</v>
      </c>
      <c r="R1222" s="8" t="s">
        <v>31</v>
      </c>
      <c r="S1222" s="8" t="s">
        <v>31</v>
      </c>
      <c r="T1222" s="8" t="s">
        <v>31</v>
      </c>
      <c r="U1222" s="8" t="s">
        <v>31</v>
      </c>
      <c r="V1222" s="8" t="s">
        <v>31</v>
      </c>
      <c r="W1222" s="8" t="str">
        <f>_xlfn.IFNA(VLOOKUP(A1222,[1]Sheet1!$A$1:$B$101,1,FALSE),"na")</f>
        <v>na</v>
      </c>
      <c r="X1222" s="8" t="s">
        <v>35</v>
      </c>
      <c r="Y1222" s="9">
        <v>467</v>
      </c>
      <c r="Z1222" s="9">
        <v>194.58332999999999</v>
      </c>
      <c r="AA1222" s="9">
        <v>467</v>
      </c>
      <c r="AB1222" s="9">
        <v>333.57144</v>
      </c>
    </row>
    <row r="1223" spans="1:28" x14ac:dyDescent="0.25">
      <c r="A1223" s="8" t="s">
        <v>2541</v>
      </c>
      <c r="B1223" s="8" t="s">
        <v>2542</v>
      </c>
      <c r="C1223" s="8" t="s">
        <v>38</v>
      </c>
      <c r="D1223" s="10">
        <v>2.2000000000000002</v>
      </c>
      <c r="E1223" s="10">
        <v>1</v>
      </c>
      <c r="F1223" s="10">
        <v>1.2</v>
      </c>
      <c r="G1223" s="10">
        <v>1</v>
      </c>
      <c r="H1223" s="10">
        <v>1.2</v>
      </c>
      <c r="I1223" s="10">
        <v>0</v>
      </c>
      <c r="J1223" s="10">
        <v>0</v>
      </c>
      <c r="K1223" s="10">
        <v>0</v>
      </c>
      <c r="L1223" s="10">
        <v>0</v>
      </c>
      <c r="M1223" s="10">
        <v>0</v>
      </c>
      <c r="N1223" s="10">
        <v>0.2</v>
      </c>
      <c r="O1223" s="8" t="s">
        <v>57</v>
      </c>
      <c r="P1223" s="8" t="s">
        <v>31</v>
      </c>
      <c r="Q1223" s="8" t="s">
        <v>31</v>
      </c>
      <c r="R1223" s="8" t="s">
        <v>31</v>
      </c>
      <c r="S1223" s="8" t="s">
        <v>31</v>
      </c>
      <c r="T1223" s="8" t="s">
        <v>31</v>
      </c>
      <c r="U1223" s="8" t="s">
        <v>31</v>
      </c>
      <c r="V1223" s="8" t="s">
        <v>31</v>
      </c>
      <c r="W1223" s="8" t="str">
        <f>_xlfn.IFNA(VLOOKUP(A1223,[1]Sheet1!$A$1:$B$101,1,FALSE),"na")</f>
        <v>na</v>
      </c>
      <c r="X1223" s="8" t="s">
        <v>35</v>
      </c>
      <c r="Y1223" s="9">
        <v>274</v>
      </c>
      <c r="Z1223" s="9">
        <v>124.54545</v>
      </c>
      <c r="AA1223" s="9">
        <v>274</v>
      </c>
      <c r="AB1223" s="9">
        <v>228.33332999999999</v>
      </c>
    </row>
    <row r="1224" spans="1:28" x14ac:dyDescent="0.25">
      <c r="A1224" s="8" t="s">
        <v>2543</v>
      </c>
      <c r="B1224" s="8" t="s">
        <v>2544</v>
      </c>
      <c r="C1224" s="8" t="s">
        <v>444</v>
      </c>
      <c r="D1224" s="10">
        <v>2.4000001000000002</v>
      </c>
      <c r="E1224" s="10">
        <v>1</v>
      </c>
      <c r="F1224" s="10">
        <v>1.4</v>
      </c>
      <c r="G1224" s="10">
        <v>1</v>
      </c>
      <c r="H1224" s="10">
        <v>1.4</v>
      </c>
      <c r="I1224" s="10">
        <v>0</v>
      </c>
      <c r="J1224" s="10">
        <v>0</v>
      </c>
      <c r="K1224" s="10">
        <v>0</v>
      </c>
      <c r="L1224" s="10">
        <v>0.40000001000000002</v>
      </c>
      <c r="M1224" s="10">
        <v>0</v>
      </c>
      <c r="N1224" s="10">
        <v>0.40000001000000002</v>
      </c>
      <c r="O1224" s="8" t="s">
        <v>57</v>
      </c>
      <c r="P1224" s="8" t="s">
        <v>57</v>
      </c>
      <c r="Q1224" s="8" t="s">
        <v>31</v>
      </c>
      <c r="R1224" s="8" t="s">
        <v>31</v>
      </c>
      <c r="S1224" s="8" t="s">
        <v>31</v>
      </c>
      <c r="T1224" s="8" t="s">
        <v>31</v>
      </c>
      <c r="U1224" s="8" t="s">
        <v>31</v>
      </c>
      <c r="V1224" s="8" t="s">
        <v>31</v>
      </c>
      <c r="W1224" s="8" t="str">
        <f>_xlfn.IFNA(VLOOKUP(A1224,[1]Sheet1!$A$1:$B$101,1,FALSE),"na")</f>
        <v>na</v>
      </c>
      <c r="X1224" s="8" t="s">
        <v>35</v>
      </c>
      <c r="Y1224" s="9">
        <v>197</v>
      </c>
      <c r="Z1224" s="9">
        <v>82.083327999999995</v>
      </c>
      <c r="AA1224" s="9">
        <v>197</v>
      </c>
      <c r="AB1224" s="9">
        <v>140.71429000000001</v>
      </c>
    </row>
    <row r="1225" spans="1:28" x14ac:dyDescent="0.25">
      <c r="A1225" s="8" t="s">
        <v>2545</v>
      </c>
      <c r="B1225" s="8" t="s">
        <v>2546</v>
      </c>
      <c r="C1225" s="8" t="s">
        <v>67</v>
      </c>
      <c r="D1225" s="10">
        <v>2.4000001000000002</v>
      </c>
      <c r="E1225" s="10">
        <v>1</v>
      </c>
      <c r="F1225" s="10">
        <v>1.4</v>
      </c>
      <c r="G1225" s="10">
        <v>1</v>
      </c>
      <c r="H1225" s="10">
        <v>1.4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0.40000001000000002</v>
      </c>
      <c r="O1225" s="8" t="s">
        <v>31</v>
      </c>
      <c r="P1225" s="8" t="s">
        <v>31</v>
      </c>
      <c r="Q1225" s="8" t="s">
        <v>31</v>
      </c>
      <c r="R1225" s="8" t="s">
        <v>31</v>
      </c>
      <c r="S1225" s="8" t="s">
        <v>31</v>
      </c>
      <c r="T1225" s="8" t="s">
        <v>31</v>
      </c>
      <c r="U1225" s="8" t="s">
        <v>31</v>
      </c>
      <c r="V1225" s="8" t="s">
        <v>31</v>
      </c>
      <c r="W1225" s="8" t="str">
        <f>_xlfn.IFNA(VLOOKUP(A1225,[1]Sheet1!$A$1:$B$101,1,FALSE),"na")</f>
        <v>na</v>
      </c>
      <c r="X1225" s="8" t="s">
        <v>1707</v>
      </c>
      <c r="Y1225" s="9">
        <v>242</v>
      </c>
      <c r="Z1225" s="9">
        <v>100.83333</v>
      </c>
      <c r="AA1225" s="9">
        <v>242</v>
      </c>
      <c r="AB1225" s="9">
        <v>172.85714999999999</v>
      </c>
    </row>
    <row r="1226" spans="1:28" x14ac:dyDescent="0.25">
      <c r="A1226" s="8" t="s">
        <v>2547</v>
      </c>
      <c r="B1226" s="8" t="s">
        <v>2548</v>
      </c>
      <c r="C1226" s="8" t="s">
        <v>30</v>
      </c>
      <c r="D1226" s="10">
        <v>1.2</v>
      </c>
      <c r="E1226" s="10">
        <v>1</v>
      </c>
      <c r="F1226" s="10">
        <v>0.2</v>
      </c>
      <c r="G1226" s="10">
        <v>1</v>
      </c>
      <c r="H1226" s="10">
        <v>0.2</v>
      </c>
      <c r="I1226" s="10">
        <v>0</v>
      </c>
      <c r="J1226" s="10">
        <v>0</v>
      </c>
      <c r="K1226" s="10">
        <v>0</v>
      </c>
      <c r="L1226" s="10">
        <v>0.2</v>
      </c>
      <c r="M1226" s="10">
        <v>0</v>
      </c>
      <c r="N1226" s="10">
        <v>0.2</v>
      </c>
      <c r="O1226" s="8" t="s">
        <v>31</v>
      </c>
      <c r="P1226" s="8" t="s">
        <v>31</v>
      </c>
      <c r="Q1226" s="8" t="s">
        <v>31</v>
      </c>
      <c r="R1226" s="8" t="s">
        <v>31</v>
      </c>
      <c r="S1226" s="8" t="s">
        <v>31</v>
      </c>
      <c r="T1226" s="8" t="s">
        <v>31</v>
      </c>
      <c r="U1226" s="8" t="s">
        <v>31</v>
      </c>
      <c r="V1226" s="8" t="s">
        <v>31</v>
      </c>
      <c r="W1226" s="8" t="str">
        <f>_xlfn.IFNA(VLOOKUP(A1226,[1]Sheet1!$A$1:$B$101,1,FALSE),"na")</f>
        <v>na</v>
      </c>
      <c r="X1226" s="8" t="s">
        <v>35</v>
      </c>
      <c r="Y1226" s="9">
        <v>364</v>
      </c>
      <c r="Z1226" s="9">
        <v>303.33330999999998</v>
      </c>
      <c r="AA1226" s="9">
        <v>364</v>
      </c>
      <c r="AB1226" s="9">
        <v>364</v>
      </c>
    </row>
    <row r="1227" spans="1:28" x14ac:dyDescent="0.25">
      <c r="A1227" s="8" t="s">
        <v>2549</v>
      </c>
      <c r="B1227" s="8" t="s">
        <v>2550</v>
      </c>
      <c r="C1227" s="8" t="s">
        <v>30</v>
      </c>
      <c r="D1227" s="10">
        <v>1.6</v>
      </c>
      <c r="E1227" s="10">
        <v>1</v>
      </c>
      <c r="F1227" s="10">
        <v>0.60000001999999997</v>
      </c>
      <c r="G1227" s="10">
        <v>1</v>
      </c>
      <c r="H1227" s="10">
        <v>0.60000001999999997</v>
      </c>
      <c r="I1227" s="10">
        <v>0</v>
      </c>
      <c r="J1227" s="10">
        <v>0</v>
      </c>
      <c r="K1227" s="10">
        <v>0</v>
      </c>
      <c r="L1227" s="10">
        <v>0.60000001999999997</v>
      </c>
      <c r="M1227" s="10">
        <v>0</v>
      </c>
      <c r="N1227" s="10">
        <v>0.60000001999999997</v>
      </c>
      <c r="O1227" s="8" t="s">
        <v>31</v>
      </c>
      <c r="P1227" s="8" t="s">
        <v>31</v>
      </c>
      <c r="Q1227" s="8" t="s">
        <v>31</v>
      </c>
      <c r="R1227" s="8" t="s">
        <v>31</v>
      </c>
      <c r="S1227" s="8" t="s">
        <v>31</v>
      </c>
      <c r="T1227" s="8" t="s">
        <v>31</v>
      </c>
      <c r="U1227" s="8" t="s">
        <v>31</v>
      </c>
      <c r="V1227" s="8" t="s">
        <v>31</v>
      </c>
      <c r="W1227" s="8" t="str">
        <f>_xlfn.IFNA(VLOOKUP(A1227,[1]Sheet1!$A$1:$B$101,1,FALSE),"na")</f>
        <v>na</v>
      </c>
      <c r="X1227" s="8" t="s">
        <v>35</v>
      </c>
      <c r="Y1227" s="9">
        <v>966</v>
      </c>
      <c r="Z1227" s="9">
        <v>603.75</v>
      </c>
      <c r="AA1227" s="9">
        <v>966</v>
      </c>
      <c r="AB1227" s="9">
        <v>966</v>
      </c>
    </row>
    <row r="1228" spans="1:28" x14ac:dyDescent="0.25">
      <c r="A1228" s="8" t="s">
        <v>2551</v>
      </c>
      <c r="B1228" s="8" t="s">
        <v>2552</v>
      </c>
      <c r="C1228" s="8" t="s">
        <v>30</v>
      </c>
      <c r="D1228" s="10">
        <v>2.4000001000000002</v>
      </c>
      <c r="E1228" s="10">
        <v>2</v>
      </c>
      <c r="F1228" s="10">
        <v>0.40000001000000002</v>
      </c>
      <c r="G1228" s="10">
        <v>2</v>
      </c>
      <c r="H1228" s="10">
        <v>0.40000001000000002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0.40000001000000002</v>
      </c>
      <c r="O1228" s="8" t="s">
        <v>31</v>
      </c>
      <c r="P1228" s="8" t="s">
        <v>31</v>
      </c>
      <c r="Q1228" s="8" t="s">
        <v>31</v>
      </c>
      <c r="R1228" s="8" t="s">
        <v>31</v>
      </c>
      <c r="S1228" s="8" t="s">
        <v>31</v>
      </c>
      <c r="T1228" s="8" t="s">
        <v>31</v>
      </c>
      <c r="U1228" s="8" t="s">
        <v>31</v>
      </c>
      <c r="V1228" s="8" t="s">
        <v>31</v>
      </c>
      <c r="W1228" s="8" t="str">
        <f>_xlfn.IFNA(VLOOKUP(A1228,[1]Sheet1!$A$1:$B$101,1,FALSE),"na")</f>
        <v>na</v>
      </c>
      <c r="X1228" s="8" t="s">
        <v>35</v>
      </c>
      <c r="Y1228" s="9">
        <v>825</v>
      </c>
      <c r="Z1228" s="9">
        <v>343.75</v>
      </c>
      <c r="AA1228" s="9">
        <v>412.5</v>
      </c>
      <c r="AB1228" s="9">
        <v>825</v>
      </c>
    </row>
    <row r="1229" spans="1:28" x14ac:dyDescent="0.25">
      <c r="A1229" s="8" t="s">
        <v>2553</v>
      </c>
      <c r="B1229" s="8" t="s">
        <v>2554</v>
      </c>
      <c r="C1229" s="8" t="s">
        <v>30</v>
      </c>
      <c r="D1229" s="10">
        <v>4</v>
      </c>
      <c r="E1229" s="10">
        <v>2</v>
      </c>
      <c r="F1229" s="10">
        <v>2</v>
      </c>
      <c r="G1229" s="10">
        <v>2</v>
      </c>
      <c r="H1229" s="10">
        <v>2</v>
      </c>
      <c r="I1229" s="10">
        <v>0</v>
      </c>
      <c r="J1229" s="10">
        <v>0</v>
      </c>
      <c r="K1229" s="10">
        <v>0</v>
      </c>
      <c r="L1229" s="10">
        <v>0.2</v>
      </c>
      <c r="M1229" s="10">
        <v>0</v>
      </c>
      <c r="N1229" s="10">
        <v>1</v>
      </c>
      <c r="O1229" s="8" t="s">
        <v>31</v>
      </c>
      <c r="P1229" s="8" t="s">
        <v>31</v>
      </c>
      <c r="Q1229" s="8" t="s">
        <v>57</v>
      </c>
      <c r="R1229" s="8" t="s">
        <v>31</v>
      </c>
      <c r="S1229" s="8" t="s">
        <v>31</v>
      </c>
      <c r="T1229" s="8" t="s">
        <v>31</v>
      </c>
      <c r="U1229" s="8" t="s">
        <v>31</v>
      </c>
      <c r="V1229" s="8" t="s">
        <v>31</v>
      </c>
      <c r="W1229" s="8" t="str">
        <f>_xlfn.IFNA(VLOOKUP(A1229,[1]Sheet1!$A$1:$B$101,1,FALSE),"na")</f>
        <v>na</v>
      </c>
      <c r="X1229" s="8" t="s">
        <v>35</v>
      </c>
      <c r="Y1229" s="9">
        <v>977</v>
      </c>
      <c r="Z1229" s="9">
        <v>244.25</v>
      </c>
      <c r="AA1229" s="9">
        <v>488.5</v>
      </c>
      <c r="AB1229" s="9">
        <v>488.5</v>
      </c>
    </row>
    <row r="1230" spans="1:28" x14ac:dyDescent="0.25">
      <c r="A1230" s="8" t="s">
        <v>2555</v>
      </c>
      <c r="B1230" s="8" t="s">
        <v>2556</v>
      </c>
      <c r="C1230" s="8" t="s">
        <v>30</v>
      </c>
      <c r="D1230" s="10">
        <v>1.4</v>
      </c>
      <c r="E1230" s="10">
        <v>1</v>
      </c>
      <c r="F1230" s="10">
        <v>0.40000001000000002</v>
      </c>
      <c r="G1230" s="10">
        <v>1</v>
      </c>
      <c r="H1230" s="10">
        <v>0.40000001000000002</v>
      </c>
      <c r="I1230" s="10">
        <v>0</v>
      </c>
      <c r="J1230" s="10">
        <v>0</v>
      </c>
      <c r="K1230" s="10">
        <v>0</v>
      </c>
      <c r="L1230" s="10">
        <v>0.40000001000000002</v>
      </c>
      <c r="M1230" s="10">
        <v>0</v>
      </c>
      <c r="N1230" s="10">
        <v>0.40000001000000002</v>
      </c>
      <c r="O1230" s="8" t="s">
        <v>31</v>
      </c>
      <c r="P1230" s="8" t="s">
        <v>31</v>
      </c>
      <c r="Q1230" s="8" t="s">
        <v>31</v>
      </c>
      <c r="R1230" s="8" t="s">
        <v>31</v>
      </c>
      <c r="S1230" s="8" t="s">
        <v>31</v>
      </c>
      <c r="T1230" s="8" t="s">
        <v>31</v>
      </c>
      <c r="U1230" s="8" t="s">
        <v>31</v>
      </c>
      <c r="V1230" s="8" t="s">
        <v>31</v>
      </c>
      <c r="W1230" s="8" t="str">
        <f>_xlfn.IFNA(VLOOKUP(A1230,[1]Sheet1!$A$1:$B$101,1,FALSE),"na")</f>
        <v>na</v>
      </c>
      <c r="X1230" s="8" t="s">
        <v>35</v>
      </c>
      <c r="Y1230" s="9">
        <v>493</v>
      </c>
      <c r="Z1230" s="9">
        <v>352.14285000000001</v>
      </c>
      <c r="AA1230" s="9">
        <v>493</v>
      </c>
      <c r="AB1230" s="9">
        <v>493</v>
      </c>
    </row>
    <row r="1231" spans="1:28" x14ac:dyDescent="0.25">
      <c r="A1231" s="8" t="s">
        <v>2557</v>
      </c>
      <c r="B1231" s="8" t="s">
        <v>2558</v>
      </c>
      <c r="C1231" s="8" t="s">
        <v>30</v>
      </c>
      <c r="D1231" s="10">
        <v>1.4</v>
      </c>
      <c r="E1231" s="10">
        <v>1</v>
      </c>
      <c r="F1231" s="10">
        <v>0.40000001000000002</v>
      </c>
      <c r="G1231" s="10">
        <v>1</v>
      </c>
      <c r="H1231" s="10">
        <v>0.40000001000000002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0.40000001000000002</v>
      </c>
      <c r="O1231" s="8" t="s">
        <v>31</v>
      </c>
      <c r="P1231" s="8" t="s">
        <v>31</v>
      </c>
      <c r="Q1231" s="8" t="s">
        <v>31</v>
      </c>
      <c r="R1231" s="8" t="s">
        <v>31</v>
      </c>
      <c r="S1231" s="8" t="s">
        <v>31</v>
      </c>
      <c r="T1231" s="8" t="s">
        <v>31</v>
      </c>
      <c r="U1231" s="8" t="s">
        <v>31</v>
      </c>
      <c r="V1231" s="8" t="s">
        <v>31</v>
      </c>
      <c r="W1231" s="8" t="str">
        <f>_xlfn.IFNA(VLOOKUP(A1231,[1]Sheet1!$A$1:$B$101,1,FALSE),"na")</f>
        <v>na</v>
      </c>
      <c r="X1231" s="8" t="s">
        <v>487</v>
      </c>
      <c r="Y1231" s="9">
        <v>378</v>
      </c>
      <c r="Z1231" s="9">
        <v>270</v>
      </c>
      <c r="AA1231" s="9">
        <v>378</v>
      </c>
      <c r="AB1231" s="9">
        <v>378</v>
      </c>
    </row>
    <row r="1232" spans="1:28" x14ac:dyDescent="0.25">
      <c r="A1232" s="8" t="s">
        <v>2559</v>
      </c>
      <c r="B1232" s="8" t="s">
        <v>2560</v>
      </c>
      <c r="C1232" s="8" t="s">
        <v>30</v>
      </c>
      <c r="D1232" s="10">
        <v>2.4000001000000002</v>
      </c>
      <c r="E1232" s="10">
        <v>1</v>
      </c>
      <c r="F1232" s="10">
        <v>1.4</v>
      </c>
      <c r="G1232" s="10">
        <v>1</v>
      </c>
      <c r="H1232" s="10">
        <v>1.4</v>
      </c>
      <c r="I1232" s="10">
        <v>0</v>
      </c>
      <c r="J1232" s="10">
        <v>0</v>
      </c>
      <c r="K1232" s="10">
        <v>0</v>
      </c>
      <c r="L1232" s="10">
        <v>0.2</v>
      </c>
      <c r="M1232" s="10">
        <v>0</v>
      </c>
      <c r="N1232" s="10">
        <v>0.40000001000000002</v>
      </c>
      <c r="O1232" s="8" t="s">
        <v>57</v>
      </c>
      <c r="P1232" s="8" t="s">
        <v>31</v>
      </c>
      <c r="Q1232" s="8" t="s">
        <v>31</v>
      </c>
      <c r="R1232" s="8" t="s">
        <v>31</v>
      </c>
      <c r="S1232" s="8" t="s">
        <v>31</v>
      </c>
      <c r="T1232" s="8" t="s">
        <v>31</v>
      </c>
      <c r="U1232" s="8" t="s">
        <v>31</v>
      </c>
      <c r="V1232" s="8" t="s">
        <v>31</v>
      </c>
      <c r="W1232" s="8" t="str">
        <f>_xlfn.IFNA(VLOOKUP(A1232,[1]Sheet1!$A$1:$B$101,1,FALSE),"na")</f>
        <v>na</v>
      </c>
      <c r="X1232" s="8" t="s">
        <v>35</v>
      </c>
      <c r="Y1232" s="9">
        <v>478</v>
      </c>
      <c r="Z1232" s="9">
        <v>199.16666000000001</v>
      </c>
      <c r="AA1232" s="9">
        <v>478</v>
      </c>
      <c r="AB1232" s="9">
        <v>341.42858999999999</v>
      </c>
    </row>
    <row r="1233" spans="1:28" x14ac:dyDescent="0.25">
      <c r="A1233" s="8" t="s">
        <v>2561</v>
      </c>
      <c r="B1233" s="8" t="s">
        <v>2562</v>
      </c>
      <c r="C1233" s="8" t="s">
        <v>30</v>
      </c>
      <c r="D1233" s="10">
        <v>2.5999998999999998</v>
      </c>
      <c r="E1233" s="10">
        <v>1</v>
      </c>
      <c r="F1233" s="10">
        <v>1.6</v>
      </c>
      <c r="G1233" s="10">
        <v>1</v>
      </c>
      <c r="H1233" s="10">
        <v>1.6</v>
      </c>
      <c r="I1233" s="10">
        <v>0</v>
      </c>
      <c r="J1233" s="10">
        <v>0</v>
      </c>
      <c r="K1233" s="10">
        <v>0</v>
      </c>
      <c r="L1233" s="10">
        <v>0.40000001000000002</v>
      </c>
      <c r="M1233" s="10">
        <v>0</v>
      </c>
      <c r="N1233" s="10">
        <v>0.60000001999999997</v>
      </c>
      <c r="O1233" s="8" t="s">
        <v>57</v>
      </c>
      <c r="P1233" s="8" t="s">
        <v>31</v>
      </c>
      <c r="Q1233" s="8" t="s">
        <v>31</v>
      </c>
      <c r="R1233" s="8" t="s">
        <v>31</v>
      </c>
      <c r="S1233" s="8" t="s">
        <v>31</v>
      </c>
      <c r="T1233" s="8" t="s">
        <v>31</v>
      </c>
      <c r="U1233" s="8" t="s">
        <v>31</v>
      </c>
      <c r="V1233" s="8" t="s">
        <v>31</v>
      </c>
      <c r="W1233" s="8" t="str">
        <f>_xlfn.IFNA(VLOOKUP(A1233,[1]Sheet1!$A$1:$B$101,1,FALSE),"na")</f>
        <v>na</v>
      </c>
      <c r="X1233" s="8" t="s">
        <v>35</v>
      </c>
      <c r="Y1233" s="9">
        <v>580</v>
      </c>
      <c r="Z1233" s="9">
        <v>223.07693</v>
      </c>
      <c r="AA1233" s="9">
        <v>580</v>
      </c>
      <c r="AB1233" s="9">
        <v>362.5</v>
      </c>
    </row>
    <row r="1234" spans="1:28" x14ac:dyDescent="0.25">
      <c r="A1234" s="8" t="s">
        <v>2563</v>
      </c>
      <c r="B1234" s="8" t="s">
        <v>2564</v>
      </c>
      <c r="C1234" s="8" t="s">
        <v>30</v>
      </c>
      <c r="D1234" s="10">
        <v>2</v>
      </c>
      <c r="E1234" s="10">
        <v>1</v>
      </c>
      <c r="F1234" s="10">
        <v>1</v>
      </c>
      <c r="G1234" s="10">
        <v>1</v>
      </c>
      <c r="H1234" s="10">
        <v>1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8" t="s">
        <v>57</v>
      </c>
      <c r="P1234" s="8" t="s">
        <v>31</v>
      </c>
      <c r="Q1234" s="8" t="s">
        <v>31</v>
      </c>
      <c r="R1234" s="8" t="s">
        <v>31</v>
      </c>
      <c r="S1234" s="8" t="s">
        <v>31</v>
      </c>
      <c r="T1234" s="8" t="s">
        <v>31</v>
      </c>
      <c r="U1234" s="8" t="s">
        <v>31</v>
      </c>
      <c r="V1234" s="8" t="s">
        <v>31</v>
      </c>
      <c r="W1234" s="8" t="str">
        <f>_xlfn.IFNA(VLOOKUP(A1234,[1]Sheet1!$A$1:$B$101,1,FALSE),"na")</f>
        <v>na</v>
      </c>
      <c r="X1234" s="8" t="s">
        <v>35</v>
      </c>
      <c r="Y1234" s="9">
        <v>310</v>
      </c>
      <c r="Z1234" s="9">
        <v>155</v>
      </c>
      <c r="AA1234" s="9">
        <v>310</v>
      </c>
      <c r="AB1234" s="9">
        <v>310</v>
      </c>
    </row>
    <row r="1235" spans="1:28" x14ac:dyDescent="0.25">
      <c r="A1235" s="8" t="s">
        <v>2565</v>
      </c>
      <c r="B1235" s="8" t="s">
        <v>2566</v>
      </c>
      <c r="C1235" s="8" t="s">
        <v>30</v>
      </c>
      <c r="D1235" s="10">
        <v>1.6</v>
      </c>
      <c r="E1235" s="10">
        <v>1</v>
      </c>
      <c r="F1235" s="10">
        <v>0.60000001999999997</v>
      </c>
      <c r="G1235" s="10">
        <v>1</v>
      </c>
      <c r="H1235" s="10">
        <v>0.60000001999999997</v>
      </c>
      <c r="I1235" s="10">
        <v>0</v>
      </c>
      <c r="J1235" s="10">
        <v>0</v>
      </c>
      <c r="K1235" s="10">
        <v>0</v>
      </c>
      <c r="L1235" s="10">
        <v>0.60000001999999997</v>
      </c>
      <c r="M1235" s="10">
        <v>0</v>
      </c>
      <c r="N1235" s="10">
        <v>0.60000001999999997</v>
      </c>
      <c r="O1235" s="8" t="s">
        <v>31</v>
      </c>
      <c r="P1235" s="8" t="s">
        <v>31</v>
      </c>
      <c r="Q1235" s="8" t="s">
        <v>31</v>
      </c>
      <c r="R1235" s="8" t="s">
        <v>31</v>
      </c>
      <c r="S1235" s="8" t="s">
        <v>31</v>
      </c>
      <c r="T1235" s="8" t="s">
        <v>31</v>
      </c>
      <c r="U1235" s="8" t="s">
        <v>31</v>
      </c>
      <c r="V1235" s="8" t="s">
        <v>31</v>
      </c>
      <c r="W1235" s="8" t="str">
        <f>_xlfn.IFNA(VLOOKUP(A1235,[1]Sheet1!$A$1:$B$101,1,FALSE),"na")</f>
        <v>na</v>
      </c>
      <c r="X1235" s="8" t="s">
        <v>35</v>
      </c>
      <c r="Y1235" s="9">
        <v>572</v>
      </c>
      <c r="Z1235" s="9">
        <v>357.5</v>
      </c>
      <c r="AA1235" s="9">
        <v>572</v>
      </c>
      <c r="AB1235" s="9">
        <v>572</v>
      </c>
    </row>
    <row r="1236" spans="1:28" x14ac:dyDescent="0.25">
      <c r="A1236" s="8" t="s">
        <v>2567</v>
      </c>
      <c r="B1236" s="8" t="s">
        <v>2568</v>
      </c>
      <c r="C1236" s="8" t="s">
        <v>30</v>
      </c>
      <c r="D1236" s="10">
        <v>1.6</v>
      </c>
      <c r="E1236" s="10">
        <v>1</v>
      </c>
      <c r="F1236" s="10">
        <v>0.60000001999999997</v>
      </c>
      <c r="G1236" s="10">
        <v>1</v>
      </c>
      <c r="H1236" s="10">
        <v>0.60000001999999997</v>
      </c>
      <c r="I1236" s="10">
        <v>0</v>
      </c>
      <c r="J1236" s="10">
        <v>0</v>
      </c>
      <c r="K1236" s="10">
        <v>0</v>
      </c>
      <c r="L1236" s="10">
        <v>0.60000001999999997</v>
      </c>
      <c r="M1236" s="10">
        <v>0</v>
      </c>
      <c r="N1236" s="10">
        <v>0.60000001999999997</v>
      </c>
      <c r="O1236" s="8" t="s">
        <v>31</v>
      </c>
      <c r="P1236" s="8" t="s">
        <v>31</v>
      </c>
      <c r="Q1236" s="8" t="s">
        <v>31</v>
      </c>
      <c r="R1236" s="8" t="s">
        <v>31</v>
      </c>
      <c r="S1236" s="8" t="s">
        <v>31</v>
      </c>
      <c r="T1236" s="8" t="s">
        <v>31</v>
      </c>
      <c r="U1236" s="8" t="s">
        <v>31</v>
      </c>
      <c r="V1236" s="8" t="s">
        <v>31</v>
      </c>
      <c r="W1236" s="8" t="str">
        <f>_xlfn.IFNA(VLOOKUP(A1236,[1]Sheet1!$A$1:$B$101,1,FALSE),"na")</f>
        <v>na</v>
      </c>
      <c r="X1236" s="8" t="s">
        <v>35</v>
      </c>
      <c r="Y1236" s="9">
        <v>648</v>
      </c>
      <c r="Z1236" s="9">
        <v>405</v>
      </c>
      <c r="AA1236" s="9">
        <v>648</v>
      </c>
      <c r="AB1236" s="9">
        <v>648</v>
      </c>
    </row>
    <row r="1237" spans="1:28" x14ac:dyDescent="0.25">
      <c r="A1237" s="8" t="s">
        <v>2569</v>
      </c>
      <c r="B1237" s="8" t="s">
        <v>2570</v>
      </c>
      <c r="C1237" s="8" t="s">
        <v>30</v>
      </c>
      <c r="D1237" s="10">
        <v>2.5999998999999998</v>
      </c>
      <c r="E1237" s="10">
        <v>1</v>
      </c>
      <c r="F1237" s="10">
        <v>1.6</v>
      </c>
      <c r="G1237" s="10">
        <v>1</v>
      </c>
      <c r="H1237" s="10">
        <v>1.6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0.60000001999999997</v>
      </c>
      <c r="O1237" s="8" t="s">
        <v>31</v>
      </c>
      <c r="P1237" s="8" t="s">
        <v>31</v>
      </c>
      <c r="Q1237" s="8" t="s">
        <v>31</v>
      </c>
      <c r="R1237" s="8" t="s">
        <v>31</v>
      </c>
      <c r="S1237" s="8" t="s">
        <v>31</v>
      </c>
      <c r="T1237" s="8" t="s">
        <v>31</v>
      </c>
      <c r="U1237" s="8" t="s">
        <v>31</v>
      </c>
      <c r="V1237" s="8" t="s">
        <v>31</v>
      </c>
      <c r="W1237" s="8" t="str">
        <f>_xlfn.IFNA(VLOOKUP(A1237,[1]Sheet1!$A$1:$B$101,1,FALSE),"na")</f>
        <v>na</v>
      </c>
      <c r="X1237" s="8" t="s">
        <v>35</v>
      </c>
      <c r="Y1237" s="9">
        <v>542</v>
      </c>
      <c r="Z1237" s="9">
        <v>208.46154999999999</v>
      </c>
      <c r="AA1237" s="9">
        <v>542</v>
      </c>
      <c r="AB1237" s="9">
        <v>338.75</v>
      </c>
    </row>
    <row r="1238" spans="1:28" x14ac:dyDescent="0.25">
      <c r="A1238" s="8" t="s">
        <v>2571</v>
      </c>
      <c r="B1238" s="8" t="s">
        <v>2572</v>
      </c>
      <c r="C1238" s="8" t="s">
        <v>38</v>
      </c>
      <c r="D1238" s="10">
        <v>4.8000002000000004</v>
      </c>
      <c r="E1238" s="10">
        <v>2</v>
      </c>
      <c r="F1238" s="10">
        <v>2.8</v>
      </c>
      <c r="G1238" s="10">
        <v>2</v>
      </c>
      <c r="H1238" s="10">
        <v>2.8</v>
      </c>
      <c r="I1238" s="10">
        <v>0</v>
      </c>
      <c r="J1238" s="10">
        <v>0</v>
      </c>
      <c r="K1238" s="10">
        <v>0</v>
      </c>
      <c r="L1238" s="10">
        <v>0</v>
      </c>
      <c r="M1238" s="10">
        <v>0</v>
      </c>
      <c r="N1238" s="10">
        <v>0.80000000999999998</v>
      </c>
      <c r="O1238" s="8" t="s">
        <v>31</v>
      </c>
      <c r="P1238" s="8" t="s">
        <v>31</v>
      </c>
      <c r="Q1238" s="8" t="s">
        <v>31</v>
      </c>
      <c r="R1238" s="8" t="s">
        <v>31</v>
      </c>
      <c r="S1238" s="8" t="s">
        <v>31</v>
      </c>
      <c r="T1238" s="8" t="s">
        <v>31</v>
      </c>
      <c r="U1238" s="8" t="s">
        <v>31</v>
      </c>
      <c r="V1238" s="8" t="s">
        <v>31</v>
      </c>
      <c r="W1238" s="8" t="str">
        <f>_xlfn.IFNA(VLOOKUP(A1238,[1]Sheet1!$A$1:$B$101,1,FALSE),"na")</f>
        <v>na</v>
      </c>
      <c r="X1238" s="8" t="s">
        <v>35</v>
      </c>
      <c r="Y1238" s="9">
        <v>600</v>
      </c>
      <c r="Z1238" s="9">
        <v>124.99999</v>
      </c>
      <c r="AA1238" s="9">
        <v>300</v>
      </c>
      <c r="AB1238" s="9">
        <v>214.28572</v>
      </c>
    </row>
    <row r="1239" spans="1:28" x14ac:dyDescent="0.25">
      <c r="A1239" s="8" t="s">
        <v>2573</v>
      </c>
      <c r="B1239" s="8" t="s">
        <v>2574</v>
      </c>
      <c r="C1239" s="8" t="s">
        <v>30</v>
      </c>
      <c r="D1239" s="10">
        <v>2.4000001000000002</v>
      </c>
      <c r="E1239" s="10">
        <v>1</v>
      </c>
      <c r="F1239" s="10">
        <v>1.4</v>
      </c>
      <c r="G1239" s="10">
        <v>1</v>
      </c>
      <c r="H1239" s="10">
        <v>1.4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0.40000001000000002</v>
      </c>
      <c r="O1239" s="8" t="s">
        <v>57</v>
      </c>
      <c r="P1239" s="8" t="s">
        <v>31</v>
      </c>
      <c r="Q1239" s="8" t="s">
        <v>31</v>
      </c>
      <c r="R1239" s="8" t="s">
        <v>31</v>
      </c>
      <c r="S1239" s="8" t="s">
        <v>31</v>
      </c>
      <c r="T1239" s="8" t="s">
        <v>31</v>
      </c>
      <c r="U1239" s="8" t="s">
        <v>31</v>
      </c>
      <c r="V1239" s="8" t="s">
        <v>31</v>
      </c>
      <c r="W1239" s="8" t="str">
        <f>_xlfn.IFNA(VLOOKUP(A1239,[1]Sheet1!$A$1:$B$101,1,FALSE),"na")</f>
        <v>na</v>
      </c>
      <c r="X1239" s="8" t="s">
        <v>35</v>
      </c>
      <c r="Y1239" s="9">
        <v>154</v>
      </c>
      <c r="Z1239" s="9">
        <v>64.166663999999997</v>
      </c>
      <c r="AA1239" s="9">
        <v>154</v>
      </c>
      <c r="AB1239" s="9">
        <v>110</v>
      </c>
    </row>
    <row r="1240" spans="1:28" x14ac:dyDescent="0.25">
      <c r="A1240" s="8" t="s">
        <v>2575</v>
      </c>
      <c r="B1240" s="8" t="s">
        <v>2576</v>
      </c>
      <c r="C1240" s="8" t="s">
        <v>30</v>
      </c>
      <c r="D1240" s="10">
        <v>2.8</v>
      </c>
      <c r="E1240" s="10">
        <v>2</v>
      </c>
      <c r="F1240" s="10">
        <v>0.80000000999999998</v>
      </c>
      <c r="G1240" s="10">
        <v>2</v>
      </c>
      <c r="H1240" s="10">
        <v>0.80000000999999998</v>
      </c>
      <c r="I1240" s="10">
        <v>0</v>
      </c>
      <c r="J1240" s="10">
        <v>0</v>
      </c>
      <c r="K1240" s="10">
        <v>0</v>
      </c>
      <c r="L1240" s="10">
        <v>0.80000000999999998</v>
      </c>
      <c r="M1240" s="10">
        <v>0</v>
      </c>
      <c r="N1240" s="10">
        <v>0.80000000999999998</v>
      </c>
      <c r="O1240" s="8" t="s">
        <v>31</v>
      </c>
      <c r="P1240" s="8" t="s">
        <v>31</v>
      </c>
      <c r="Q1240" s="8" t="s">
        <v>31</v>
      </c>
      <c r="R1240" s="8" t="s">
        <v>31</v>
      </c>
      <c r="S1240" s="8" t="s">
        <v>31</v>
      </c>
      <c r="T1240" s="8" t="s">
        <v>31</v>
      </c>
      <c r="U1240" s="8" t="s">
        <v>31</v>
      </c>
      <c r="V1240" s="8" t="s">
        <v>31</v>
      </c>
      <c r="W1240" s="8" t="str">
        <f>_xlfn.IFNA(VLOOKUP(A1240,[1]Sheet1!$A$1:$B$101,1,FALSE),"na")</f>
        <v>na</v>
      </c>
      <c r="X1240" s="8" t="s">
        <v>35</v>
      </c>
      <c r="Y1240" s="9">
        <v>1106</v>
      </c>
      <c r="Z1240" s="9">
        <v>395</v>
      </c>
      <c r="AA1240" s="9">
        <v>553</v>
      </c>
      <c r="AB1240" s="9">
        <v>1106</v>
      </c>
    </row>
    <row r="1241" spans="1:28" x14ac:dyDescent="0.25">
      <c r="A1241" s="8" t="s">
        <v>2577</v>
      </c>
      <c r="B1241" s="8" t="s">
        <v>2578</v>
      </c>
      <c r="C1241" s="8" t="s">
        <v>38</v>
      </c>
      <c r="D1241" s="10">
        <v>1.3</v>
      </c>
      <c r="E1241" s="10">
        <v>1</v>
      </c>
      <c r="F1241" s="10">
        <v>0.30000000999999998</v>
      </c>
      <c r="G1241" s="10">
        <v>1</v>
      </c>
      <c r="H1241" s="10">
        <v>0.30000000999999998</v>
      </c>
      <c r="I1241" s="10">
        <v>0</v>
      </c>
      <c r="J1241" s="10">
        <v>0</v>
      </c>
      <c r="K1241" s="10">
        <v>0</v>
      </c>
      <c r="L1241" s="10">
        <v>0</v>
      </c>
      <c r="M1241" s="10">
        <v>0</v>
      </c>
      <c r="N1241" s="10">
        <v>0.30000000999999998</v>
      </c>
      <c r="O1241" s="8" t="s">
        <v>31</v>
      </c>
      <c r="P1241" s="8" t="s">
        <v>31</v>
      </c>
      <c r="Q1241" s="8" t="s">
        <v>31</v>
      </c>
      <c r="R1241" s="8" t="s">
        <v>31</v>
      </c>
      <c r="S1241" s="8" t="s">
        <v>31</v>
      </c>
      <c r="T1241" s="8" t="s">
        <v>31</v>
      </c>
      <c r="U1241" s="8" t="s">
        <v>31</v>
      </c>
      <c r="V1241" s="8" t="s">
        <v>31</v>
      </c>
      <c r="W1241" s="8" t="str">
        <f>_xlfn.IFNA(VLOOKUP(A1241,[1]Sheet1!$A$1:$B$101,1,FALSE),"na")</f>
        <v>na</v>
      </c>
      <c r="X1241" s="8" t="s">
        <v>35</v>
      </c>
      <c r="Y1241" s="9">
        <v>639</v>
      </c>
      <c r="Z1241" s="9">
        <v>491.53847999999999</v>
      </c>
      <c r="AA1241" s="9">
        <v>639</v>
      </c>
      <c r="AB1241" s="9">
        <v>639</v>
      </c>
    </row>
    <row r="1242" spans="1:28" x14ac:dyDescent="0.25">
      <c r="A1242" s="8" t="s">
        <v>2579</v>
      </c>
      <c r="B1242" s="8" t="s">
        <v>2580</v>
      </c>
      <c r="C1242" s="8" t="s">
        <v>30</v>
      </c>
      <c r="D1242" s="10">
        <v>2.5999998999999998</v>
      </c>
      <c r="E1242" s="10">
        <v>1</v>
      </c>
      <c r="F1242" s="10">
        <v>1.6</v>
      </c>
      <c r="G1242" s="10">
        <v>1</v>
      </c>
      <c r="H1242" s="10">
        <v>1.6</v>
      </c>
      <c r="I1242" s="10">
        <v>0</v>
      </c>
      <c r="J1242" s="10">
        <v>0</v>
      </c>
      <c r="K1242" s="10">
        <v>1</v>
      </c>
      <c r="L1242" s="10">
        <v>0</v>
      </c>
      <c r="M1242" s="10">
        <v>0</v>
      </c>
      <c r="N1242" s="10">
        <v>0.60000001999999997</v>
      </c>
      <c r="O1242" s="8" t="s">
        <v>31</v>
      </c>
      <c r="P1242" s="8" t="s">
        <v>31</v>
      </c>
      <c r="Q1242" s="8" t="s">
        <v>31</v>
      </c>
      <c r="R1242" s="8" t="s">
        <v>31</v>
      </c>
      <c r="S1242" s="8" t="s">
        <v>31</v>
      </c>
      <c r="T1242" s="8" t="s">
        <v>31</v>
      </c>
      <c r="U1242" s="8" t="s">
        <v>31</v>
      </c>
      <c r="V1242" s="8" t="s">
        <v>31</v>
      </c>
      <c r="W1242" s="8" t="str">
        <f>_xlfn.IFNA(VLOOKUP(A1242,[1]Sheet1!$A$1:$B$101,1,FALSE),"na")</f>
        <v>na</v>
      </c>
      <c r="X1242" s="8" t="s">
        <v>35</v>
      </c>
      <c r="Y1242" s="9">
        <v>618</v>
      </c>
      <c r="Z1242" s="9">
        <v>237.69232</v>
      </c>
      <c r="AA1242" s="9">
        <v>618</v>
      </c>
      <c r="AB1242" s="9">
        <v>386.25</v>
      </c>
    </row>
    <row r="1243" spans="1:28" x14ac:dyDescent="0.25">
      <c r="A1243" s="8" t="s">
        <v>2581</v>
      </c>
      <c r="B1243" s="8" t="s">
        <v>2582</v>
      </c>
      <c r="C1243" s="8" t="s">
        <v>38</v>
      </c>
      <c r="D1243" s="10">
        <v>2.4000001000000002</v>
      </c>
      <c r="E1243" s="10">
        <v>2</v>
      </c>
      <c r="F1243" s="10">
        <v>0.40000001000000002</v>
      </c>
      <c r="G1243" s="10">
        <v>2</v>
      </c>
      <c r="H1243" s="10">
        <v>0.40000001000000002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0.40000001000000002</v>
      </c>
      <c r="O1243" s="8" t="s">
        <v>31</v>
      </c>
      <c r="P1243" s="8" t="s">
        <v>31</v>
      </c>
      <c r="Q1243" s="8" t="s">
        <v>31</v>
      </c>
      <c r="R1243" s="8" t="s">
        <v>31</v>
      </c>
      <c r="S1243" s="8" t="s">
        <v>31</v>
      </c>
      <c r="T1243" s="8" t="s">
        <v>31</v>
      </c>
      <c r="U1243" s="8" t="s">
        <v>31</v>
      </c>
      <c r="V1243" s="8" t="s">
        <v>31</v>
      </c>
      <c r="W1243" s="8" t="str">
        <f>_xlfn.IFNA(VLOOKUP(A1243,[1]Sheet1!$A$1:$B$101,1,FALSE),"na")</f>
        <v>na</v>
      </c>
      <c r="X1243" s="8" t="s">
        <v>35</v>
      </c>
      <c r="Y1243" s="9">
        <v>1017</v>
      </c>
      <c r="Z1243" s="9">
        <v>423.74997000000002</v>
      </c>
      <c r="AA1243" s="9">
        <v>508.5</v>
      </c>
      <c r="AB1243" s="9">
        <v>1017</v>
      </c>
    </row>
    <row r="1244" spans="1:28" x14ac:dyDescent="0.25">
      <c r="A1244" s="8" t="s">
        <v>2583</v>
      </c>
      <c r="B1244" s="8" t="s">
        <v>2584</v>
      </c>
      <c r="C1244" s="8" t="s">
        <v>67</v>
      </c>
      <c r="D1244" s="10">
        <v>5.1999997999999996</v>
      </c>
      <c r="E1244" s="10">
        <v>3</v>
      </c>
      <c r="F1244" s="10">
        <v>2.2000000000000002</v>
      </c>
      <c r="G1244" s="10">
        <v>3</v>
      </c>
      <c r="H1244" s="10">
        <v>2.2000000000000002</v>
      </c>
      <c r="I1244" s="10">
        <v>0</v>
      </c>
      <c r="J1244" s="10">
        <v>0</v>
      </c>
      <c r="K1244" s="10">
        <v>0</v>
      </c>
      <c r="L1244" s="10">
        <v>0.2</v>
      </c>
      <c r="M1244" s="10">
        <v>0</v>
      </c>
      <c r="N1244" s="10">
        <v>0.2</v>
      </c>
      <c r="O1244" s="8" t="s">
        <v>57</v>
      </c>
      <c r="P1244" s="8" t="s">
        <v>31</v>
      </c>
      <c r="Q1244" s="8" t="s">
        <v>31</v>
      </c>
      <c r="R1244" s="8" t="s">
        <v>31</v>
      </c>
      <c r="S1244" s="8" t="s">
        <v>31</v>
      </c>
      <c r="T1244" s="8" t="s">
        <v>31</v>
      </c>
      <c r="U1244" s="8" t="s">
        <v>31</v>
      </c>
      <c r="V1244" s="8" t="s">
        <v>31</v>
      </c>
      <c r="W1244" s="8" t="str">
        <f>_xlfn.IFNA(VLOOKUP(A1244,[1]Sheet1!$A$1:$B$101,1,FALSE),"na")</f>
        <v>na</v>
      </c>
      <c r="X1244" s="8" t="s">
        <v>35</v>
      </c>
      <c r="Y1244" s="9">
        <v>1611</v>
      </c>
      <c r="Z1244" s="9">
        <v>309.80770999999999</v>
      </c>
      <c r="AA1244" s="9">
        <v>537</v>
      </c>
      <c r="AB1244" s="9">
        <v>732.27270999999996</v>
      </c>
    </row>
    <row r="1245" spans="1:28" x14ac:dyDescent="0.25">
      <c r="A1245" s="8" t="s">
        <v>2585</v>
      </c>
      <c r="B1245" s="8" t="s">
        <v>2586</v>
      </c>
      <c r="C1245" s="8" t="s">
        <v>38</v>
      </c>
      <c r="D1245" s="10">
        <v>2.4000001000000002</v>
      </c>
      <c r="E1245" s="10">
        <v>1</v>
      </c>
      <c r="F1245" s="10">
        <v>1.4</v>
      </c>
      <c r="G1245" s="10">
        <v>1</v>
      </c>
      <c r="H1245" s="10">
        <v>1.4</v>
      </c>
      <c r="I1245" s="10">
        <v>0</v>
      </c>
      <c r="J1245" s="10">
        <v>0</v>
      </c>
      <c r="K1245" s="10">
        <v>0</v>
      </c>
      <c r="L1245" s="10">
        <v>0</v>
      </c>
      <c r="M1245" s="10">
        <v>0</v>
      </c>
      <c r="N1245" s="10">
        <v>0.40000001000000002</v>
      </c>
      <c r="O1245" s="8" t="s">
        <v>57</v>
      </c>
      <c r="P1245" s="8" t="s">
        <v>31</v>
      </c>
      <c r="Q1245" s="8" t="s">
        <v>31</v>
      </c>
      <c r="R1245" s="8" t="s">
        <v>31</v>
      </c>
      <c r="S1245" s="8" t="s">
        <v>31</v>
      </c>
      <c r="T1245" s="8" t="s">
        <v>31</v>
      </c>
      <c r="U1245" s="8" t="s">
        <v>31</v>
      </c>
      <c r="V1245" s="8" t="s">
        <v>31</v>
      </c>
      <c r="W1245" s="8" t="str">
        <f>_xlfn.IFNA(VLOOKUP(A1245,[1]Sheet1!$A$1:$B$101,1,FALSE),"na")</f>
        <v>na</v>
      </c>
      <c r="X1245" s="8" t="s">
        <v>35</v>
      </c>
      <c r="Y1245" s="9">
        <v>546</v>
      </c>
      <c r="Z1245" s="9">
        <v>227.49997999999999</v>
      </c>
      <c r="AA1245" s="9">
        <v>546</v>
      </c>
      <c r="AB1245" s="9">
        <v>390</v>
      </c>
    </row>
    <row r="1246" spans="1:28" x14ac:dyDescent="0.25">
      <c r="A1246" s="8" t="s">
        <v>2587</v>
      </c>
      <c r="B1246" s="8" t="s">
        <v>2588</v>
      </c>
      <c r="C1246" s="8" t="s">
        <v>30</v>
      </c>
      <c r="D1246" s="10">
        <v>2.4000001000000002</v>
      </c>
      <c r="E1246" s="10">
        <v>1</v>
      </c>
      <c r="F1246" s="10">
        <v>1.4</v>
      </c>
      <c r="G1246" s="10">
        <v>1</v>
      </c>
      <c r="H1246" s="10">
        <v>1.4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0.40000001000000002</v>
      </c>
      <c r="O1246" s="8" t="s">
        <v>57</v>
      </c>
      <c r="P1246" s="8" t="s">
        <v>31</v>
      </c>
      <c r="Q1246" s="8" t="s">
        <v>31</v>
      </c>
      <c r="R1246" s="8" t="s">
        <v>31</v>
      </c>
      <c r="S1246" s="8" t="s">
        <v>31</v>
      </c>
      <c r="T1246" s="8" t="s">
        <v>31</v>
      </c>
      <c r="U1246" s="8" t="s">
        <v>31</v>
      </c>
      <c r="V1246" s="8" t="s">
        <v>31</v>
      </c>
      <c r="W1246" s="8" t="str">
        <f>_xlfn.IFNA(VLOOKUP(A1246,[1]Sheet1!$A$1:$B$101,1,FALSE),"na")</f>
        <v>na</v>
      </c>
      <c r="X1246" s="8" t="s">
        <v>35</v>
      </c>
      <c r="Y1246" s="9">
        <v>502</v>
      </c>
      <c r="Z1246" s="9">
        <v>209.16666000000001</v>
      </c>
      <c r="AA1246" s="9">
        <v>502</v>
      </c>
      <c r="AB1246" s="9">
        <v>358.57144</v>
      </c>
    </row>
    <row r="1247" spans="1:28" x14ac:dyDescent="0.25">
      <c r="A1247" s="8" t="s">
        <v>2589</v>
      </c>
      <c r="B1247" s="8" t="s">
        <v>2590</v>
      </c>
      <c r="C1247" s="8" t="s">
        <v>38</v>
      </c>
      <c r="D1247" s="10">
        <v>1.6</v>
      </c>
      <c r="E1247" s="10">
        <v>1</v>
      </c>
      <c r="F1247" s="10">
        <v>0.60000001999999997</v>
      </c>
      <c r="G1247" s="10">
        <v>1</v>
      </c>
      <c r="H1247" s="10">
        <v>0.60000001999999997</v>
      </c>
      <c r="I1247" s="10">
        <v>0</v>
      </c>
      <c r="J1247" s="10">
        <v>0</v>
      </c>
      <c r="K1247" s="10">
        <v>0</v>
      </c>
      <c r="L1247" s="10">
        <v>0</v>
      </c>
      <c r="M1247" s="10">
        <v>0</v>
      </c>
      <c r="N1247" s="10">
        <v>0.60000001999999997</v>
      </c>
      <c r="O1247" s="8" t="s">
        <v>31</v>
      </c>
      <c r="P1247" s="8" t="s">
        <v>31</v>
      </c>
      <c r="Q1247" s="8" t="s">
        <v>31</v>
      </c>
      <c r="R1247" s="8" t="s">
        <v>31</v>
      </c>
      <c r="S1247" s="8" t="s">
        <v>31</v>
      </c>
      <c r="T1247" s="8" t="s">
        <v>31</v>
      </c>
      <c r="U1247" s="8" t="s">
        <v>31</v>
      </c>
      <c r="V1247" s="8" t="s">
        <v>31</v>
      </c>
      <c r="W1247" s="8" t="str">
        <f>_xlfn.IFNA(VLOOKUP(A1247,[1]Sheet1!$A$1:$B$101,1,FALSE),"na")</f>
        <v>na</v>
      </c>
      <c r="X1247" s="8" t="s">
        <v>35</v>
      </c>
      <c r="Y1247" s="9">
        <v>409</v>
      </c>
      <c r="Z1247" s="9">
        <v>255.625</v>
      </c>
      <c r="AA1247" s="9">
        <v>409</v>
      </c>
      <c r="AB1247" s="9">
        <v>409</v>
      </c>
    </row>
    <row r="1248" spans="1:28" x14ac:dyDescent="0.25">
      <c r="A1248" s="8" t="s">
        <v>2591</v>
      </c>
      <c r="B1248" s="8" t="s">
        <v>2592</v>
      </c>
      <c r="C1248" s="8" t="s">
        <v>30</v>
      </c>
      <c r="D1248" s="10">
        <v>1.6</v>
      </c>
      <c r="E1248" s="10">
        <v>1</v>
      </c>
      <c r="F1248" s="10">
        <v>0.60000001999999997</v>
      </c>
      <c r="G1248" s="10">
        <v>1</v>
      </c>
      <c r="H1248" s="10">
        <v>0.60000001999999997</v>
      </c>
      <c r="I1248" s="10">
        <v>0</v>
      </c>
      <c r="J1248" s="10">
        <v>0</v>
      </c>
      <c r="K1248" s="10">
        <v>0</v>
      </c>
      <c r="L1248" s="10">
        <v>0.2</v>
      </c>
      <c r="M1248" s="10">
        <v>0</v>
      </c>
      <c r="N1248" s="10">
        <v>0.60000001999999997</v>
      </c>
      <c r="O1248" s="8" t="s">
        <v>31</v>
      </c>
      <c r="P1248" s="8" t="s">
        <v>31</v>
      </c>
      <c r="Q1248" s="8" t="s">
        <v>31</v>
      </c>
      <c r="R1248" s="8" t="s">
        <v>31</v>
      </c>
      <c r="S1248" s="8" t="s">
        <v>31</v>
      </c>
      <c r="T1248" s="8" t="s">
        <v>31</v>
      </c>
      <c r="U1248" s="8" t="s">
        <v>31</v>
      </c>
      <c r="V1248" s="8" t="s">
        <v>31</v>
      </c>
      <c r="W1248" s="8" t="str">
        <f>_xlfn.IFNA(VLOOKUP(A1248,[1]Sheet1!$A$1:$B$101,1,FALSE),"na")</f>
        <v>na</v>
      </c>
      <c r="X1248" s="8" t="s">
        <v>1707</v>
      </c>
      <c r="Y1248" s="9">
        <v>426</v>
      </c>
      <c r="Z1248" s="9">
        <v>266.25</v>
      </c>
      <c r="AA1248" s="9">
        <v>426</v>
      </c>
      <c r="AB1248" s="9">
        <v>426</v>
      </c>
    </row>
    <row r="1249" spans="1:28" x14ac:dyDescent="0.25">
      <c r="A1249" s="8" t="s">
        <v>2593</v>
      </c>
      <c r="B1249" s="8" t="s">
        <v>2594</v>
      </c>
      <c r="C1249" s="8" t="s">
        <v>67</v>
      </c>
      <c r="D1249" s="10">
        <v>4.1999997999999996</v>
      </c>
      <c r="E1249" s="10">
        <v>2</v>
      </c>
      <c r="F1249" s="10">
        <v>2.2000000000000002</v>
      </c>
      <c r="G1249" s="10">
        <v>2</v>
      </c>
      <c r="H1249" s="10">
        <v>2.2000000000000002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0.2</v>
      </c>
      <c r="O1249" s="8" t="s">
        <v>57</v>
      </c>
      <c r="P1249" s="8" t="s">
        <v>31</v>
      </c>
      <c r="Q1249" s="8" t="s">
        <v>31</v>
      </c>
      <c r="R1249" s="8" t="s">
        <v>31</v>
      </c>
      <c r="S1249" s="8" t="s">
        <v>31</v>
      </c>
      <c r="T1249" s="8" t="s">
        <v>31</v>
      </c>
      <c r="U1249" s="8" t="s">
        <v>31</v>
      </c>
      <c r="V1249" s="8" t="s">
        <v>31</v>
      </c>
      <c r="W1249" s="8" t="str">
        <f>_xlfn.IFNA(VLOOKUP(A1249,[1]Sheet1!$A$1:$B$101,1,FALSE),"na")</f>
        <v>na</v>
      </c>
      <c r="X1249" s="8" t="s">
        <v>35</v>
      </c>
      <c r="Y1249" s="9">
        <v>906</v>
      </c>
      <c r="Z1249" s="9">
        <v>215.71429000000001</v>
      </c>
      <c r="AA1249" s="9">
        <v>453</v>
      </c>
      <c r="AB1249" s="9">
        <v>411.81817999999998</v>
      </c>
    </row>
    <row r="1250" spans="1:28" x14ac:dyDescent="0.25">
      <c r="A1250" s="8" t="s">
        <v>2595</v>
      </c>
      <c r="B1250" s="8" t="s">
        <v>2596</v>
      </c>
      <c r="C1250" s="8" t="s">
        <v>38</v>
      </c>
      <c r="D1250" s="10">
        <v>3.4000001000000002</v>
      </c>
      <c r="E1250" s="10">
        <v>2</v>
      </c>
      <c r="F1250" s="10">
        <v>1.4</v>
      </c>
      <c r="G1250" s="10">
        <v>2</v>
      </c>
      <c r="H1250" s="10">
        <v>1.4</v>
      </c>
      <c r="I1250" s="10">
        <v>0</v>
      </c>
      <c r="J1250" s="10">
        <v>0</v>
      </c>
      <c r="K1250" s="10">
        <v>0</v>
      </c>
      <c r="L1250" s="10">
        <v>0</v>
      </c>
      <c r="M1250" s="10">
        <v>0</v>
      </c>
      <c r="N1250" s="10">
        <v>0.40000001000000002</v>
      </c>
      <c r="O1250" s="8" t="s">
        <v>31</v>
      </c>
      <c r="P1250" s="8" t="s">
        <v>31</v>
      </c>
      <c r="Q1250" s="8" t="s">
        <v>31</v>
      </c>
      <c r="R1250" s="8" t="s">
        <v>31</v>
      </c>
      <c r="S1250" s="8" t="s">
        <v>31</v>
      </c>
      <c r="T1250" s="8" t="s">
        <v>31</v>
      </c>
      <c r="U1250" s="8" t="s">
        <v>31</v>
      </c>
      <c r="V1250" s="8" t="s">
        <v>31</v>
      </c>
      <c r="W1250" s="8" t="str">
        <f>_xlfn.IFNA(VLOOKUP(A1250,[1]Sheet1!$A$1:$B$101,1,FALSE),"na")</f>
        <v>na</v>
      </c>
      <c r="X1250" s="8" t="s">
        <v>35</v>
      </c>
      <c r="Y1250" s="9">
        <v>669</v>
      </c>
      <c r="Z1250" s="9">
        <v>196.76469</v>
      </c>
      <c r="AA1250" s="9">
        <v>334.5</v>
      </c>
      <c r="AB1250" s="9">
        <v>477.85714999999999</v>
      </c>
    </row>
    <row r="1251" spans="1:28" x14ac:dyDescent="0.25">
      <c r="A1251" s="8" t="s">
        <v>2597</v>
      </c>
      <c r="B1251" s="8" t="s">
        <v>2598</v>
      </c>
      <c r="C1251" s="8" t="s">
        <v>67</v>
      </c>
      <c r="D1251" s="10">
        <v>5.1999997999999996</v>
      </c>
      <c r="E1251" s="10">
        <v>3</v>
      </c>
      <c r="F1251" s="10">
        <v>2.2000000000000002</v>
      </c>
      <c r="G1251" s="10">
        <v>3</v>
      </c>
      <c r="H1251" s="10">
        <v>2.2000000000000002</v>
      </c>
      <c r="I1251" s="10">
        <v>0</v>
      </c>
      <c r="J1251" s="10">
        <v>0</v>
      </c>
      <c r="K1251" s="10">
        <v>0</v>
      </c>
      <c r="L1251" s="10">
        <v>0.2</v>
      </c>
      <c r="M1251" s="10">
        <v>0</v>
      </c>
      <c r="N1251" s="10">
        <v>0.2</v>
      </c>
      <c r="O1251" s="8" t="s">
        <v>31</v>
      </c>
      <c r="P1251" s="8" t="s">
        <v>31</v>
      </c>
      <c r="Q1251" s="8" t="s">
        <v>31</v>
      </c>
      <c r="R1251" s="8" t="s">
        <v>31</v>
      </c>
      <c r="S1251" s="8" t="s">
        <v>31</v>
      </c>
      <c r="T1251" s="8" t="s">
        <v>31</v>
      </c>
      <c r="U1251" s="8" t="s">
        <v>31</v>
      </c>
      <c r="V1251" s="8" t="s">
        <v>31</v>
      </c>
      <c r="W1251" s="8" t="str">
        <f>_xlfn.IFNA(VLOOKUP(A1251,[1]Sheet1!$A$1:$B$101,1,FALSE),"na")</f>
        <v>na</v>
      </c>
      <c r="X1251" s="8" t="s">
        <v>35</v>
      </c>
      <c r="Y1251" s="9">
        <v>1484</v>
      </c>
      <c r="Z1251" s="9">
        <v>285.38461000000001</v>
      </c>
      <c r="AA1251" s="9">
        <v>494.66665999999998</v>
      </c>
      <c r="AB1251" s="9">
        <v>674.54540999999995</v>
      </c>
    </row>
    <row r="1252" spans="1:28" x14ac:dyDescent="0.25">
      <c r="A1252" s="8" t="s">
        <v>2599</v>
      </c>
      <c r="B1252" s="8" t="s">
        <v>2600</v>
      </c>
      <c r="C1252" s="8" t="s">
        <v>30</v>
      </c>
      <c r="D1252" s="10">
        <v>2.4000001000000002</v>
      </c>
      <c r="E1252" s="10">
        <v>1</v>
      </c>
      <c r="F1252" s="10">
        <v>1.4</v>
      </c>
      <c r="G1252" s="10">
        <v>1</v>
      </c>
      <c r="H1252" s="10">
        <v>1.4</v>
      </c>
      <c r="I1252" s="10">
        <v>0</v>
      </c>
      <c r="J1252" s="10">
        <v>0</v>
      </c>
      <c r="K1252" s="10">
        <v>0</v>
      </c>
      <c r="L1252" s="10">
        <v>0.1</v>
      </c>
      <c r="M1252" s="10">
        <v>0</v>
      </c>
      <c r="N1252" s="10">
        <v>0.40000001000000002</v>
      </c>
      <c r="O1252" s="8" t="s">
        <v>31</v>
      </c>
      <c r="P1252" s="8" t="s">
        <v>31</v>
      </c>
      <c r="Q1252" s="8" t="s">
        <v>31</v>
      </c>
      <c r="R1252" s="8" t="s">
        <v>31</v>
      </c>
      <c r="S1252" s="8" t="s">
        <v>31</v>
      </c>
      <c r="T1252" s="8" t="s">
        <v>31</v>
      </c>
      <c r="U1252" s="8" t="s">
        <v>31</v>
      </c>
      <c r="V1252" s="8" t="s">
        <v>31</v>
      </c>
      <c r="W1252" s="8" t="str">
        <f>_xlfn.IFNA(VLOOKUP(A1252,[1]Sheet1!$A$1:$B$101,1,FALSE),"na")</f>
        <v>na</v>
      </c>
      <c r="X1252" s="8" t="s">
        <v>35</v>
      </c>
      <c r="Y1252" s="9">
        <v>570</v>
      </c>
      <c r="Z1252" s="9">
        <v>237.49997999999999</v>
      </c>
      <c r="AA1252" s="9">
        <v>570</v>
      </c>
      <c r="AB1252" s="9">
        <v>407.14285000000001</v>
      </c>
    </row>
    <row r="1253" spans="1:28" x14ac:dyDescent="0.25">
      <c r="A1253" s="8" t="s">
        <v>2601</v>
      </c>
      <c r="B1253" s="8" t="s">
        <v>2602</v>
      </c>
      <c r="C1253" s="8" t="s">
        <v>67</v>
      </c>
      <c r="D1253" s="10">
        <v>4.1999997999999996</v>
      </c>
      <c r="E1253" s="10">
        <v>3</v>
      </c>
      <c r="F1253" s="10">
        <v>1.2</v>
      </c>
      <c r="G1253" s="10">
        <v>3</v>
      </c>
      <c r="H1253" s="10">
        <v>1.2</v>
      </c>
      <c r="I1253" s="10">
        <v>0</v>
      </c>
      <c r="J1253" s="10">
        <v>0</v>
      </c>
      <c r="K1253" s="10">
        <v>0</v>
      </c>
      <c r="L1253" s="10">
        <v>0</v>
      </c>
      <c r="M1253" s="10">
        <v>0</v>
      </c>
      <c r="N1253" s="10">
        <v>0.2</v>
      </c>
      <c r="O1253" s="8" t="s">
        <v>57</v>
      </c>
      <c r="P1253" s="8" t="s">
        <v>31</v>
      </c>
      <c r="Q1253" s="8" t="s">
        <v>31</v>
      </c>
      <c r="R1253" s="8" t="s">
        <v>31</v>
      </c>
      <c r="S1253" s="8" t="s">
        <v>31</v>
      </c>
      <c r="T1253" s="8" t="s">
        <v>31</v>
      </c>
      <c r="U1253" s="8" t="s">
        <v>31</v>
      </c>
      <c r="V1253" s="8" t="s">
        <v>31</v>
      </c>
      <c r="W1253" s="8" t="str">
        <f>_xlfn.IFNA(VLOOKUP(A1253,[1]Sheet1!$A$1:$B$101,1,FALSE),"na")</f>
        <v>na</v>
      </c>
      <c r="X1253" s="8" t="s">
        <v>35</v>
      </c>
      <c r="Y1253" s="9">
        <v>830</v>
      </c>
      <c r="Z1253" s="9">
        <v>197.61904999999999</v>
      </c>
      <c r="AA1253" s="9">
        <v>276.66665999999998</v>
      </c>
      <c r="AB1253" s="9">
        <v>691.66663000000005</v>
      </c>
    </row>
    <row r="1254" spans="1:28" x14ac:dyDescent="0.25">
      <c r="A1254" s="8" t="s">
        <v>2603</v>
      </c>
      <c r="B1254" s="8" t="s">
        <v>2604</v>
      </c>
      <c r="C1254" s="8" t="s">
        <v>38</v>
      </c>
      <c r="D1254" s="10">
        <v>2.5999998999999998</v>
      </c>
      <c r="E1254" s="10">
        <v>2</v>
      </c>
      <c r="F1254" s="10">
        <v>0.60000001999999997</v>
      </c>
      <c r="G1254" s="10">
        <v>2</v>
      </c>
      <c r="H1254" s="10">
        <v>0.60000001999999997</v>
      </c>
      <c r="I1254" s="10">
        <v>0</v>
      </c>
      <c r="J1254" s="10">
        <v>0</v>
      </c>
      <c r="K1254" s="10">
        <v>0</v>
      </c>
      <c r="L1254" s="10">
        <v>0</v>
      </c>
      <c r="M1254" s="10">
        <v>0</v>
      </c>
      <c r="N1254" s="10">
        <v>0.60000001999999997</v>
      </c>
      <c r="O1254" s="8" t="s">
        <v>31</v>
      </c>
      <c r="P1254" s="8" t="s">
        <v>31</v>
      </c>
      <c r="Q1254" s="8" t="s">
        <v>31</v>
      </c>
      <c r="R1254" s="8" t="s">
        <v>31</v>
      </c>
      <c r="S1254" s="8" t="s">
        <v>31</v>
      </c>
      <c r="T1254" s="8" t="s">
        <v>31</v>
      </c>
      <c r="U1254" s="8" t="s">
        <v>31</v>
      </c>
      <c r="V1254" s="8" t="s">
        <v>31</v>
      </c>
      <c r="W1254" s="8" t="str">
        <f>_xlfn.IFNA(VLOOKUP(A1254,[1]Sheet1!$A$1:$B$101,1,FALSE),"na")</f>
        <v>na</v>
      </c>
      <c r="X1254" s="8" t="s">
        <v>35</v>
      </c>
      <c r="Y1254" s="9">
        <v>833</v>
      </c>
      <c r="Z1254" s="9">
        <v>320.38461000000001</v>
      </c>
      <c r="AA1254" s="9">
        <v>416.5</v>
      </c>
      <c r="AB1254" s="9">
        <v>833</v>
      </c>
    </row>
    <row r="1255" spans="1:28" x14ac:dyDescent="0.25">
      <c r="A1255" s="8" t="s">
        <v>2605</v>
      </c>
      <c r="B1255" s="8" t="s">
        <v>2606</v>
      </c>
      <c r="C1255" s="8" t="s">
        <v>30</v>
      </c>
      <c r="D1255" s="10">
        <v>2.4000001000000002</v>
      </c>
      <c r="E1255" s="10">
        <v>1</v>
      </c>
      <c r="F1255" s="10">
        <v>1.4</v>
      </c>
      <c r="G1255" s="10">
        <v>1</v>
      </c>
      <c r="H1255" s="10">
        <v>1.4</v>
      </c>
      <c r="I1255" s="10">
        <v>0</v>
      </c>
      <c r="J1255" s="10">
        <v>0</v>
      </c>
      <c r="K1255" s="10">
        <v>0</v>
      </c>
      <c r="L1255" s="10">
        <v>0.40000001000000002</v>
      </c>
      <c r="M1255" s="10">
        <v>0</v>
      </c>
      <c r="N1255" s="10">
        <v>0.40000001000000002</v>
      </c>
      <c r="O1255" s="8" t="s">
        <v>31</v>
      </c>
      <c r="P1255" s="8" t="s">
        <v>31</v>
      </c>
      <c r="Q1255" s="8" t="s">
        <v>31</v>
      </c>
      <c r="R1255" s="8" t="s">
        <v>31</v>
      </c>
      <c r="S1255" s="8" t="s">
        <v>31</v>
      </c>
      <c r="T1255" s="8" t="s">
        <v>31</v>
      </c>
      <c r="U1255" s="8" t="s">
        <v>31</v>
      </c>
      <c r="V1255" s="8" t="s">
        <v>31</v>
      </c>
      <c r="W1255" s="8" t="str">
        <f>_xlfn.IFNA(VLOOKUP(A1255,[1]Sheet1!$A$1:$B$101,1,FALSE),"na")</f>
        <v>na</v>
      </c>
      <c r="X1255" s="8" t="s">
        <v>1707</v>
      </c>
      <c r="Y1255" s="9">
        <v>550</v>
      </c>
      <c r="Z1255" s="9">
        <v>229.16666000000001</v>
      </c>
      <c r="AA1255" s="9">
        <v>550</v>
      </c>
      <c r="AB1255" s="9">
        <v>392.85714999999999</v>
      </c>
    </row>
    <row r="1256" spans="1:28" x14ac:dyDescent="0.25">
      <c r="A1256" s="8" t="s">
        <v>2607</v>
      </c>
      <c r="B1256" s="8" t="s">
        <v>2608</v>
      </c>
      <c r="C1256" s="8" t="s">
        <v>30</v>
      </c>
      <c r="D1256" s="10">
        <v>2.2000000000000002</v>
      </c>
      <c r="E1256" s="10">
        <v>1</v>
      </c>
      <c r="F1256" s="10">
        <v>1.2</v>
      </c>
      <c r="G1256" s="10">
        <v>1</v>
      </c>
      <c r="H1256" s="10">
        <v>1.2</v>
      </c>
      <c r="I1256" s="10">
        <v>0</v>
      </c>
      <c r="J1256" s="10">
        <v>0</v>
      </c>
      <c r="K1256" s="10">
        <v>0</v>
      </c>
      <c r="L1256" s="10">
        <v>0</v>
      </c>
      <c r="M1256" s="10">
        <v>0</v>
      </c>
      <c r="N1256" s="10">
        <v>0.2</v>
      </c>
      <c r="O1256" s="8" t="s">
        <v>57</v>
      </c>
      <c r="P1256" s="8" t="s">
        <v>31</v>
      </c>
      <c r="Q1256" s="8" t="s">
        <v>31</v>
      </c>
      <c r="R1256" s="8" t="s">
        <v>31</v>
      </c>
      <c r="S1256" s="8" t="s">
        <v>31</v>
      </c>
      <c r="T1256" s="8" t="s">
        <v>31</v>
      </c>
      <c r="U1256" s="8" t="s">
        <v>31</v>
      </c>
      <c r="V1256" s="8" t="s">
        <v>31</v>
      </c>
      <c r="W1256" s="8" t="str">
        <f>_xlfn.IFNA(VLOOKUP(A1256,[1]Sheet1!$A$1:$B$101,1,FALSE),"na")</f>
        <v>na</v>
      </c>
      <c r="X1256" s="8" t="s">
        <v>35</v>
      </c>
      <c r="Y1256" s="9">
        <v>526</v>
      </c>
      <c r="Z1256" s="9">
        <v>239.0909</v>
      </c>
      <c r="AA1256" s="9">
        <v>526</v>
      </c>
      <c r="AB1256" s="9">
        <v>438.33330999999998</v>
      </c>
    </row>
    <row r="1257" spans="1:28" x14ac:dyDescent="0.25">
      <c r="A1257" s="8" t="s">
        <v>2609</v>
      </c>
      <c r="B1257" s="8" t="s">
        <v>2610</v>
      </c>
      <c r="C1257" s="8" t="s">
        <v>62</v>
      </c>
      <c r="D1257" s="10">
        <v>4.1999997999999996</v>
      </c>
      <c r="E1257" s="10">
        <v>3</v>
      </c>
      <c r="F1257" s="10">
        <v>1.2</v>
      </c>
      <c r="G1257" s="10">
        <v>3</v>
      </c>
      <c r="H1257" s="10">
        <v>1.2</v>
      </c>
      <c r="I1257" s="10">
        <v>0</v>
      </c>
      <c r="J1257" s="10">
        <v>0</v>
      </c>
      <c r="K1257" s="10">
        <v>0</v>
      </c>
      <c r="L1257" s="10">
        <v>0.2</v>
      </c>
      <c r="M1257" s="10">
        <v>0</v>
      </c>
      <c r="N1257" s="10">
        <v>0.2</v>
      </c>
      <c r="O1257" s="8" t="s">
        <v>31</v>
      </c>
      <c r="P1257" s="8" t="s">
        <v>31</v>
      </c>
      <c r="Q1257" s="8" t="s">
        <v>31</v>
      </c>
      <c r="R1257" s="8" t="s">
        <v>31</v>
      </c>
      <c r="S1257" s="8" t="s">
        <v>31</v>
      </c>
      <c r="T1257" s="8" t="s">
        <v>31</v>
      </c>
      <c r="U1257" s="8" t="s">
        <v>31</v>
      </c>
      <c r="V1257" s="8" t="s">
        <v>57</v>
      </c>
      <c r="W1257" s="8" t="str">
        <f>_xlfn.IFNA(VLOOKUP(A1257,[1]Sheet1!$A$1:$B$101,1,FALSE),"na")</f>
        <v>na</v>
      </c>
      <c r="X1257" s="8" t="s">
        <v>35</v>
      </c>
      <c r="Y1257" s="9">
        <v>319</v>
      </c>
      <c r="Z1257" s="9">
        <v>75.952385000000007</v>
      </c>
      <c r="AA1257" s="9">
        <v>106.33334000000001</v>
      </c>
      <c r="AB1257" s="9">
        <v>265.83330999999998</v>
      </c>
    </row>
    <row r="1258" spans="1:28" x14ac:dyDescent="0.25">
      <c r="A1258" s="8" t="s">
        <v>2611</v>
      </c>
      <c r="B1258" s="8" t="s">
        <v>2612</v>
      </c>
      <c r="C1258" s="8" t="s">
        <v>62</v>
      </c>
      <c r="D1258" s="10">
        <v>1.1333299999999999</v>
      </c>
      <c r="E1258" s="10">
        <v>0</v>
      </c>
      <c r="F1258" s="10">
        <v>1.1333299999999999</v>
      </c>
      <c r="G1258" s="10">
        <v>0</v>
      </c>
      <c r="H1258" s="10">
        <v>1.1333299999999999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0.13333</v>
      </c>
      <c r="O1258" s="8" t="s">
        <v>31</v>
      </c>
      <c r="P1258" s="8" t="s">
        <v>31</v>
      </c>
      <c r="Q1258" s="8" t="s">
        <v>31</v>
      </c>
      <c r="R1258" s="8" t="s">
        <v>31</v>
      </c>
      <c r="S1258" s="8" t="s">
        <v>31</v>
      </c>
      <c r="T1258" s="8" t="s">
        <v>31</v>
      </c>
      <c r="U1258" s="8" t="s">
        <v>31</v>
      </c>
      <c r="V1258" s="8" t="s">
        <v>31</v>
      </c>
      <c r="W1258" s="8" t="str">
        <f>_xlfn.IFNA(VLOOKUP(A1258,[1]Sheet1!$A$1:$B$101,1,FALSE),"na")</f>
        <v>na</v>
      </c>
      <c r="X1258" s="8" t="s">
        <v>35</v>
      </c>
      <c r="Y1258" s="9">
        <v>248</v>
      </c>
      <c r="Z1258" s="9">
        <v>218.82417000000001</v>
      </c>
      <c r="AA1258" s="9">
        <v>248</v>
      </c>
      <c r="AB1258" s="9">
        <v>218.82417000000001</v>
      </c>
    </row>
    <row r="1259" spans="1:28" x14ac:dyDescent="0.25">
      <c r="A1259" s="8" t="s">
        <v>2613</v>
      </c>
      <c r="B1259" s="8" t="s">
        <v>2614</v>
      </c>
      <c r="C1259" s="8" t="s">
        <v>80</v>
      </c>
      <c r="D1259" s="10">
        <v>7.1999997999999996</v>
      </c>
      <c r="E1259" s="10">
        <v>6</v>
      </c>
      <c r="F1259" s="10">
        <v>1.2</v>
      </c>
      <c r="G1259" s="10">
        <v>6</v>
      </c>
      <c r="H1259" s="10">
        <v>1.2</v>
      </c>
      <c r="I1259" s="10">
        <v>0</v>
      </c>
      <c r="J1259" s="10">
        <v>0</v>
      </c>
      <c r="K1259" s="10">
        <v>0</v>
      </c>
      <c r="L1259" s="10">
        <v>0</v>
      </c>
      <c r="M1259" s="10">
        <v>0</v>
      </c>
      <c r="N1259" s="10">
        <v>0.2</v>
      </c>
      <c r="O1259" s="8" t="s">
        <v>31</v>
      </c>
      <c r="P1259" s="8" t="s">
        <v>31</v>
      </c>
      <c r="Q1259" s="8" t="s">
        <v>31</v>
      </c>
      <c r="R1259" s="8" t="s">
        <v>31</v>
      </c>
      <c r="S1259" s="8" t="s">
        <v>31</v>
      </c>
      <c r="T1259" s="8" t="s">
        <v>57</v>
      </c>
      <c r="U1259" s="8" t="s">
        <v>31</v>
      </c>
      <c r="V1259" s="8" t="s">
        <v>31</v>
      </c>
      <c r="W1259" s="8" t="str">
        <f>_xlfn.IFNA(VLOOKUP(A1259,[1]Sheet1!$A$1:$B$101,1,FALSE),"na")</f>
        <v>na</v>
      </c>
      <c r="X1259" s="8" t="s">
        <v>35</v>
      </c>
      <c r="Y1259" s="9">
        <v>1178</v>
      </c>
      <c r="Z1259" s="9">
        <v>163.61111</v>
      </c>
      <c r="AA1259" s="9">
        <v>196.33332999999999</v>
      </c>
      <c r="AB1259" s="9">
        <v>981.66663000000005</v>
      </c>
    </row>
    <row r="1260" spans="1:28" x14ac:dyDescent="0.25">
      <c r="A1260" s="8" t="s">
        <v>2615</v>
      </c>
      <c r="B1260" s="8" t="s">
        <v>2616</v>
      </c>
      <c r="C1260" s="8" t="s">
        <v>30</v>
      </c>
      <c r="D1260" s="10">
        <v>1.2</v>
      </c>
      <c r="E1260" s="10">
        <v>1</v>
      </c>
      <c r="F1260" s="10">
        <v>0.2</v>
      </c>
      <c r="G1260" s="10">
        <v>1</v>
      </c>
      <c r="H1260" s="10">
        <v>0.2</v>
      </c>
      <c r="I1260" s="10">
        <v>0</v>
      </c>
      <c r="J1260" s="10">
        <v>0</v>
      </c>
      <c r="K1260" s="10">
        <v>0</v>
      </c>
      <c r="L1260" s="10">
        <v>0.2</v>
      </c>
      <c r="M1260" s="10">
        <v>0</v>
      </c>
      <c r="N1260" s="10">
        <v>0.2</v>
      </c>
      <c r="O1260" s="8" t="s">
        <v>57</v>
      </c>
      <c r="P1260" s="8" t="s">
        <v>31</v>
      </c>
      <c r="Q1260" s="8" t="s">
        <v>31</v>
      </c>
      <c r="R1260" s="8" t="s">
        <v>31</v>
      </c>
      <c r="S1260" s="8" t="s">
        <v>31</v>
      </c>
      <c r="T1260" s="8" t="s">
        <v>31</v>
      </c>
      <c r="U1260" s="8" t="s">
        <v>31</v>
      </c>
      <c r="V1260" s="8" t="s">
        <v>31</v>
      </c>
      <c r="W1260" s="8" t="str">
        <f>_xlfn.IFNA(VLOOKUP(A1260,[1]Sheet1!$A$1:$B$101,1,FALSE),"na")</f>
        <v>na</v>
      </c>
      <c r="X1260" s="8" t="s">
        <v>35</v>
      </c>
      <c r="Y1260" s="9">
        <v>335</v>
      </c>
      <c r="Z1260" s="9">
        <v>279.16665999999998</v>
      </c>
      <c r="AA1260" s="9">
        <v>335</v>
      </c>
      <c r="AB1260" s="9">
        <v>335</v>
      </c>
    </row>
    <row r="1261" spans="1:28" x14ac:dyDescent="0.25">
      <c r="A1261" s="8" t="s">
        <v>2617</v>
      </c>
      <c r="B1261" s="8" t="s">
        <v>2618</v>
      </c>
      <c r="C1261" s="8" t="s">
        <v>67</v>
      </c>
      <c r="D1261" s="10">
        <v>2</v>
      </c>
      <c r="E1261" s="10">
        <v>1</v>
      </c>
      <c r="F1261" s="10">
        <v>1</v>
      </c>
      <c r="G1261" s="10">
        <v>1</v>
      </c>
      <c r="H1261" s="10">
        <v>1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8" t="s">
        <v>57</v>
      </c>
      <c r="P1261" s="8" t="s">
        <v>31</v>
      </c>
      <c r="Q1261" s="8" t="s">
        <v>31</v>
      </c>
      <c r="R1261" s="8" t="s">
        <v>31</v>
      </c>
      <c r="S1261" s="8" t="s">
        <v>31</v>
      </c>
      <c r="T1261" s="8" t="s">
        <v>31</v>
      </c>
      <c r="U1261" s="8" t="s">
        <v>31</v>
      </c>
      <c r="V1261" s="8" t="s">
        <v>31</v>
      </c>
      <c r="W1261" s="8" t="str">
        <f>_xlfn.IFNA(VLOOKUP(A1261,[1]Sheet1!$A$1:$B$101,1,FALSE),"na")</f>
        <v>na</v>
      </c>
      <c r="X1261" s="8" t="s">
        <v>35</v>
      </c>
      <c r="Y1261" s="9">
        <v>282</v>
      </c>
      <c r="Z1261" s="9">
        <v>141</v>
      </c>
      <c r="AA1261" s="9">
        <v>282</v>
      </c>
      <c r="AB1261" s="9">
        <v>282</v>
      </c>
    </row>
    <row r="1262" spans="1:28" x14ac:dyDescent="0.25">
      <c r="A1262" s="8" t="s">
        <v>2619</v>
      </c>
      <c r="B1262" s="8" t="s">
        <v>2620</v>
      </c>
      <c r="C1262" s="8" t="s">
        <v>67</v>
      </c>
      <c r="D1262" s="10">
        <v>2</v>
      </c>
      <c r="E1262" s="10">
        <v>1</v>
      </c>
      <c r="F1262" s="10">
        <v>1</v>
      </c>
      <c r="G1262" s="10">
        <v>1</v>
      </c>
      <c r="H1262" s="10">
        <v>1</v>
      </c>
      <c r="I1262" s="10">
        <v>0</v>
      </c>
      <c r="J1262" s="10">
        <v>0</v>
      </c>
      <c r="K1262" s="10">
        <v>0</v>
      </c>
      <c r="L1262" s="10">
        <v>0</v>
      </c>
      <c r="M1262" s="10">
        <v>0</v>
      </c>
      <c r="N1262" s="10">
        <v>0</v>
      </c>
      <c r="O1262" s="8" t="s">
        <v>57</v>
      </c>
      <c r="P1262" s="8" t="s">
        <v>31</v>
      </c>
      <c r="Q1262" s="8" t="s">
        <v>31</v>
      </c>
      <c r="R1262" s="8" t="s">
        <v>31</v>
      </c>
      <c r="S1262" s="8" t="s">
        <v>31</v>
      </c>
      <c r="T1262" s="8" t="s">
        <v>31</v>
      </c>
      <c r="U1262" s="8" t="s">
        <v>31</v>
      </c>
      <c r="V1262" s="8" t="s">
        <v>31</v>
      </c>
      <c r="W1262" s="8" t="str">
        <f>_xlfn.IFNA(VLOOKUP(A1262,[1]Sheet1!$A$1:$B$101,1,FALSE),"na")</f>
        <v>na</v>
      </c>
      <c r="X1262" s="8" t="s">
        <v>35</v>
      </c>
      <c r="Y1262" s="9">
        <v>390</v>
      </c>
      <c r="Z1262" s="9">
        <v>195</v>
      </c>
      <c r="AA1262" s="9">
        <v>390</v>
      </c>
      <c r="AB1262" s="9">
        <v>390</v>
      </c>
    </row>
    <row r="1263" spans="1:28" x14ac:dyDescent="0.25">
      <c r="A1263" s="8" t="s">
        <v>2621</v>
      </c>
      <c r="B1263" s="8" t="s">
        <v>2622</v>
      </c>
      <c r="C1263" s="8" t="s">
        <v>62</v>
      </c>
      <c r="D1263" s="10">
        <v>4.1999997999999996</v>
      </c>
      <c r="E1263" s="10">
        <v>3</v>
      </c>
      <c r="F1263" s="10">
        <v>1.2</v>
      </c>
      <c r="G1263" s="10">
        <v>3</v>
      </c>
      <c r="H1263" s="10">
        <v>1.2</v>
      </c>
      <c r="I1263" s="10">
        <v>0</v>
      </c>
      <c r="J1263" s="10">
        <v>0</v>
      </c>
      <c r="K1263" s="10">
        <v>1</v>
      </c>
      <c r="L1263" s="10">
        <v>0.2</v>
      </c>
      <c r="M1263" s="10">
        <v>0</v>
      </c>
      <c r="N1263" s="10">
        <v>0.2</v>
      </c>
      <c r="O1263" s="8" t="s">
        <v>31</v>
      </c>
      <c r="P1263" s="8" t="s">
        <v>31</v>
      </c>
      <c r="Q1263" s="8" t="s">
        <v>31</v>
      </c>
      <c r="R1263" s="8" t="s">
        <v>57</v>
      </c>
      <c r="S1263" s="8" t="s">
        <v>31</v>
      </c>
      <c r="T1263" s="8" t="s">
        <v>57</v>
      </c>
      <c r="U1263" s="8" t="s">
        <v>31</v>
      </c>
      <c r="V1263" s="8" t="s">
        <v>31</v>
      </c>
      <c r="W1263" s="8" t="str">
        <f>_xlfn.IFNA(VLOOKUP(A1263,[1]Sheet1!$A$1:$B$101,1,FALSE),"na")</f>
        <v>na</v>
      </c>
      <c r="X1263" s="8" t="s">
        <v>487</v>
      </c>
      <c r="Y1263" s="9">
        <v>507</v>
      </c>
      <c r="Z1263" s="9">
        <v>120.71429000000001</v>
      </c>
      <c r="AA1263" s="9">
        <v>169</v>
      </c>
      <c r="AB1263" s="9">
        <v>422.49997000000002</v>
      </c>
    </row>
    <row r="1264" spans="1:28" x14ac:dyDescent="0.25">
      <c r="A1264" s="8" t="s">
        <v>2623</v>
      </c>
      <c r="B1264" s="8" t="s">
        <v>2624</v>
      </c>
      <c r="C1264" s="8" t="s">
        <v>30</v>
      </c>
      <c r="D1264" s="10">
        <v>2.4000001000000002</v>
      </c>
      <c r="E1264" s="10">
        <v>1</v>
      </c>
      <c r="F1264" s="10">
        <v>1.4</v>
      </c>
      <c r="G1264" s="10">
        <v>1</v>
      </c>
      <c r="H1264" s="10">
        <v>1.4</v>
      </c>
      <c r="I1264" s="10">
        <v>0</v>
      </c>
      <c r="J1264" s="10">
        <v>0</v>
      </c>
      <c r="K1264" s="10">
        <v>0</v>
      </c>
      <c r="L1264" s="10">
        <v>0.40000001000000002</v>
      </c>
      <c r="M1264" s="10">
        <v>0</v>
      </c>
      <c r="N1264" s="10">
        <v>0.40000001000000002</v>
      </c>
      <c r="O1264" s="8" t="s">
        <v>57</v>
      </c>
      <c r="P1264" s="8" t="s">
        <v>31</v>
      </c>
      <c r="Q1264" s="8" t="s">
        <v>31</v>
      </c>
      <c r="R1264" s="8" t="s">
        <v>31</v>
      </c>
      <c r="S1264" s="8" t="s">
        <v>31</v>
      </c>
      <c r="T1264" s="8" t="s">
        <v>31</v>
      </c>
      <c r="U1264" s="8" t="s">
        <v>31</v>
      </c>
      <c r="V1264" s="8" t="s">
        <v>31</v>
      </c>
      <c r="W1264" s="8" t="str">
        <f>_xlfn.IFNA(VLOOKUP(A1264,[1]Sheet1!$A$1:$B$101,1,FALSE),"na")</f>
        <v>na</v>
      </c>
      <c r="X1264" s="8" t="s">
        <v>35</v>
      </c>
      <c r="Y1264" s="9">
        <v>365</v>
      </c>
      <c r="Z1264" s="9">
        <v>152.08332999999999</v>
      </c>
      <c r="AA1264" s="9">
        <v>365</v>
      </c>
      <c r="AB1264" s="9">
        <v>260.71429000000001</v>
      </c>
    </row>
    <row r="1265" spans="1:28" x14ac:dyDescent="0.25">
      <c r="A1265" s="8" t="s">
        <v>2625</v>
      </c>
      <c r="B1265" s="8" t="s">
        <v>2626</v>
      </c>
      <c r="C1265" s="8" t="s">
        <v>62</v>
      </c>
      <c r="D1265" s="10">
        <v>4</v>
      </c>
      <c r="E1265" s="10">
        <v>3</v>
      </c>
      <c r="F1265" s="10">
        <v>1</v>
      </c>
      <c r="G1265" s="10">
        <v>3</v>
      </c>
      <c r="H1265" s="10">
        <v>1</v>
      </c>
      <c r="I1265" s="10">
        <v>0</v>
      </c>
      <c r="J1265" s="10">
        <v>0</v>
      </c>
      <c r="K1265" s="10">
        <v>1</v>
      </c>
      <c r="L1265" s="10">
        <v>0</v>
      </c>
      <c r="M1265" s="10">
        <v>0</v>
      </c>
      <c r="N1265" s="10">
        <v>0</v>
      </c>
      <c r="O1265" s="8" t="s">
        <v>31</v>
      </c>
      <c r="P1265" s="8" t="s">
        <v>31</v>
      </c>
      <c r="Q1265" s="8" t="s">
        <v>31</v>
      </c>
      <c r="R1265" s="8" t="s">
        <v>57</v>
      </c>
      <c r="S1265" s="8" t="s">
        <v>31</v>
      </c>
      <c r="T1265" s="8" t="s">
        <v>57</v>
      </c>
      <c r="U1265" s="8" t="s">
        <v>57</v>
      </c>
      <c r="V1265" s="8" t="s">
        <v>31</v>
      </c>
      <c r="W1265" s="8" t="str">
        <f>_xlfn.IFNA(VLOOKUP(A1265,[1]Sheet1!$A$1:$B$101,1,FALSE),"na")</f>
        <v>na</v>
      </c>
      <c r="X1265" s="8" t="s">
        <v>35</v>
      </c>
      <c r="Y1265" s="9">
        <v>610</v>
      </c>
      <c r="Z1265" s="9">
        <v>152.5</v>
      </c>
      <c r="AA1265" s="9">
        <v>203.33332999999999</v>
      </c>
      <c r="AB1265" s="9">
        <v>610</v>
      </c>
    </row>
    <row r="1266" spans="1:28" x14ac:dyDescent="0.25">
      <c r="A1266" s="8" t="s">
        <v>2627</v>
      </c>
      <c r="B1266" s="8" t="s">
        <v>2628</v>
      </c>
      <c r="C1266" s="8" t="s">
        <v>80</v>
      </c>
      <c r="D1266" s="10">
        <v>4</v>
      </c>
      <c r="E1266" s="10">
        <v>3</v>
      </c>
      <c r="F1266" s="10">
        <v>1</v>
      </c>
      <c r="G1266" s="10">
        <v>3</v>
      </c>
      <c r="H1266" s="10">
        <v>1</v>
      </c>
      <c r="I1266" s="10">
        <v>0</v>
      </c>
      <c r="J1266" s="10">
        <v>0</v>
      </c>
      <c r="K1266" s="10">
        <v>0</v>
      </c>
      <c r="L1266" s="10">
        <v>0</v>
      </c>
      <c r="M1266" s="10">
        <v>0</v>
      </c>
      <c r="N1266" s="10">
        <v>0</v>
      </c>
      <c r="O1266" s="8" t="s">
        <v>57</v>
      </c>
      <c r="P1266" s="8" t="s">
        <v>31</v>
      </c>
      <c r="Q1266" s="8" t="s">
        <v>31</v>
      </c>
      <c r="R1266" s="8" t="s">
        <v>31</v>
      </c>
      <c r="S1266" s="8" t="s">
        <v>31</v>
      </c>
      <c r="T1266" s="8" t="s">
        <v>31</v>
      </c>
      <c r="U1266" s="8" t="s">
        <v>31</v>
      </c>
      <c r="V1266" s="8" t="s">
        <v>57</v>
      </c>
      <c r="W1266" s="8" t="str">
        <f>_xlfn.IFNA(VLOOKUP(A1266,[1]Sheet1!$A$1:$B$101,1,FALSE),"na")</f>
        <v>na</v>
      </c>
      <c r="X1266" s="8" t="s">
        <v>35</v>
      </c>
      <c r="Y1266" s="9">
        <v>611</v>
      </c>
      <c r="Z1266" s="9">
        <v>152.75</v>
      </c>
      <c r="AA1266" s="9">
        <v>203.66667000000001</v>
      </c>
      <c r="AB1266" s="9">
        <v>611</v>
      </c>
    </row>
    <row r="1267" spans="1:28" x14ac:dyDescent="0.25">
      <c r="A1267" s="8" t="s">
        <v>2629</v>
      </c>
      <c r="B1267" s="8" t="s">
        <v>2630</v>
      </c>
      <c r="C1267" s="8" t="s">
        <v>62</v>
      </c>
      <c r="D1267" s="10">
        <v>4</v>
      </c>
      <c r="E1267" s="10">
        <v>3</v>
      </c>
      <c r="F1267" s="10">
        <v>1</v>
      </c>
      <c r="G1267" s="10">
        <v>3</v>
      </c>
      <c r="H1267" s="10">
        <v>1</v>
      </c>
      <c r="I1267" s="10">
        <v>0</v>
      </c>
      <c r="J1267" s="10">
        <v>0</v>
      </c>
      <c r="K1267" s="10">
        <v>1</v>
      </c>
      <c r="L1267" s="10">
        <v>0</v>
      </c>
      <c r="M1267" s="10">
        <v>0</v>
      </c>
      <c r="N1267" s="10">
        <v>0</v>
      </c>
      <c r="O1267" s="8" t="s">
        <v>57</v>
      </c>
      <c r="P1267" s="8" t="s">
        <v>31</v>
      </c>
      <c r="Q1267" s="8" t="s">
        <v>31</v>
      </c>
      <c r="R1267" s="8" t="s">
        <v>31</v>
      </c>
      <c r="S1267" s="8" t="s">
        <v>31</v>
      </c>
      <c r="T1267" s="8" t="s">
        <v>31</v>
      </c>
      <c r="U1267" s="8" t="s">
        <v>31</v>
      </c>
      <c r="V1267" s="8" t="s">
        <v>31</v>
      </c>
      <c r="W1267" s="8" t="str">
        <f>_xlfn.IFNA(VLOOKUP(A1267,[1]Sheet1!$A$1:$B$101,1,FALSE),"na")</f>
        <v>na</v>
      </c>
      <c r="X1267" s="8" t="s">
        <v>35</v>
      </c>
      <c r="Y1267" s="9">
        <v>436</v>
      </c>
      <c r="Z1267" s="9">
        <v>109</v>
      </c>
      <c r="AA1267" s="9">
        <v>145.33332999999999</v>
      </c>
      <c r="AB1267" s="9">
        <v>436</v>
      </c>
    </row>
    <row r="1268" spans="1:28" x14ac:dyDescent="0.25">
      <c r="A1268" s="8" t="s">
        <v>2631</v>
      </c>
      <c r="B1268" s="8" t="s">
        <v>2632</v>
      </c>
      <c r="C1268" s="8" t="s">
        <v>30</v>
      </c>
      <c r="D1268" s="10">
        <v>1.2</v>
      </c>
      <c r="E1268" s="10">
        <v>1</v>
      </c>
      <c r="F1268" s="10">
        <v>0.2</v>
      </c>
      <c r="G1268" s="10">
        <v>1</v>
      </c>
      <c r="H1268" s="10">
        <v>0.2</v>
      </c>
      <c r="I1268" s="10">
        <v>0</v>
      </c>
      <c r="J1268" s="10">
        <v>0</v>
      </c>
      <c r="K1268" s="10">
        <v>0</v>
      </c>
      <c r="L1268" s="10">
        <v>0.2</v>
      </c>
      <c r="M1268" s="10">
        <v>0</v>
      </c>
      <c r="N1268" s="10">
        <v>0.2</v>
      </c>
      <c r="O1268" s="8" t="s">
        <v>57</v>
      </c>
      <c r="P1268" s="8" t="s">
        <v>31</v>
      </c>
      <c r="Q1268" s="8" t="s">
        <v>31</v>
      </c>
      <c r="R1268" s="8" t="s">
        <v>31</v>
      </c>
      <c r="S1268" s="8" t="s">
        <v>31</v>
      </c>
      <c r="T1268" s="8" t="s">
        <v>31</v>
      </c>
      <c r="U1268" s="8" t="s">
        <v>31</v>
      </c>
      <c r="V1268" s="8" t="s">
        <v>31</v>
      </c>
      <c r="W1268" s="8" t="str">
        <f>_xlfn.IFNA(VLOOKUP(A1268,[1]Sheet1!$A$1:$B$101,1,FALSE),"na")</f>
        <v>na</v>
      </c>
      <c r="X1268" s="8" t="s">
        <v>35</v>
      </c>
      <c r="Y1268" s="9">
        <v>376</v>
      </c>
      <c r="Z1268" s="9">
        <v>313.33330999999998</v>
      </c>
      <c r="AA1268" s="9">
        <v>376</v>
      </c>
      <c r="AB1268" s="9">
        <v>376</v>
      </c>
    </row>
    <row r="1269" spans="1:28" x14ac:dyDescent="0.25">
      <c r="A1269" s="8" t="s">
        <v>2633</v>
      </c>
      <c r="B1269" s="8" t="s">
        <v>2634</v>
      </c>
      <c r="C1269" s="8" t="s">
        <v>30</v>
      </c>
      <c r="D1269" s="10">
        <v>3</v>
      </c>
      <c r="E1269" s="10">
        <v>1.6</v>
      </c>
      <c r="F1269" s="10">
        <v>1.4</v>
      </c>
      <c r="G1269" s="10">
        <v>1</v>
      </c>
      <c r="H1269" s="10">
        <v>1.4</v>
      </c>
      <c r="I1269" s="10">
        <v>0.60000001999999997</v>
      </c>
      <c r="J1269" s="10">
        <v>0</v>
      </c>
      <c r="K1269" s="10">
        <v>0</v>
      </c>
      <c r="L1269" s="10">
        <v>1</v>
      </c>
      <c r="M1269" s="10">
        <v>0</v>
      </c>
      <c r="N1269" s="10">
        <v>0.40000001000000002</v>
      </c>
      <c r="O1269" s="8" t="s">
        <v>57</v>
      </c>
      <c r="P1269" s="8" t="s">
        <v>31</v>
      </c>
      <c r="Q1269" s="8" t="s">
        <v>31</v>
      </c>
      <c r="R1269" s="8" t="s">
        <v>31</v>
      </c>
      <c r="S1269" s="8" t="s">
        <v>31</v>
      </c>
      <c r="T1269" s="8" t="s">
        <v>31</v>
      </c>
      <c r="U1269" s="8" t="s">
        <v>31</v>
      </c>
      <c r="V1269" s="8" t="s">
        <v>31</v>
      </c>
      <c r="W1269" s="8" t="str">
        <f>_xlfn.IFNA(VLOOKUP(A1269,[1]Sheet1!$A$1:$B$101,1,FALSE),"na")</f>
        <v>na</v>
      </c>
      <c r="X1269" s="8" t="s">
        <v>35</v>
      </c>
      <c r="Y1269" s="9">
        <v>436</v>
      </c>
      <c r="Z1269" s="9">
        <v>145.33332999999999</v>
      </c>
      <c r="AA1269" s="9">
        <v>272.5</v>
      </c>
      <c r="AB1269" s="9">
        <v>311.42858999999999</v>
      </c>
    </row>
    <row r="1270" spans="1:28" x14ac:dyDescent="0.25">
      <c r="A1270" s="8" t="s">
        <v>2635</v>
      </c>
      <c r="B1270" s="8" t="s">
        <v>2636</v>
      </c>
      <c r="C1270" s="8" t="s">
        <v>67</v>
      </c>
      <c r="D1270" s="10">
        <v>2</v>
      </c>
      <c r="E1270" s="10">
        <v>1</v>
      </c>
      <c r="F1270" s="10">
        <v>1</v>
      </c>
      <c r="G1270" s="10">
        <v>1</v>
      </c>
      <c r="H1270" s="10">
        <v>1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8" t="s">
        <v>57</v>
      </c>
      <c r="P1270" s="8" t="s">
        <v>31</v>
      </c>
      <c r="Q1270" s="8" t="s">
        <v>31</v>
      </c>
      <c r="R1270" s="8" t="s">
        <v>31</v>
      </c>
      <c r="S1270" s="8" t="s">
        <v>31</v>
      </c>
      <c r="T1270" s="8" t="s">
        <v>31</v>
      </c>
      <c r="U1270" s="8" t="s">
        <v>31</v>
      </c>
      <c r="V1270" s="8" t="s">
        <v>31</v>
      </c>
      <c r="W1270" s="8" t="str">
        <f>_xlfn.IFNA(VLOOKUP(A1270,[1]Sheet1!$A$1:$B$101,1,FALSE),"na")</f>
        <v>na</v>
      </c>
      <c r="X1270" s="8" t="s">
        <v>35</v>
      </c>
      <c r="Y1270" s="9">
        <v>150</v>
      </c>
      <c r="Z1270" s="9">
        <v>75</v>
      </c>
      <c r="AA1270" s="9">
        <v>150</v>
      </c>
      <c r="AB1270" s="9">
        <v>150</v>
      </c>
    </row>
    <row r="1271" spans="1:28" x14ac:dyDescent="0.25">
      <c r="A1271" s="8" t="s">
        <v>2637</v>
      </c>
      <c r="B1271" s="8" t="s">
        <v>2638</v>
      </c>
      <c r="C1271" s="8" t="s">
        <v>67</v>
      </c>
      <c r="D1271" s="10">
        <v>3.2</v>
      </c>
      <c r="E1271" s="10">
        <v>2</v>
      </c>
      <c r="F1271" s="10">
        <v>1.2</v>
      </c>
      <c r="G1271" s="10">
        <v>2</v>
      </c>
      <c r="H1271" s="10">
        <v>1.2</v>
      </c>
      <c r="I1271" s="10">
        <v>0</v>
      </c>
      <c r="J1271" s="10">
        <v>0</v>
      </c>
      <c r="K1271" s="10">
        <v>0</v>
      </c>
      <c r="L1271" s="10">
        <v>0</v>
      </c>
      <c r="M1271" s="10">
        <v>0</v>
      </c>
      <c r="N1271" s="10">
        <v>0.2</v>
      </c>
      <c r="O1271" s="8" t="s">
        <v>57</v>
      </c>
      <c r="P1271" s="8" t="s">
        <v>31</v>
      </c>
      <c r="Q1271" s="8" t="s">
        <v>31</v>
      </c>
      <c r="R1271" s="8" t="s">
        <v>31</v>
      </c>
      <c r="S1271" s="8" t="s">
        <v>31</v>
      </c>
      <c r="T1271" s="8" t="s">
        <v>31</v>
      </c>
      <c r="U1271" s="8" t="s">
        <v>31</v>
      </c>
      <c r="V1271" s="8" t="s">
        <v>31</v>
      </c>
      <c r="W1271" s="8" t="str">
        <f>_xlfn.IFNA(VLOOKUP(A1271,[1]Sheet1!$A$1:$B$101,1,FALSE),"na")</f>
        <v>na</v>
      </c>
      <c r="X1271" s="8" t="s">
        <v>1707</v>
      </c>
      <c r="Y1271" s="9">
        <v>312</v>
      </c>
      <c r="Z1271" s="9">
        <v>97.5</v>
      </c>
      <c r="AA1271" s="9">
        <v>156</v>
      </c>
      <c r="AB1271" s="9">
        <v>260</v>
      </c>
    </row>
    <row r="1272" spans="1:28" x14ac:dyDescent="0.25">
      <c r="A1272" s="8" t="s">
        <v>2639</v>
      </c>
      <c r="B1272" s="8" t="s">
        <v>2640</v>
      </c>
      <c r="C1272" s="8" t="s">
        <v>80</v>
      </c>
      <c r="D1272" s="10">
        <v>7.1999997999999996</v>
      </c>
      <c r="E1272" s="10">
        <v>6</v>
      </c>
      <c r="F1272" s="10">
        <v>1.2</v>
      </c>
      <c r="G1272" s="10">
        <v>6</v>
      </c>
      <c r="H1272" s="10">
        <v>1.2</v>
      </c>
      <c r="I1272" s="10">
        <v>0</v>
      </c>
      <c r="J1272" s="10">
        <v>0</v>
      </c>
      <c r="K1272" s="10">
        <v>0</v>
      </c>
      <c r="L1272" s="10">
        <v>0</v>
      </c>
      <c r="M1272" s="10">
        <v>0</v>
      </c>
      <c r="N1272" s="10">
        <v>0.2</v>
      </c>
      <c r="O1272" s="8" t="s">
        <v>57</v>
      </c>
      <c r="P1272" s="8" t="s">
        <v>31</v>
      </c>
      <c r="Q1272" s="8" t="s">
        <v>31</v>
      </c>
      <c r="R1272" s="8" t="s">
        <v>31</v>
      </c>
      <c r="S1272" s="8" t="s">
        <v>31</v>
      </c>
      <c r="T1272" s="8" t="s">
        <v>31</v>
      </c>
      <c r="U1272" s="8" t="s">
        <v>31</v>
      </c>
      <c r="V1272" s="8" t="s">
        <v>31</v>
      </c>
      <c r="W1272" s="8" t="str">
        <f>_xlfn.IFNA(VLOOKUP(A1272,[1]Sheet1!$A$1:$B$101,1,FALSE),"na")</f>
        <v>na</v>
      </c>
      <c r="X1272" s="8" t="s">
        <v>35</v>
      </c>
      <c r="Y1272" s="9">
        <v>1183</v>
      </c>
      <c r="Z1272" s="9">
        <v>164.30556000000001</v>
      </c>
      <c r="AA1272" s="9">
        <v>197.16667000000001</v>
      </c>
      <c r="AB1272" s="9">
        <v>985.83330999999998</v>
      </c>
    </row>
    <row r="1273" spans="1:28" x14ac:dyDescent="0.25">
      <c r="A1273" s="8" t="s">
        <v>2641</v>
      </c>
      <c r="B1273" s="8" t="s">
        <v>2642</v>
      </c>
      <c r="C1273" s="8" t="s">
        <v>62</v>
      </c>
      <c r="D1273" s="10">
        <v>3.2</v>
      </c>
      <c r="E1273" s="10">
        <v>2</v>
      </c>
      <c r="F1273" s="10">
        <v>1.2</v>
      </c>
      <c r="G1273" s="10">
        <v>2</v>
      </c>
      <c r="H1273" s="10">
        <v>1.2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0.2</v>
      </c>
      <c r="O1273" s="8" t="s">
        <v>31</v>
      </c>
      <c r="P1273" s="8" t="s">
        <v>31</v>
      </c>
      <c r="Q1273" s="8" t="s">
        <v>31</v>
      </c>
      <c r="R1273" s="8" t="s">
        <v>31</v>
      </c>
      <c r="S1273" s="8" t="s">
        <v>31</v>
      </c>
      <c r="T1273" s="8" t="s">
        <v>57</v>
      </c>
      <c r="U1273" s="8" t="s">
        <v>31</v>
      </c>
      <c r="V1273" s="8" t="s">
        <v>57</v>
      </c>
      <c r="W1273" s="8" t="str">
        <f>_xlfn.IFNA(VLOOKUP(A1273,[1]Sheet1!$A$1:$B$101,1,FALSE),"na")</f>
        <v>na</v>
      </c>
      <c r="X1273" s="8" t="s">
        <v>1707</v>
      </c>
      <c r="Y1273" s="9">
        <v>233</v>
      </c>
      <c r="Z1273" s="9">
        <v>72.8125</v>
      </c>
      <c r="AA1273" s="9">
        <v>116.5</v>
      </c>
      <c r="AB1273" s="9">
        <v>194.16666000000001</v>
      </c>
    </row>
    <row r="1274" spans="1:28" x14ac:dyDescent="0.25">
      <c r="A1274" s="8" t="s">
        <v>2643</v>
      </c>
      <c r="B1274" s="8" t="s">
        <v>2644</v>
      </c>
      <c r="C1274" s="8" t="s">
        <v>38</v>
      </c>
      <c r="D1274" s="10">
        <v>2.0999998999999998</v>
      </c>
      <c r="E1274" s="10">
        <v>0.89999998000000003</v>
      </c>
      <c r="F1274" s="10">
        <v>1.2</v>
      </c>
      <c r="G1274" s="10">
        <v>0</v>
      </c>
      <c r="H1274" s="10">
        <v>1.2</v>
      </c>
      <c r="I1274" s="10">
        <v>0.89999998000000003</v>
      </c>
      <c r="J1274" s="10">
        <v>0</v>
      </c>
      <c r="K1274" s="10">
        <v>0</v>
      </c>
      <c r="L1274" s="10">
        <v>0</v>
      </c>
      <c r="M1274" s="10">
        <v>0</v>
      </c>
      <c r="N1274" s="10">
        <v>0.2</v>
      </c>
      <c r="O1274" s="8" t="s">
        <v>57</v>
      </c>
      <c r="P1274" s="8" t="s">
        <v>31</v>
      </c>
      <c r="Q1274" s="8" t="s">
        <v>31</v>
      </c>
      <c r="R1274" s="8" t="s">
        <v>31</v>
      </c>
      <c r="S1274" s="8" t="s">
        <v>31</v>
      </c>
      <c r="T1274" s="8" t="s">
        <v>31</v>
      </c>
      <c r="U1274" s="8" t="s">
        <v>31</v>
      </c>
      <c r="V1274" s="8" t="s">
        <v>31</v>
      </c>
      <c r="W1274" s="8" t="str">
        <f>_xlfn.IFNA(VLOOKUP(A1274,[1]Sheet1!$A$1:$B$101,1,FALSE),"na")</f>
        <v>na</v>
      </c>
      <c r="X1274" s="8" t="s">
        <v>35</v>
      </c>
      <c r="Y1274" s="9">
        <v>308</v>
      </c>
      <c r="Z1274" s="9">
        <v>146.66667000000001</v>
      </c>
      <c r="AA1274" s="9">
        <v>308</v>
      </c>
      <c r="AB1274" s="9">
        <v>256.66665999999998</v>
      </c>
    </row>
    <row r="1275" spans="1:28" x14ac:dyDescent="0.25">
      <c r="A1275" s="8" t="s">
        <v>2645</v>
      </c>
      <c r="B1275" s="8" t="s">
        <v>2646</v>
      </c>
      <c r="C1275" s="8" t="s">
        <v>62</v>
      </c>
      <c r="D1275" s="10">
        <v>4</v>
      </c>
      <c r="E1275" s="10">
        <v>4</v>
      </c>
      <c r="F1275" s="10">
        <v>0</v>
      </c>
      <c r="G1275" s="10">
        <v>4</v>
      </c>
      <c r="H1275" s="10">
        <v>0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8" t="s">
        <v>31</v>
      </c>
      <c r="P1275" s="8" t="s">
        <v>31</v>
      </c>
      <c r="Q1275" s="8" t="s">
        <v>31</v>
      </c>
      <c r="R1275" s="8" t="s">
        <v>31</v>
      </c>
      <c r="S1275" s="8" t="s">
        <v>31</v>
      </c>
      <c r="T1275" s="8" t="s">
        <v>31</v>
      </c>
      <c r="U1275" s="8" t="s">
        <v>31</v>
      </c>
      <c r="V1275" s="8" t="s">
        <v>31</v>
      </c>
      <c r="W1275" s="8" t="str">
        <f>_xlfn.IFNA(VLOOKUP(A1275,[1]Sheet1!$A$1:$B$101,1,FALSE),"na")</f>
        <v>na</v>
      </c>
      <c r="X1275" s="8" t="s">
        <v>35</v>
      </c>
      <c r="Y1275" s="9">
        <v>385</v>
      </c>
      <c r="Z1275" s="9">
        <v>96.25</v>
      </c>
      <c r="AA1275" s="9">
        <v>96.25</v>
      </c>
      <c r="AB1275" s="9">
        <v>385</v>
      </c>
    </row>
    <row r="1276" spans="1:28" x14ac:dyDescent="0.25">
      <c r="A1276" s="8" t="s">
        <v>2647</v>
      </c>
      <c r="B1276" s="8" t="s">
        <v>2648</v>
      </c>
      <c r="C1276" s="8" t="s">
        <v>62</v>
      </c>
      <c r="D1276" s="10">
        <v>3.2</v>
      </c>
      <c r="E1276" s="10">
        <v>2</v>
      </c>
      <c r="F1276" s="10">
        <v>1.2</v>
      </c>
      <c r="G1276" s="10">
        <v>2</v>
      </c>
      <c r="H1276" s="10">
        <v>1.2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0.2</v>
      </c>
      <c r="O1276" s="8" t="s">
        <v>31</v>
      </c>
      <c r="P1276" s="8" t="s">
        <v>31</v>
      </c>
      <c r="Q1276" s="8" t="s">
        <v>31</v>
      </c>
      <c r="R1276" s="8" t="s">
        <v>31</v>
      </c>
      <c r="S1276" s="8" t="s">
        <v>31</v>
      </c>
      <c r="T1276" s="8" t="s">
        <v>57</v>
      </c>
      <c r="U1276" s="8" t="s">
        <v>31</v>
      </c>
      <c r="V1276" s="8" t="s">
        <v>31</v>
      </c>
      <c r="W1276" s="8" t="str">
        <f>_xlfn.IFNA(VLOOKUP(A1276,[1]Sheet1!$A$1:$B$101,1,FALSE),"na")</f>
        <v>na</v>
      </c>
      <c r="X1276" s="8" t="s">
        <v>426</v>
      </c>
      <c r="Y1276" s="9">
        <v>282</v>
      </c>
      <c r="Z1276" s="9">
        <v>88.125</v>
      </c>
      <c r="AA1276" s="9">
        <v>141</v>
      </c>
      <c r="AB1276" s="9">
        <v>234.99997999999999</v>
      </c>
    </row>
    <row r="1277" spans="1:28" x14ac:dyDescent="0.25">
      <c r="A1277" s="8" t="s">
        <v>2649</v>
      </c>
      <c r="B1277" s="8" t="s">
        <v>2650</v>
      </c>
      <c r="C1277" s="8" t="s">
        <v>30</v>
      </c>
      <c r="D1277" s="10">
        <v>1.4</v>
      </c>
      <c r="E1277" s="10">
        <v>0</v>
      </c>
      <c r="F1277" s="10">
        <v>1.4</v>
      </c>
      <c r="G1277" s="10">
        <v>0</v>
      </c>
      <c r="H1277" s="10">
        <v>1.4</v>
      </c>
      <c r="I1277" s="10">
        <v>0</v>
      </c>
      <c r="J1277" s="10">
        <v>0</v>
      </c>
      <c r="K1277" s="10">
        <v>0</v>
      </c>
      <c r="L1277" s="10">
        <v>0</v>
      </c>
      <c r="M1277" s="10">
        <v>0</v>
      </c>
      <c r="N1277" s="10">
        <v>0.40000001000000002</v>
      </c>
      <c r="O1277" s="8" t="s">
        <v>31</v>
      </c>
      <c r="P1277" s="8" t="s">
        <v>31</v>
      </c>
      <c r="Q1277" s="8" t="s">
        <v>31</v>
      </c>
      <c r="R1277" s="8" t="s">
        <v>31</v>
      </c>
      <c r="S1277" s="8" t="s">
        <v>31</v>
      </c>
      <c r="T1277" s="8" t="s">
        <v>31</v>
      </c>
      <c r="U1277" s="8" t="s">
        <v>31</v>
      </c>
      <c r="V1277" s="8" t="s">
        <v>31</v>
      </c>
      <c r="W1277" s="8" t="str">
        <f>_xlfn.IFNA(VLOOKUP(A1277,[1]Sheet1!$A$1:$B$101,1,FALSE),"na")</f>
        <v>na</v>
      </c>
      <c r="X1277" s="8" t="s">
        <v>35</v>
      </c>
      <c r="Y1277" s="9">
        <v>488</v>
      </c>
      <c r="Z1277" s="9">
        <v>348.57144</v>
      </c>
      <c r="AA1277" s="9">
        <v>488</v>
      </c>
      <c r="AB1277" s="9">
        <v>348.57144</v>
      </c>
    </row>
    <row r="1278" spans="1:28" x14ac:dyDescent="0.25">
      <c r="A1278" s="8" t="s">
        <v>2651</v>
      </c>
      <c r="B1278" s="8" t="s">
        <v>2652</v>
      </c>
      <c r="C1278" s="8" t="s">
        <v>30</v>
      </c>
      <c r="D1278" s="10">
        <v>2.2000000000000002</v>
      </c>
      <c r="E1278" s="10">
        <v>1</v>
      </c>
      <c r="F1278" s="10">
        <v>1.2</v>
      </c>
      <c r="G1278" s="10">
        <v>1</v>
      </c>
      <c r="H1278" s="10">
        <v>1.2</v>
      </c>
      <c r="I1278" s="10">
        <v>0</v>
      </c>
      <c r="J1278" s="10">
        <v>0</v>
      </c>
      <c r="K1278" s="10">
        <v>0</v>
      </c>
      <c r="L1278" s="10">
        <v>0</v>
      </c>
      <c r="M1278" s="10">
        <v>0</v>
      </c>
      <c r="N1278" s="10">
        <v>0.2</v>
      </c>
      <c r="O1278" s="8" t="s">
        <v>57</v>
      </c>
      <c r="P1278" s="8" t="s">
        <v>31</v>
      </c>
      <c r="Q1278" s="8" t="s">
        <v>31</v>
      </c>
      <c r="R1278" s="8" t="s">
        <v>31</v>
      </c>
      <c r="S1278" s="8" t="s">
        <v>31</v>
      </c>
      <c r="T1278" s="8" t="s">
        <v>31</v>
      </c>
      <c r="U1278" s="8" t="s">
        <v>31</v>
      </c>
      <c r="V1278" s="8" t="s">
        <v>31</v>
      </c>
      <c r="W1278" s="8" t="str">
        <f>_xlfn.IFNA(VLOOKUP(A1278,[1]Sheet1!$A$1:$B$101,1,FALSE),"na")</f>
        <v>na</v>
      </c>
      <c r="X1278" s="8" t="s">
        <v>35</v>
      </c>
      <c r="Y1278" s="9">
        <v>506</v>
      </c>
      <c r="Z1278" s="9">
        <v>230</v>
      </c>
      <c r="AA1278" s="9">
        <v>506</v>
      </c>
      <c r="AB1278" s="9">
        <v>421.66665999999998</v>
      </c>
    </row>
    <row r="1279" spans="1:28" x14ac:dyDescent="0.25">
      <c r="A1279" s="8" t="s">
        <v>2653</v>
      </c>
      <c r="B1279" s="8" t="s">
        <v>2654</v>
      </c>
      <c r="C1279" s="8" t="s">
        <v>62</v>
      </c>
      <c r="D1279" s="10">
        <v>3.1333300999999998</v>
      </c>
      <c r="E1279" s="10">
        <v>3</v>
      </c>
      <c r="F1279" s="10">
        <v>0.13333</v>
      </c>
      <c r="G1279" s="10">
        <v>3</v>
      </c>
      <c r="H1279" s="10">
        <v>0.13333</v>
      </c>
      <c r="I1279" s="10">
        <v>0</v>
      </c>
      <c r="J1279" s="10">
        <v>0</v>
      </c>
      <c r="K1279" s="10">
        <v>1</v>
      </c>
      <c r="L1279" s="10">
        <v>0</v>
      </c>
      <c r="M1279" s="10">
        <v>0</v>
      </c>
      <c r="N1279" s="10">
        <v>0.13333</v>
      </c>
      <c r="O1279" s="8" t="s">
        <v>31</v>
      </c>
      <c r="P1279" s="8" t="s">
        <v>31</v>
      </c>
      <c r="Q1279" s="8" t="s">
        <v>31</v>
      </c>
      <c r="R1279" s="8" t="s">
        <v>31</v>
      </c>
      <c r="S1279" s="8" t="s">
        <v>31</v>
      </c>
      <c r="T1279" s="8" t="s">
        <v>57</v>
      </c>
      <c r="U1279" s="8" t="s">
        <v>31</v>
      </c>
      <c r="V1279" s="8" t="s">
        <v>31</v>
      </c>
      <c r="W1279" s="8" t="str">
        <f>_xlfn.IFNA(VLOOKUP(A1279,[1]Sheet1!$A$1:$B$101,1,FALSE),"na")</f>
        <v>na</v>
      </c>
      <c r="X1279" s="8" t="s">
        <v>1707</v>
      </c>
      <c r="Y1279" s="9">
        <v>646</v>
      </c>
      <c r="Z1279" s="9">
        <v>206.17043000000001</v>
      </c>
      <c r="AA1279" s="9">
        <v>215.33332999999999</v>
      </c>
      <c r="AB1279" s="9">
        <v>646</v>
      </c>
    </row>
    <row r="1280" spans="1:28" x14ac:dyDescent="0.25">
      <c r="A1280" s="8" t="s">
        <v>2655</v>
      </c>
      <c r="B1280" s="8" t="s">
        <v>2656</v>
      </c>
      <c r="C1280" s="8" t="s">
        <v>62</v>
      </c>
      <c r="D1280" s="10">
        <v>12.6</v>
      </c>
      <c r="E1280" s="10">
        <v>10</v>
      </c>
      <c r="F1280" s="10">
        <v>2.5999998999999998</v>
      </c>
      <c r="G1280" s="10">
        <v>10</v>
      </c>
      <c r="H1280" s="10">
        <v>2.5999998999999998</v>
      </c>
      <c r="I1280" s="10">
        <v>0</v>
      </c>
      <c r="J1280" s="10">
        <v>0</v>
      </c>
      <c r="K1280" s="10">
        <v>1</v>
      </c>
      <c r="L1280" s="10">
        <v>0.2</v>
      </c>
      <c r="M1280" s="10">
        <v>0</v>
      </c>
      <c r="N1280" s="10">
        <v>0.60000001999999997</v>
      </c>
      <c r="O1280" s="8" t="s">
        <v>31</v>
      </c>
      <c r="P1280" s="8" t="s">
        <v>31</v>
      </c>
      <c r="Q1280" s="8" t="s">
        <v>31</v>
      </c>
      <c r="R1280" s="8" t="s">
        <v>31</v>
      </c>
      <c r="S1280" s="8" t="s">
        <v>31</v>
      </c>
      <c r="T1280" s="8" t="s">
        <v>57</v>
      </c>
      <c r="U1280" s="8" t="s">
        <v>57</v>
      </c>
      <c r="V1280" s="8" t="s">
        <v>31</v>
      </c>
      <c r="W1280" s="8" t="str">
        <f>_xlfn.IFNA(VLOOKUP(A1280,[1]Sheet1!$A$1:$B$101,1,FALSE),"na")</f>
        <v>na</v>
      </c>
      <c r="X1280" s="8" t="s">
        <v>2657</v>
      </c>
      <c r="Y1280" s="9">
        <v>1843</v>
      </c>
      <c r="Z1280" s="9">
        <v>146.26983999999999</v>
      </c>
      <c r="AA1280" s="9">
        <v>184.3</v>
      </c>
      <c r="AB1280" s="9">
        <v>708.84618999999998</v>
      </c>
    </row>
    <row r="1281" spans="1:28" x14ac:dyDescent="0.25">
      <c r="A1281" s="8" t="s">
        <v>2658</v>
      </c>
      <c r="B1281" s="8" t="s">
        <v>2659</v>
      </c>
      <c r="C1281" s="8" t="s">
        <v>62</v>
      </c>
      <c r="D1281" s="10">
        <v>16.600000000000001</v>
      </c>
      <c r="E1281" s="10">
        <v>15</v>
      </c>
      <c r="F1281" s="10">
        <v>1.6</v>
      </c>
      <c r="G1281" s="10">
        <v>15</v>
      </c>
      <c r="H1281" s="10">
        <v>1.6</v>
      </c>
      <c r="I1281" s="10">
        <v>0</v>
      </c>
      <c r="J1281" s="10">
        <v>0</v>
      </c>
      <c r="K1281" s="10">
        <v>4</v>
      </c>
      <c r="L1281" s="10">
        <v>0</v>
      </c>
      <c r="M1281" s="10">
        <v>0</v>
      </c>
      <c r="N1281" s="10">
        <v>0.60000001999999997</v>
      </c>
      <c r="O1281" s="8" t="s">
        <v>31</v>
      </c>
      <c r="P1281" s="8" t="s">
        <v>31</v>
      </c>
      <c r="Q1281" s="8" t="s">
        <v>31</v>
      </c>
      <c r="R1281" s="8" t="s">
        <v>31</v>
      </c>
      <c r="S1281" s="8" t="s">
        <v>31</v>
      </c>
      <c r="T1281" s="8" t="s">
        <v>57</v>
      </c>
      <c r="U1281" s="8" t="s">
        <v>31</v>
      </c>
      <c r="V1281" s="8" t="s">
        <v>31</v>
      </c>
      <c r="W1281" s="8" t="str">
        <f>_xlfn.IFNA(VLOOKUP(A1281,[1]Sheet1!$A$1:$B$101,1,FALSE),"na")</f>
        <v>na</v>
      </c>
      <c r="X1281" s="8" t="s">
        <v>437</v>
      </c>
      <c r="Y1281" s="9">
        <v>2428</v>
      </c>
      <c r="Z1281" s="9">
        <v>146.26506000000001</v>
      </c>
      <c r="AA1281" s="9">
        <v>161.86667</v>
      </c>
      <c r="AB1281" s="9">
        <v>1517.5</v>
      </c>
    </row>
    <row r="1282" spans="1:28" x14ac:dyDescent="0.25">
      <c r="A1282" s="8" t="s">
        <v>2660</v>
      </c>
      <c r="B1282" s="8" t="s">
        <v>2661</v>
      </c>
      <c r="C1282" s="8" t="s">
        <v>62</v>
      </c>
      <c r="D1282" s="10">
        <v>5.1999997999999996</v>
      </c>
      <c r="E1282" s="10">
        <v>4</v>
      </c>
      <c r="F1282" s="10">
        <v>1.2</v>
      </c>
      <c r="G1282" s="10">
        <v>4</v>
      </c>
      <c r="H1282" s="10">
        <v>1.2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0.2</v>
      </c>
      <c r="O1282" s="8" t="s">
        <v>57</v>
      </c>
      <c r="P1282" s="8" t="s">
        <v>31</v>
      </c>
      <c r="Q1282" s="8" t="s">
        <v>31</v>
      </c>
      <c r="R1282" s="8" t="s">
        <v>31</v>
      </c>
      <c r="S1282" s="8" t="s">
        <v>31</v>
      </c>
      <c r="T1282" s="8" t="s">
        <v>31</v>
      </c>
      <c r="U1282" s="8" t="s">
        <v>31</v>
      </c>
      <c r="V1282" s="8" t="s">
        <v>31</v>
      </c>
      <c r="W1282" s="8" t="str">
        <f>_xlfn.IFNA(VLOOKUP(A1282,[1]Sheet1!$A$1:$B$101,1,FALSE),"na")</f>
        <v>na</v>
      </c>
      <c r="X1282" s="8" t="s">
        <v>35</v>
      </c>
      <c r="Y1282" s="9">
        <v>1076</v>
      </c>
      <c r="Z1282" s="9">
        <v>206.92308</v>
      </c>
      <c r="AA1282" s="9">
        <v>269</v>
      </c>
      <c r="AB1282" s="9">
        <v>896.66663000000005</v>
      </c>
    </row>
    <row r="1283" spans="1:28" x14ac:dyDescent="0.25">
      <c r="A1283" s="8" t="s">
        <v>2662</v>
      </c>
      <c r="B1283" s="8" t="s">
        <v>2663</v>
      </c>
      <c r="C1283" s="8" t="s">
        <v>67</v>
      </c>
      <c r="D1283" s="10">
        <v>2</v>
      </c>
      <c r="E1283" s="10">
        <v>2</v>
      </c>
      <c r="F1283" s="10">
        <v>0</v>
      </c>
      <c r="G1283" s="10">
        <v>2</v>
      </c>
      <c r="H1283" s="10">
        <v>0</v>
      </c>
      <c r="I1283" s="10">
        <v>0</v>
      </c>
      <c r="J1283" s="10">
        <v>0</v>
      </c>
      <c r="K1283" s="10">
        <v>0</v>
      </c>
      <c r="L1283" s="10">
        <v>0</v>
      </c>
      <c r="M1283" s="10">
        <v>0</v>
      </c>
      <c r="N1283" s="10">
        <v>0</v>
      </c>
      <c r="O1283" s="8" t="s">
        <v>31</v>
      </c>
      <c r="P1283" s="8" t="s">
        <v>31</v>
      </c>
      <c r="Q1283" s="8" t="s">
        <v>31</v>
      </c>
      <c r="R1283" s="8" t="s">
        <v>31</v>
      </c>
      <c r="S1283" s="8" t="s">
        <v>31</v>
      </c>
      <c r="T1283" s="8" t="s">
        <v>31</v>
      </c>
      <c r="U1283" s="8" t="s">
        <v>31</v>
      </c>
      <c r="V1283" s="8" t="s">
        <v>31</v>
      </c>
      <c r="W1283" s="8" t="str">
        <f>_xlfn.IFNA(VLOOKUP(A1283,[1]Sheet1!$A$1:$B$101,1,FALSE),"na")</f>
        <v>na</v>
      </c>
      <c r="X1283" s="8" t="s">
        <v>2664</v>
      </c>
      <c r="Y1283" s="9">
        <v>351</v>
      </c>
      <c r="Z1283" s="9">
        <v>175.5</v>
      </c>
      <c r="AA1283" s="9">
        <v>175.5</v>
      </c>
      <c r="AB1283" s="9">
        <v>351</v>
      </c>
    </row>
    <row r="1284" spans="1:28" x14ac:dyDescent="0.25">
      <c r="A1284" s="8" t="s">
        <v>2665</v>
      </c>
      <c r="B1284" s="8" t="s">
        <v>2666</v>
      </c>
      <c r="C1284" s="8" t="s">
        <v>30</v>
      </c>
      <c r="D1284" s="10">
        <v>1.4</v>
      </c>
      <c r="E1284" s="10">
        <v>1</v>
      </c>
      <c r="F1284" s="10">
        <v>0.40000001000000002</v>
      </c>
      <c r="G1284" s="10">
        <v>1</v>
      </c>
      <c r="H1284" s="10">
        <v>0.40000001000000002</v>
      </c>
      <c r="I1284" s="10">
        <v>0</v>
      </c>
      <c r="J1284" s="10">
        <v>0</v>
      </c>
      <c r="K1284" s="10">
        <v>0</v>
      </c>
      <c r="L1284" s="10">
        <v>0</v>
      </c>
      <c r="M1284" s="10">
        <v>0</v>
      </c>
      <c r="N1284" s="10">
        <v>0.40000001000000002</v>
      </c>
      <c r="O1284" s="8" t="s">
        <v>31</v>
      </c>
      <c r="P1284" s="8" t="s">
        <v>31</v>
      </c>
      <c r="Q1284" s="8" t="s">
        <v>31</v>
      </c>
      <c r="R1284" s="8" t="s">
        <v>31</v>
      </c>
      <c r="S1284" s="8" t="s">
        <v>31</v>
      </c>
      <c r="T1284" s="8" t="s">
        <v>31</v>
      </c>
      <c r="U1284" s="8" t="s">
        <v>31</v>
      </c>
      <c r="V1284" s="8" t="s">
        <v>31</v>
      </c>
      <c r="W1284" s="8" t="str">
        <f>_xlfn.IFNA(VLOOKUP(A1284,[1]Sheet1!$A$1:$B$101,1,FALSE),"na")</f>
        <v>na</v>
      </c>
      <c r="X1284" s="8" t="s">
        <v>35</v>
      </c>
      <c r="Y1284" s="9">
        <v>396</v>
      </c>
      <c r="Z1284" s="9">
        <v>282.85714999999999</v>
      </c>
      <c r="AA1284" s="9">
        <v>396</v>
      </c>
      <c r="AB1284" s="9">
        <v>396</v>
      </c>
    </row>
    <row r="1285" spans="1:28" x14ac:dyDescent="0.25">
      <c r="A1285" s="8" t="s">
        <v>2667</v>
      </c>
      <c r="B1285" s="8" t="s">
        <v>2668</v>
      </c>
      <c r="C1285" s="8" t="s">
        <v>30</v>
      </c>
      <c r="D1285" s="10">
        <v>1.3</v>
      </c>
      <c r="E1285" s="10">
        <v>1</v>
      </c>
      <c r="F1285" s="10">
        <v>0.30000000999999998</v>
      </c>
      <c r="G1285" s="10">
        <v>1</v>
      </c>
      <c r="H1285" s="10">
        <v>0.30000000999999998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0.30000000999999998</v>
      </c>
      <c r="O1285" s="8" t="s">
        <v>31</v>
      </c>
      <c r="P1285" s="8" t="s">
        <v>31</v>
      </c>
      <c r="Q1285" s="8" t="s">
        <v>31</v>
      </c>
      <c r="R1285" s="8" t="s">
        <v>31</v>
      </c>
      <c r="S1285" s="8" t="s">
        <v>31</v>
      </c>
      <c r="T1285" s="8" t="s">
        <v>31</v>
      </c>
      <c r="U1285" s="8" t="s">
        <v>31</v>
      </c>
      <c r="V1285" s="8" t="s">
        <v>31</v>
      </c>
      <c r="W1285" s="8" t="str">
        <f>_xlfn.IFNA(VLOOKUP(A1285,[1]Sheet1!$A$1:$B$101,1,FALSE),"na")</f>
        <v>na</v>
      </c>
      <c r="X1285" s="8" t="s">
        <v>35</v>
      </c>
      <c r="Y1285" s="9">
        <v>456</v>
      </c>
      <c r="Z1285" s="9">
        <v>350.76925999999997</v>
      </c>
      <c r="AA1285" s="9">
        <v>456</v>
      </c>
      <c r="AB1285" s="9">
        <v>456</v>
      </c>
    </row>
    <row r="1286" spans="1:28" x14ac:dyDescent="0.25">
      <c r="A1286" s="8" t="s">
        <v>2669</v>
      </c>
      <c r="B1286" s="8" t="s">
        <v>2670</v>
      </c>
      <c r="C1286" s="8" t="s">
        <v>30</v>
      </c>
      <c r="D1286" s="10">
        <v>2.8</v>
      </c>
      <c r="E1286" s="10">
        <v>2</v>
      </c>
      <c r="F1286" s="10">
        <v>0.80000000999999998</v>
      </c>
      <c r="G1286" s="10">
        <v>2</v>
      </c>
      <c r="H1286" s="10">
        <v>0.80000000999999998</v>
      </c>
      <c r="I1286" s="10">
        <v>0</v>
      </c>
      <c r="J1286" s="10">
        <v>0</v>
      </c>
      <c r="K1286" s="10">
        <v>0</v>
      </c>
      <c r="L1286" s="10">
        <v>0</v>
      </c>
      <c r="M1286" s="10">
        <v>0</v>
      </c>
      <c r="N1286" s="10">
        <v>0.80000000999999998</v>
      </c>
      <c r="O1286" s="8" t="s">
        <v>31</v>
      </c>
      <c r="P1286" s="8" t="s">
        <v>31</v>
      </c>
      <c r="Q1286" s="8" t="s">
        <v>31</v>
      </c>
      <c r="R1286" s="8" t="s">
        <v>31</v>
      </c>
      <c r="S1286" s="8" t="s">
        <v>31</v>
      </c>
      <c r="T1286" s="8" t="s">
        <v>31</v>
      </c>
      <c r="U1286" s="8" t="s">
        <v>31</v>
      </c>
      <c r="V1286" s="8" t="s">
        <v>31</v>
      </c>
      <c r="W1286" s="8" t="str">
        <f>_xlfn.IFNA(VLOOKUP(A1286,[1]Sheet1!$A$1:$B$101,1,FALSE),"na")</f>
        <v>na</v>
      </c>
      <c r="X1286" s="8" t="s">
        <v>35</v>
      </c>
      <c r="Y1286" s="9">
        <v>908</v>
      </c>
      <c r="Z1286" s="9">
        <v>324.28570999999999</v>
      </c>
      <c r="AA1286" s="9">
        <v>454</v>
      </c>
      <c r="AB1286" s="9">
        <v>908</v>
      </c>
    </row>
    <row r="1287" spans="1:28" x14ac:dyDescent="0.25">
      <c r="A1287" s="8" t="s">
        <v>2671</v>
      </c>
      <c r="B1287" s="8" t="s">
        <v>2672</v>
      </c>
      <c r="C1287" s="8" t="s">
        <v>30</v>
      </c>
      <c r="D1287" s="10">
        <v>2.4000001000000002</v>
      </c>
      <c r="E1287" s="10">
        <v>1</v>
      </c>
      <c r="F1287" s="10">
        <v>1.4</v>
      </c>
      <c r="G1287" s="10">
        <v>1</v>
      </c>
      <c r="H1287" s="10">
        <v>1.4</v>
      </c>
      <c r="I1287" s="10">
        <v>0</v>
      </c>
      <c r="J1287" s="10">
        <v>0</v>
      </c>
      <c r="K1287" s="10">
        <v>0</v>
      </c>
      <c r="L1287" s="10">
        <v>0.40000001000000002</v>
      </c>
      <c r="M1287" s="10">
        <v>0</v>
      </c>
      <c r="N1287" s="10">
        <v>0.40000001000000002</v>
      </c>
      <c r="O1287" s="8" t="s">
        <v>57</v>
      </c>
      <c r="P1287" s="8" t="s">
        <v>31</v>
      </c>
      <c r="Q1287" s="8" t="s">
        <v>31</v>
      </c>
      <c r="R1287" s="8" t="s">
        <v>31</v>
      </c>
      <c r="S1287" s="8" t="s">
        <v>31</v>
      </c>
      <c r="T1287" s="8" t="s">
        <v>31</v>
      </c>
      <c r="U1287" s="8" t="s">
        <v>31</v>
      </c>
      <c r="V1287" s="8" t="s">
        <v>31</v>
      </c>
      <c r="W1287" s="8" t="str">
        <f>_xlfn.IFNA(VLOOKUP(A1287,[1]Sheet1!$A$1:$B$101,1,FALSE),"na")</f>
        <v>na</v>
      </c>
      <c r="X1287" s="8" t="s">
        <v>35</v>
      </c>
      <c r="Y1287" s="9">
        <v>462</v>
      </c>
      <c r="Z1287" s="9">
        <v>192.49997999999999</v>
      </c>
      <c r="AA1287" s="9">
        <v>462</v>
      </c>
      <c r="AB1287" s="9">
        <v>330</v>
      </c>
    </row>
    <row r="1288" spans="1:28" x14ac:dyDescent="0.25">
      <c r="A1288" s="8" t="s">
        <v>2673</v>
      </c>
      <c r="B1288" s="8" t="s">
        <v>2674</v>
      </c>
      <c r="C1288" s="8" t="s">
        <v>30</v>
      </c>
      <c r="D1288" s="10">
        <v>2.4000001000000002</v>
      </c>
      <c r="E1288" s="10">
        <v>1</v>
      </c>
      <c r="F1288" s="10">
        <v>1.4</v>
      </c>
      <c r="G1288" s="10">
        <v>1</v>
      </c>
      <c r="H1288" s="10">
        <v>1.4</v>
      </c>
      <c r="I1288" s="10">
        <v>0</v>
      </c>
      <c r="J1288" s="10">
        <v>0</v>
      </c>
      <c r="K1288" s="10">
        <v>0</v>
      </c>
      <c r="L1288" s="10">
        <v>0.40000001000000002</v>
      </c>
      <c r="M1288" s="10">
        <v>0</v>
      </c>
      <c r="N1288" s="10">
        <v>0.40000001000000002</v>
      </c>
      <c r="O1288" s="8" t="s">
        <v>57</v>
      </c>
      <c r="P1288" s="8" t="s">
        <v>31</v>
      </c>
      <c r="Q1288" s="8" t="s">
        <v>31</v>
      </c>
      <c r="R1288" s="8" t="s">
        <v>31</v>
      </c>
      <c r="S1288" s="8" t="s">
        <v>31</v>
      </c>
      <c r="T1288" s="8" t="s">
        <v>31</v>
      </c>
      <c r="U1288" s="8" t="s">
        <v>31</v>
      </c>
      <c r="V1288" s="8" t="s">
        <v>31</v>
      </c>
      <c r="W1288" s="8" t="str">
        <f>_xlfn.IFNA(VLOOKUP(A1288,[1]Sheet1!$A$1:$B$101,1,FALSE),"na")</f>
        <v>na</v>
      </c>
      <c r="X1288" s="8" t="s">
        <v>35</v>
      </c>
      <c r="Y1288" s="9">
        <v>476</v>
      </c>
      <c r="Z1288" s="9">
        <v>198.33332999999999</v>
      </c>
      <c r="AA1288" s="9">
        <v>476</v>
      </c>
      <c r="AB1288" s="9">
        <v>340</v>
      </c>
    </row>
    <row r="1289" spans="1:28" x14ac:dyDescent="0.25">
      <c r="A1289" s="8" t="s">
        <v>2675</v>
      </c>
      <c r="B1289" s="8" t="s">
        <v>2676</v>
      </c>
      <c r="C1289" s="8" t="s">
        <v>67</v>
      </c>
      <c r="D1289" s="10">
        <v>2.0666698999999999</v>
      </c>
      <c r="E1289" s="10">
        <v>1</v>
      </c>
      <c r="F1289" s="10">
        <v>1.0666698999999999</v>
      </c>
      <c r="G1289" s="10">
        <v>1</v>
      </c>
      <c r="H1289" s="10">
        <v>1.0666698999999999</v>
      </c>
      <c r="I1289" s="10">
        <v>0</v>
      </c>
      <c r="J1289" s="10">
        <v>0</v>
      </c>
      <c r="K1289" s="10">
        <v>0</v>
      </c>
      <c r="L1289" s="10">
        <v>0</v>
      </c>
      <c r="M1289" s="10">
        <v>0</v>
      </c>
      <c r="N1289" s="10">
        <v>6.6670001000000007E-2</v>
      </c>
      <c r="O1289" s="8" t="s">
        <v>31</v>
      </c>
      <c r="P1289" s="8" t="s">
        <v>31</v>
      </c>
      <c r="Q1289" s="8" t="s">
        <v>31</v>
      </c>
      <c r="R1289" s="8" t="s">
        <v>31</v>
      </c>
      <c r="S1289" s="8" t="s">
        <v>31</v>
      </c>
      <c r="T1289" s="8" t="s">
        <v>31</v>
      </c>
      <c r="U1289" s="8" t="s">
        <v>31</v>
      </c>
      <c r="V1289" s="8" t="s">
        <v>31</v>
      </c>
      <c r="W1289" s="8" t="str">
        <f>_xlfn.IFNA(VLOOKUP(A1289,[1]Sheet1!$A$1:$B$101,1,FALSE),"na")</f>
        <v>na</v>
      </c>
      <c r="X1289" s="8" t="s">
        <v>35</v>
      </c>
      <c r="Y1289" s="9">
        <v>330</v>
      </c>
      <c r="Z1289" s="9">
        <v>159.67716999999999</v>
      </c>
      <c r="AA1289" s="9">
        <v>330</v>
      </c>
      <c r="AB1289" s="9">
        <v>309.37405000000001</v>
      </c>
    </row>
    <row r="1290" spans="1:28" x14ac:dyDescent="0.25">
      <c r="A1290" s="8" t="s">
        <v>2677</v>
      </c>
      <c r="B1290" s="8" t="s">
        <v>2678</v>
      </c>
      <c r="C1290" s="8" t="s">
        <v>30</v>
      </c>
      <c r="D1290" s="10">
        <v>2.5999998999999998</v>
      </c>
      <c r="E1290" s="10">
        <v>1</v>
      </c>
      <c r="F1290" s="10">
        <v>1.6</v>
      </c>
      <c r="G1290" s="10">
        <v>1</v>
      </c>
      <c r="H1290" s="10">
        <v>1.6</v>
      </c>
      <c r="I1290" s="10">
        <v>0</v>
      </c>
      <c r="J1290" s="10">
        <v>0</v>
      </c>
      <c r="K1290" s="10">
        <v>0</v>
      </c>
      <c r="L1290" s="10">
        <v>0.2</v>
      </c>
      <c r="M1290" s="10">
        <v>0</v>
      </c>
      <c r="N1290" s="10">
        <v>0.60000001999999997</v>
      </c>
      <c r="O1290" s="8" t="s">
        <v>57</v>
      </c>
      <c r="P1290" s="8" t="s">
        <v>31</v>
      </c>
      <c r="Q1290" s="8" t="s">
        <v>31</v>
      </c>
      <c r="R1290" s="8" t="s">
        <v>31</v>
      </c>
      <c r="S1290" s="8" t="s">
        <v>31</v>
      </c>
      <c r="T1290" s="8" t="s">
        <v>31</v>
      </c>
      <c r="U1290" s="8" t="s">
        <v>31</v>
      </c>
      <c r="V1290" s="8" t="s">
        <v>31</v>
      </c>
      <c r="W1290" s="8" t="str">
        <f>_xlfn.IFNA(VLOOKUP(A1290,[1]Sheet1!$A$1:$B$101,1,FALSE),"na")</f>
        <v>na</v>
      </c>
      <c r="X1290" s="8" t="s">
        <v>35</v>
      </c>
      <c r="Y1290" s="9">
        <v>361</v>
      </c>
      <c r="Z1290" s="9">
        <v>138.84616</v>
      </c>
      <c r="AA1290" s="9">
        <v>361</v>
      </c>
      <c r="AB1290" s="9">
        <v>225.625</v>
      </c>
    </row>
    <row r="1291" spans="1:28" x14ac:dyDescent="0.25">
      <c r="A1291" s="8" t="s">
        <v>2679</v>
      </c>
      <c r="B1291" s="8" t="s">
        <v>2680</v>
      </c>
      <c r="C1291" s="8" t="s">
        <v>30</v>
      </c>
      <c r="D1291" s="10">
        <v>3.4000001000000002</v>
      </c>
      <c r="E1291" s="10">
        <v>2</v>
      </c>
      <c r="F1291" s="10">
        <v>1.4</v>
      </c>
      <c r="G1291" s="10">
        <v>2</v>
      </c>
      <c r="H1291" s="10">
        <v>1.4</v>
      </c>
      <c r="I1291" s="10">
        <v>0</v>
      </c>
      <c r="J1291" s="10">
        <v>0</v>
      </c>
      <c r="K1291" s="10">
        <v>0</v>
      </c>
      <c r="L1291" s="10">
        <v>0.40000001000000002</v>
      </c>
      <c r="M1291" s="10">
        <v>0</v>
      </c>
      <c r="N1291" s="10">
        <v>0.40000001000000002</v>
      </c>
      <c r="O1291" s="8" t="s">
        <v>57</v>
      </c>
      <c r="P1291" s="8" t="s">
        <v>31</v>
      </c>
      <c r="Q1291" s="8" t="s">
        <v>31</v>
      </c>
      <c r="R1291" s="8" t="s">
        <v>31</v>
      </c>
      <c r="S1291" s="8" t="s">
        <v>31</v>
      </c>
      <c r="T1291" s="8" t="s">
        <v>31</v>
      </c>
      <c r="U1291" s="8" t="s">
        <v>31</v>
      </c>
      <c r="V1291" s="8" t="s">
        <v>31</v>
      </c>
      <c r="W1291" s="8" t="str">
        <f>_xlfn.IFNA(VLOOKUP(A1291,[1]Sheet1!$A$1:$B$101,1,FALSE),"na")</f>
        <v>na</v>
      </c>
      <c r="X1291" s="8" t="s">
        <v>35</v>
      </c>
      <c r="Y1291" s="9">
        <v>674</v>
      </c>
      <c r="Z1291" s="9">
        <v>198.23528999999999</v>
      </c>
      <c r="AA1291" s="9">
        <v>337</v>
      </c>
      <c r="AB1291" s="9">
        <v>481.42858999999999</v>
      </c>
    </row>
    <row r="1292" spans="1:28" x14ac:dyDescent="0.25">
      <c r="A1292" s="8" t="s">
        <v>2681</v>
      </c>
      <c r="B1292" s="8" t="s">
        <v>2682</v>
      </c>
      <c r="C1292" s="8" t="s">
        <v>30</v>
      </c>
      <c r="D1292" s="10">
        <v>1.6</v>
      </c>
      <c r="E1292" s="10">
        <v>1</v>
      </c>
      <c r="F1292" s="10">
        <v>0.60000001999999997</v>
      </c>
      <c r="G1292" s="10">
        <v>1</v>
      </c>
      <c r="H1292" s="10">
        <v>0.60000001999999997</v>
      </c>
      <c r="I1292" s="10">
        <v>0</v>
      </c>
      <c r="J1292" s="10">
        <v>0</v>
      </c>
      <c r="K1292" s="10">
        <v>0</v>
      </c>
      <c r="L1292" s="10">
        <v>0.60000001999999997</v>
      </c>
      <c r="M1292" s="10">
        <v>0</v>
      </c>
      <c r="N1292" s="10">
        <v>0.60000001999999997</v>
      </c>
      <c r="O1292" s="8" t="s">
        <v>31</v>
      </c>
      <c r="P1292" s="8" t="s">
        <v>31</v>
      </c>
      <c r="Q1292" s="8" t="s">
        <v>31</v>
      </c>
      <c r="R1292" s="8" t="s">
        <v>31</v>
      </c>
      <c r="S1292" s="8" t="s">
        <v>31</v>
      </c>
      <c r="T1292" s="8" t="s">
        <v>31</v>
      </c>
      <c r="U1292" s="8" t="s">
        <v>31</v>
      </c>
      <c r="V1292" s="8" t="s">
        <v>31</v>
      </c>
      <c r="W1292" s="8" t="str">
        <f>_xlfn.IFNA(VLOOKUP(A1292,[1]Sheet1!$A$1:$B$101,1,FALSE),"na")</f>
        <v>na</v>
      </c>
      <c r="X1292" s="8" t="s">
        <v>35</v>
      </c>
      <c r="Y1292" s="9">
        <v>681</v>
      </c>
      <c r="Z1292" s="9">
        <v>425.625</v>
      </c>
      <c r="AA1292" s="9">
        <v>681</v>
      </c>
      <c r="AB1292" s="9">
        <v>681</v>
      </c>
    </row>
    <row r="1293" spans="1:28" x14ac:dyDescent="0.25">
      <c r="A1293" s="8" t="s">
        <v>2683</v>
      </c>
      <c r="B1293" s="8" t="s">
        <v>2684</v>
      </c>
      <c r="C1293" s="8" t="s">
        <v>30</v>
      </c>
      <c r="D1293" s="10">
        <v>1.8</v>
      </c>
      <c r="E1293" s="10">
        <v>0</v>
      </c>
      <c r="F1293" s="10">
        <v>1.8</v>
      </c>
      <c r="G1293" s="10">
        <v>0</v>
      </c>
      <c r="H1293" s="10">
        <v>1.8</v>
      </c>
      <c r="I1293" s="10">
        <v>0</v>
      </c>
      <c r="J1293" s="10">
        <v>0</v>
      </c>
      <c r="K1293" s="10">
        <v>0</v>
      </c>
      <c r="L1293" s="10">
        <v>0.2</v>
      </c>
      <c r="M1293" s="10">
        <v>0</v>
      </c>
      <c r="N1293" s="10">
        <v>0.80000000999999998</v>
      </c>
      <c r="O1293" s="8" t="s">
        <v>31</v>
      </c>
      <c r="P1293" s="8" t="s">
        <v>31</v>
      </c>
      <c r="Q1293" s="8" t="s">
        <v>31</v>
      </c>
      <c r="R1293" s="8" t="s">
        <v>31</v>
      </c>
      <c r="S1293" s="8" t="s">
        <v>31</v>
      </c>
      <c r="T1293" s="8" t="s">
        <v>31</v>
      </c>
      <c r="U1293" s="8" t="s">
        <v>31</v>
      </c>
      <c r="V1293" s="8" t="s">
        <v>31</v>
      </c>
      <c r="W1293" s="8" t="str">
        <f>_xlfn.IFNA(VLOOKUP(A1293,[1]Sheet1!$A$1:$B$101,1,FALSE),"na")</f>
        <v>na</v>
      </c>
      <c r="X1293" s="8" t="s">
        <v>35</v>
      </c>
      <c r="Y1293" s="9">
        <v>762</v>
      </c>
      <c r="Z1293" s="9">
        <v>423.33334000000002</v>
      </c>
      <c r="AA1293" s="9">
        <v>762</v>
      </c>
      <c r="AB1293" s="9">
        <v>423.33334000000002</v>
      </c>
    </row>
    <row r="1294" spans="1:28" x14ac:dyDescent="0.25">
      <c r="A1294" s="8" t="s">
        <v>2685</v>
      </c>
      <c r="B1294" s="8" t="s">
        <v>2686</v>
      </c>
      <c r="C1294" s="8" t="s">
        <v>30</v>
      </c>
      <c r="D1294" s="10">
        <v>2.4000001000000002</v>
      </c>
      <c r="E1294" s="10">
        <v>1</v>
      </c>
      <c r="F1294" s="10">
        <v>1.4</v>
      </c>
      <c r="G1294" s="10">
        <v>1</v>
      </c>
      <c r="H1294" s="10">
        <v>1.4</v>
      </c>
      <c r="I1294" s="10">
        <v>0</v>
      </c>
      <c r="J1294" s="10">
        <v>0</v>
      </c>
      <c r="K1294" s="10">
        <v>0</v>
      </c>
      <c r="L1294" s="10">
        <v>0.40000001000000002</v>
      </c>
      <c r="M1294" s="10">
        <v>0</v>
      </c>
      <c r="N1294" s="10">
        <v>0.40000001000000002</v>
      </c>
      <c r="O1294" s="8" t="s">
        <v>57</v>
      </c>
      <c r="P1294" s="8" t="s">
        <v>57</v>
      </c>
      <c r="Q1294" s="8" t="s">
        <v>31</v>
      </c>
      <c r="R1294" s="8" t="s">
        <v>31</v>
      </c>
      <c r="S1294" s="8" t="s">
        <v>31</v>
      </c>
      <c r="T1294" s="8" t="s">
        <v>31</v>
      </c>
      <c r="U1294" s="8" t="s">
        <v>31</v>
      </c>
      <c r="V1294" s="8" t="s">
        <v>31</v>
      </c>
      <c r="W1294" s="8" t="str">
        <f>_xlfn.IFNA(VLOOKUP(A1294,[1]Sheet1!$A$1:$B$101,1,FALSE),"na")</f>
        <v>na</v>
      </c>
      <c r="X1294" s="8" t="s">
        <v>35</v>
      </c>
      <c r="Y1294" s="9">
        <v>607</v>
      </c>
      <c r="Z1294" s="9">
        <v>252.91666000000001</v>
      </c>
      <c r="AA1294" s="9">
        <v>607</v>
      </c>
      <c r="AB1294" s="9">
        <v>433.57144</v>
      </c>
    </row>
    <row r="1295" spans="1:28" x14ac:dyDescent="0.25">
      <c r="A1295" s="8" t="s">
        <v>2687</v>
      </c>
      <c r="B1295" s="8" t="s">
        <v>2688</v>
      </c>
      <c r="C1295" s="8" t="s">
        <v>30</v>
      </c>
      <c r="D1295" s="10">
        <v>2</v>
      </c>
      <c r="E1295" s="10">
        <v>1</v>
      </c>
      <c r="F1295" s="10">
        <v>1</v>
      </c>
      <c r="G1295" s="10">
        <v>1</v>
      </c>
      <c r="H1295" s="10">
        <v>1</v>
      </c>
      <c r="I1295" s="10">
        <v>0</v>
      </c>
      <c r="J1295" s="10">
        <v>0</v>
      </c>
      <c r="K1295" s="10">
        <v>0</v>
      </c>
      <c r="L1295" s="10">
        <v>1</v>
      </c>
      <c r="M1295" s="10">
        <v>0</v>
      </c>
      <c r="N1295" s="10">
        <v>1</v>
      </c>
      <c r="O1295" s="8" t="s">
        <v>31</v>
      </c>
      <c r="P1295" s="8" t="s">
        <v>31</v>
      </c>
      <c r="Q1295" s="8" t="s">
        <v>31</v>
      </c>
      <c r="R1295" s="8" t="s">
        <v>31</v>
      </c>
      <c r="S1295" s="8" t="s">
        <v>31</v>
      </c>
      <c r="T1295" s="8" t="s">
        <v>31</v>
      </c>
      <c r="U1295" s="8" t="s">
        <v>31</v>
      </c>
      <c r="V1295" s="8" t="s">
        <v>31</v>
      </c>
      <c r="W1295" s="8" t="str">
        <f>_xlfn.IFNA(VLOOKUP(A1295,[1]Sheet1!$A$1:$B$101,1,FALSE),"na")</f>
        <v>na</v>
      </c>
      <c r="X1295" s="8" t="s">
        <v>35</v>
      </c>
      <c r="Y1295" s="9">
        <v>764</v>
      </c>
      <c r="Z1295" s="9">
        <v>382</v>
      </c>
      <c r="AA1295" s="9">
        <v>764</v>
      </c>
      <c r="AB1295" s="9">
        <v>764</v>
      </c>
    </row>
    <row r="1296" spans="1:28" x14ac:dyDescent="0.25">
      <c r="A1296" s="8" t="s">
        <v>2689</v>
      </c>
      <c r="B1296" s="8" t="s">
        <v>2690</v>
      </c>
      <c r="C1296" s="8" t="s">
        <v>30</v>
      </c>
      <c r="D1296" s="10">
        <v>2.4000001000000002</v>
      </c>
      <c r="E1296" s="10">
        <v>1</v>
      </c>
      <c r="F1296" s="10">
        <v>1.4</v>
      </c>
      <c r="G1296" s="10">
        <v>1</v>
      </c>
      <c r="H1296" s="10">
        <v>1.4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0.40000001000000002</v>
      </c>
      <c r="O1296" s="8" t="s">
        <v>57</v>
      </c>
      <c r="P1296" s="8" t="s">
        <v>31</v>
      </c>
      <c r="Q1296" s="8" t="s">
        <v>31</v>
      </c>
      <c r="R1296" s="8" t="s">
        <v>31</v>
      </c>
      <c r="S1296" s="8" t="s">
        <v>31</v>
      </c>
      <c r="T1296" s="8" t="s">
        <v>31</v>
      </c>
      <c r="U1296" s="8" t="s">
        <v>31</v>
      </c>
      <c r="V1296" s="8" t="s">
        <v>31</v>
      </c>
      <c r="W1296" s="8" t="str">
        <f>_xlfn.IFNA(VLOOKUP(A1296,[1]Sheet1!$A$1:$B$101,1,FALSE),"na")</f>
        <v>na</v>
      </c>
      <c r="X1296" s="8" t="s">
        <v>35</v>
      </c>
      <c r="Y1296" s="9">
        <v>751</v>
      </c>
      <c r="Z1296" s="9">
        <v>312.91665999999998</v>
      </c>
      <c r="AA1296" s="9">
        <v>751</v>
      </c>
      <c r="AB1296" s="9">
        <v>536.42858999999999</v>
      </c>
    </row>
    <row r="1297" spans="1:28" x14ac:dyDescent="0.25">
      <c r="A1297" s="8" t="s">
        <v>2691</v>
      </c>
      <c r="B1297" s="8" t="s">
        <v>2692</v>
      </c>
      <c r="C1297" s="8" t="s">
        <v>30</v>
      </c>
      <c r="D1297" s="10">
        <v>1.3</v>
      </c>
      <c r="E1297" s="10">
        <v>1</v>
      </c>
      <c r="F1297" s="10">
        <v>0.30000000999999998</v>
      </c>
      <c r="G1297" s="10">
        <v>1</v>
      </c>
      <c r="H1297" s="10">
        <v>0.30000000999999998</v>
      </c>
      <c r="I1297" s="10">
        <v>0</v>
      </c>
      <c r="J1297" s="10">
        <v>0</v>
      </c>
      <c r="K1297" s="10">
        <v>0</v>
      </c>
      <c r="L1297" s="10">
        <v>0.30000000999999998</v>
      </c>
      <c r="M1297" s="10">
        <v>0</v>
      </c>
      <c r="N1297" s="10">
        <v>0.30000000999999998</v>
      </c>
      <c r="O1297" s="8" t="s">
        <v>31</v>
      </c>
      <c r="P1297" s="8" t="s">
        <v>31</v>
      </c>
      <c r="Q1297" s="8" t="s">
        <v>31</v>
      </c>
      <c r="R1297" s="8" t="s">
        <v>31</v>
      </c>
      <c r="S1297" s="8" t="s">
        <v>31</v>
      </c>
      <c r="T1297" s="8" t="s">
        <v>31</v>
      </c>
      <c r="U1297" s="8" t="s">
        <v>31</v>
      </c>
      <c r="V1297" s="8" t="s">
        <v>31</v>
      </c>
      <c r="W1297" s="8" t="str">
        <f>_xlfn.IFNA(VLOOKUP(A1297,[1]Sheet1!$A$1:$B$101,1,FALSE),"na")</f>
        <v>na</v>
      </c>
      <c r="X1297" s="8" t="s">
        <v>35</v>
      </c>
      <c r="Y1297" s="9">
        <v>580</v>
      </c>
      <c r="Z1297" s="9">
        <v>446.15386999999998</v>
      </c>
      <c r="AA1297" s="9">
        <v>580</v>
      </c>
      <c r="AB1297" s="9">
        <v>580</v>
      </c>
    </row>
    <row r="1298" spans="1:28" x14ac:dyDescent="0.25">
      <c r="A1298" s="8" t="s">
        <v>2693</v>
      </c>
      <c r="B1298" s="8" t="s">
        <v>2694</v>
      </c>
      <c r="C1298" s="8" t="s">
        <v>30</v>
      </c>
      <c r="D1298" s="10">
        <v>1.2</v>
      </c>
      <c r="E1298" s="10">
        <v>1</v>
      </c>
      <c r="F1298" s="10">
        <v>0.2</v>
      </c>
      <c r="G1298" s="10">
        <v>1</v>
      </c>
      <c r="H1298" s="10">
        <v>0.2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0.2</v>
      </c>
      <c r="O1298" s="8" t="s">
        <v>31</v>
      </c>
      <c r="P1298" s="8" t="s">
        <v>31</v>
      </c>
      <c r="Q1298" s="8" t="s">
        <v>31</v>
      </c>
      <c r="R1298" s="8" t="s">
        <v>31</v>
      </c>
      <c r="S1298" s="8" t="s">
        <v>31</v>
      </c>
      <c r="T1298" s="8" t="s">
        <v>31</v>
      </c>
      <c r="U1298" s="8" t="s">
        <v>31</v>
      </c>
      <c r="V1298" s="8" t="s">
        <v>31</v>
      </c>
      <c r="W1298" s="8" t="str">
        <f>_xlfn.IFNA(VLOOKUP(A1298,[1]Sheet1!$A$1:$B$101,1,FALSE),"na")</f>
        <v>na</v>
      </c>
      <c r="X1298" s="8" t="s">
        <v>35</v>
      </c>
      <c r="Y1298" s="9">
        <v>271</v>
      </c>
      <c r="Z1298" s="9">
        <v>225.83332999999999</v>
      </c>
      <c r="AA1298" s="9">
        <v>271</v>
      </c>
      <c r="AB1298" s="9">
        <v>271</v>
      </c>
    </row>
    <row r="1299" spans="1:28" x14ac:dyDescent="0.25">
      <c r="A1299" s="8" t="s">
        <v>2695</v>
      </c>
      <c r="B1299" s="8" t="s">
        <v>2696</v>
      </c>
      <c r="C1299" s="8" t="s">
        <v>30</v>
      </c>
      <c r="D1299" s="10">
        <v>1.6</v>
      </c>
      <c r="E1299" s="10">
        <v>1</v>
      </c>
      <c r="F1299" s="10">
        <v>0.60000001999999997</v>
      </c>
      <c r="G1299" s="10">
        <v>1</v>
      </c>
      <c r="H1299" s="10">
        <v>0.60000001999999997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0.60000001999999997</v>
      </c>
      <c r="O1299" s="8" t="s">
        <v>31</v>
      </c>
      <c r="P1299" s="8" t="s">
        <v>31</v>
      </c>
      <c r="Q1299" s="8" t="s">
        <v>31</v>
      </c>
      <c r="R1299" s="8" t="s">
        <v>31</v>
      </c>
      <c r="S1299" s="8" t="s">
        <v>31</v>
      </c>
      <c r="T1299" s="8" t="s">
        <v>31</v>
      </c>
      <c r="U1299" s="8" t="s">
        <v>31</v>
      </c>
      <c r="V1299" s="8" t="s">
        <v>31</v>
      </c>
      <c r="W1299" s="8" t="str">
        <f>_xlfn.IFNA(VLOOKUP(A1299,[1]Sheet1!$A$1:$B$101,1,FALSE),"na")</f>
        <v>na</v>
      </c>
      <c r="X1299" s="8" t="s">
        <v>35</v>
      </c>
      <c r="Y1299" s="9">
        <v>766</v>
      </c>
      <c r="Z1299" s="9">
        <v>478.75</v>
      </c>
      <c r="AA1299" s="9">
        <v>766</v>
      </c>
      <c r="AB1299" s="9">
        <v>766</v>
      </c>
    </row>
    <row r="1300" spans="1:28" x14ac:dyDescent="0.25">
      <c r="A1300" s="8" t="s">
        <v>2697</v>
      </c>
      <c r="B1300" s="8" t="s">
        <v>2698</v>
      </c>
      <c r="C1300" s="8" t="s">
        <v>67</v>
      </c>
      <c r="D1300" s="10">
        <v>5.1999997999999996</v>
      </c>
      <c r="E1300" s="10">
        <v>3</v>
      </c>
      <c r="F1300" s="10">
        <v>2.2000000000000002</v>
      </c>
      <c r="G1300" s="10">
        <v>3</v>
      </c>
      <c r="H1300" s="10">
        <v>2.2000000000000002</v>
      </c>
      <c r="I1300" s="10">
        <v>0</v>
      </c>
      <c r="J1300" s="10">
        <v>0</v>
      </c>
      <c r="K1300" s="10">
        <v>0</v>
      </c>
      <c r="L1300" s="10">
        <v>0.2</v>
      </c>
      <c r="M1300" s="10">
        <v>0</v>
      </c>
      <c r="N1300" s="10">
        <v>0.2</v>
      </c>
      <c r="O1300" s="8" t="s">
        <v>31</v>
      </c>
      <c r="P1300" s="8" t="s">
        <v>31</v>
      </c>
      <c r="Q1300" s="8" t="s">
        <v>31</v>
      </c>
      <c r="R1300" s="8" t="s">
        <v>57</v>
      </c>
      <c r="S1300" s="8" t="s">
        <v>31</v>
      </c>
      <c r="T1300" s="8" t="s">
        <v>31</v>
      </c>
      <c r="U1300" s="8" t="s">
        <v>31</v>
      </c>
      <c r="V1300" s="8" t="s">
        <v>31</v>
      </c>
      <c r="W1300" s="8" t="str">
        <f>_xlfn.IFNA(VLOOKUP(A1300,[1]Sheet1!$A$1:$B$101,1,FALSE),"na")</f>
        <v>na</v>
      </c>
      <c r="X1300" s="8" t="s">
        <v>35</v>
      </c>
      <c r="Y1300" s="9">
        <v>1631</v>
      </c>
      <c r="Z1300" s="9">
        <v>313.65386999999998</v>
      </c>
      <c r="AA1300" s="9">
        <v>543.66669000000002</v>
      </c>
      <c r="AB1300" s="9">
        <v>741.36365000000001</v>
      </c>
    </row>
    <row r="1301" spans="1:28" x14ac:dyDescent="0.25">
      <c r="A1301" s="8" t="s">
        <v>2699</v>
      </c>
      <c r="B1301" s="8" t="s">
        <v>2700</v>
      </c>
      <c r="C1301" s="8" t="s">
        <v>30</v>
      </c>
      <c r="D1301" s="10">
        <v>1.6</v>
      </c>
      <c r="E1301" s="10">
        <v>1</v>
      </c>
      <c r="F1301" s="10">
        <v>0.60000001999999997</v>
      </c>
      <c r="G1301" s="10">
        <v>1</v>
      </c>
      <c r="H1301" s="10">
        <v>0.60000001999999997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0.60000001999999997</v>
      </c>
      <c r="O1301" s="8" t="s">
        <v>31</v>
      </c>
      <c r="P1301" s="8" t="s">
        <v>31</v>
      </c>
      <c r="Q1301" s="8" t="s">
        <v>31</v>
      </c>
      <c r="R1301" s="8" t="s">
        <v>31</v>
      </c>
      <c r="S1301" s="8" t="s">
        <v>31</v>
      </c>
      <c r="T1301" s="8" t="s">
        <v>31</v>
      </c>
      <c r="U1301" s="8" t="s">
        <v>31</v>
      </c>
      <c r="V1301" s="8" t="s">
        <v>31</v>
      </c>
      <c r="W1301" s="8" t="str">
        <f>_xlfn.IFNA(VLOOKUP(A1301,[1]Sheet1!$A$1:$B$101,1,FALSE),"na")</f>
        <v>na</v>
      </c>
      <c r="X1301" s="8" t="s">
        <v>35</v>
      </c>
      <c r="Y1301" s="9">
        <v>668</v>
      </c>
      <c r="Z1301" s="9">
        <v>417.5</v>
      </c>
      <c r="AA1301" s="9">
        <v>668</v>
      </c>
      <c r="AB1301" s="9">
        <v>668</v>
      </c>
    </row>
    <row r="1302" spans="1:28" x14ac:dyDescent="0.25">
      <c r="A1302" s="8" t="s">
        <v>2701</v>
      </c>
      <c r="B1302" s="8" t="s">
        <v>2702</v>
      </c>
      <c r="C1302" s="8" t="s">
        <v>30</v>
      </c>
      <c r="D1302" s="10">
        <v>2.2000000000000002</v>
      </c>
      <c r="E1302" s="10">
        <v>1</v>
      </c>
      <c r="F1302" s="10">
        <v>1.2</v>
      </c>
      <c r="G1302" s="10">
        <v>1</v>
      </c>
      <c r="H1302" s="10">
        <v>1.2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0.2</v>
      </c>
      <c r="O1302" s="8" t="s">
        <v>57</v>
      </c>
      <c r="P1302" s="8" t="s">
        <v>31</v>
      </c>
      <c r="Q1302" s="8" t="s">
        <v>31</v>
      </c>
      <c r="R1302" s="8" t="s">
        <v>31</v>
      </c>
      <c r="S1302" s="8" t="s">
        <v>31</v>
      </c>
      <c r="T1302" s="8" t="s">
        <v>31</v>
      </c>
      <c r="U1302" s="8" t="s">
        <v>31</v>
      </c>
      <c r="V1302" s="8" t="s">
        <v>31</v>
      </c>
      <c r="W1302" s="8" t="str">
        <f>_xlfn.IFNA(VLOOKUP(A1302,[1]Sheet1!$A$1:$B$101,1,FALSE),"na")</f>
        <v>na</v>
      </c>
      <c r="X1302" s="8" t="s">
        <v>35</v>
      </c>
      <c r="Y1302" s="9">
        <v>559</v>
      </c>
      <c r="Z1302" s="9">
        <v>254.0909</v>
      </c>
      <c r="AA1302" s="9">
        <v>559</v>
      </c>
      <c r="AB1302" s="9">
        <v>465.83330999999998</v>
      </c>
    </row>
    <row r="1303" spans="1:28" x14ac:dyDescent="0.25">
      <c r="A1303" s="8" t="s">
        <v>2703</v>
      </c>
      <c r="B1303" s="8" t="s">
        <v>2704</v>
      </c>
      <c r="C1303" s="8" t="s">
        <v>80</v>
      </c>
      <c r="D1303" s="10">
        <v>5.1999997999999996</v>
      </c>
      <c r="E1303" s="10">
        <v>4</v>
      </c>
      <c r="F1303" s="10">
        <v>1.2</v>
      </c>
      <c r="G1303" s="10">
        <v>4</v>
      </c>
      <c r="H1303" s="10">
        <v>1.2</v>
      </c>
      <c r="I1303" s="10">
        <v>0</v>
      </c>
      <c r="J1303" s="10">
        <v>0</v>
      </c>
      <c r="K1303" s="10">
        <v>0</v>
      </c>
      <c r="L1303" s="10">
        <v>0.2</v>
      </c>
      <c r="M1303" s="10">
        <v>0</v>
      </c>
      <c r="N1303" s="10">
        <v>0.2</v>
      </c>
      <c r="O1303" s="8" t="s">
        <v>31</v>
      </c>
      <c r="P1303" s="8" t="s">
        <v>31</v>
      </c>
      <c r="Q1303" s="8" t="s">
        <v>31</v>
      </c>
      <c r="R1303" s="8" t="s">
        <v>31</v>
      </c>
      <c r="S1303" s="8" t="s">
        <v>31</v>
      </c>
      <c r="T1303" s="8" t="s">
        <v>31</v>
      </c>
      <c r="U1303" s="8" t="s">
        <v>31</v>
      </c>
      <c r="V1303" s="8" t="s">
        <v>31</v>
      </c>
      <c r="W1303" s="8" t="str">
        <f>_xlfn.IFNA(VLOOKUP(A1303,[1]Sheet1!$A$1:$B$101,1,FALSE),"na")</f>
        <v>na</v>
      </c>
      <c r="X1303" s="8" t="s">
        <v>35</v>
      </c>
      <c r="Y1303" s="9">
        <v>837</v>
      </c>
      <c r="Z1303" s="9">
        <v>160.96154999999999</v>
      </c>
      <c r="AA1303" s="9">
        <v>209.25</v>
      </c>
      <c r="AB1303" s="9">
        <v>697.5</v>
      </c>
    </row>
    <row r="1304" spans="1:28" x14ac:dyDescent="0.25">
      <c r="A1304" s="8" t="s">
        <v>2705</v>
      </c>
      <c r="B1304" s="8" t="s">
        <v>2706</v>
      </c>
      <c r="C1304" s="8" t="s">
        <v>30</v>
      </c>
      <c r="D1304" s="10">
        <v>1.4</v>
      </c>
      <c r="E1304" s="10">
        <v>0</v>
      </c>
      <c r="F1304" s="10">
        <v>1.4</v>
      </c>
      <c r="G1304" s="10">
        <v>0</v>
      </c>
      <c r="H1304" s="10">
        <v>1.4</v>
      </c>
      <c r="I1304" s="10">
        <v>0</v>
      </c>
      <c r="J1304" s="10">
        <v>0</v>
      </c>
      <c r="K1304" s="10">
        <v>0</v>
      </c>
      <c r="L1304" s="10">
        <v>0</v>
      </c>
      <c r="M1304" s="10">
        <v>0</v>
      </c>
      <c r="N1304" s="10">
        <v>0.40000001000000002</v>
      </c>
      <c r="O1304" s="8" t="s">
        <v>57</v>
      </c>
      <c r="P1304" s="8" t="s">
        <v>31</v>
      </c>
      <c r="Q1304" s="8" t="s">
        <v>31</v>
      </c>
      <c r="R1304" s="8" t="s">
        <v>31</v>
      </c>
      <c r="S1304" s="8" t="s">
        <v>31</v>
      </c>
      <c r="T1304" s="8" t="s">
        <v>31</v>
      </c>
      <c r="U1304" s="8" t="s">
        <v>31</v>
      </c>
      <c r="V1304" s="8" t="s">
        <v>31</v>
      </c>
      <c r="W1304" s="8" t="str">
        <f>_xlfn.IFNA(VLOOKUP(A1304,[1]Sheet1!$A$1:$B$101,1,FALSE),"na")</f>
        <v>na</v>
      </c>
      <c r="X1304" s="8" t="s">
        <v>35</v>
      </c>
      <c r="Y1304" s="9">
        <v>547</v>
      </c>
      <c r="Z1304" s="9">
        <v>390.71429000000001</v>
      </c>
      <c r="AA1304" s="9">
        <v>547</v>
      </c>
      <c r="AB1304" s="9">
        <v>390.71429000000001</v>
      </c>
    </row>
    <row r="1305" spans="1:28" x14ac:dyDescent="0.25">
      <c r="A1305" s="8" t="s">
        <v>2707</v>
      </c>
      <c r="B1305" s="8" t="s">
        <v>2708</v>
      </c>
      <c r="C1305" s="8" t="s">
        <v>30</v>
      </c>
      <c r="D1305" s="10">
        <v>1.6</v>
      </c>
      <c r="E1305" s="10">
        <v>1</v>
      </c>
      <c r="F1305" s="10">
        <v>0.60000001999999997</v>
      </c>
      <c r="G1305" s="10">
        <v>1</v>
      </c>
      <c r="H1305" s="10">
        <v>0.60000001999999997</v>
      </c>
      <c r="I1305" s="10">
        <v>0</v>
      </c>
      <c r="J1305" s="10">
        <v>0</v>
      </c>
      <c r="K1305" s="10">
        <v>0</v>
      </c>
      <c r="L1305" s="10">
        <v>0.60000001999999997</v>
      </c>
      <c r="M1305" s="10">
        <v>0</v>
      </c>
      <c r="N1305" s="10">
        <v>0.60000001999999997</v>
      </c>
      <c r="O1305" s="8" t="s">
        <v>31</v>
      </c>
      <c r="P1305" s="8" t="s">
        <v>31</v>
      </c>
      <c r="Q1305" s="8" t="s">
        <v>31</v>
      </c>
      <c r="R1305" s="8" t="s">
        <v>31</v>
      </c>
      <c r="S1305" s="8" t="s">
        <v>31</v>
      </c>
      <c r="T1305" s="8" t="s">
        <v>31</v>
      </c>
      <c r="U1305" s="8" t="s">
        <v>31</v>
      </c>
      <c r="V1305" s="8" t="s">
        <v>31</v>
      </c>
      <c r="W1305" s="8" t="str">
        <f>_xlfn.IFNA(VLOOKUP(A1305,[1]Sheet1!$A$1:$B$101,1,FALSE),"na")</f>
        <v>na</v>
      </c>
      <c r="X1305" s="8" t="s">
        <v>35</v>
      </c>
      <c r="Y1305" s="9">
        <v>713</v>
      </c>
      <c r="Z1305" s="9">
        <v>445.625</v>
      </c>
      <c r="AA1305" s="9">
        <v>713</v>
      </c>
      <c r="AB1305" s="9">
        <v>713</v>
      </c>
    </row>
    <row r="1306" spans="1:28" x14ac:dyDescent="0.25">
      <c r="A1306" s="8" t="s">
        <v>2709</v>
      </c>
      <c r="B1306" s="8" t="s">
        <v>2710</v>
      </c>
      <c r="C1306" s="8" t="s">
        <v>30</v>
      </c>
      <c r="D1306" s="10">
        <v>5.5</v>
      </c>
      <c r="E1306" s="10">
        <v>3</v>
      </c>
      <c r="F1306" s="10">
        <v>2.5</v>
      </c>
      <c r="G1306" s="10">
        <v>3</v>
      </c>
      <c r="H1306" s="10">
        <v>2.5</v>
      </c>
      <c r="I1306" s="10">
        <v>0</v>
      </c>
      <c r="J1306" s="10">
        <v>0</v>
      </c>
      <c r="K1306" s="10">
        <v>0</v>
      </c>
      <c r="L1306" s="10">
        <v>0.5</v>
      </c>
      <c r="M1306" s="10">
        <v>0</v>
      </c>
      <c r="N1306" s="10">
        <v>0.5</v>
      </c>
      <c r="O1306" s="8" t="s">
        <v>31</v>
      </c>
      <c r="P1306" s="8" t="s">
        <v>31</v>
      </c>
      <c r="Q1306" s="8" t="s">
        <v>31</v>
      </c>
      <c r="R1306" s="8" t="s">
        <v>31</v>
      </c>
      <c r="S1306" s="8" t="s">
        <v>31</v>
      </c>
      <c r="T1306" s="8" t="s">
        <v>31</v>
      </c>
      <c r="U1306" s="8" t="s">
        <v>31</v>
      </c>
      <c r="V1306" s="8" t="s">
        <v>31</v>
      </c>
      <c r="W1306" s="8" t="str">
        <f>_xlfn.IFNA(VLOOKUP(A1306,[1]Sheet1!$A$1:$B$101,1,FALSE),"na")</f>
        <v>na</v>
      </c>
      <c r="X1306" s="8" t="s">
        <v>1707</v>
      </c>
      <c r="Y1306" s="9">
        <v>800</v>
      </c>
      <c r="Z1306" s="9">
        <v>145.45454000000001</v>
      </c>
      <c r="AA1306" s="9">
        <v>266.66665999999998</v>
      </c>
      <c r="AB1306" s="9">
        <v>320</v>
      </c>
    </row>
    <row r="1307" spans="1:28" x14ac:dyDescent="0.25">
      <c r="A1307" s="8" t="s">
        <v>2711</v>
      </c>
      <c r="B1307" s="8" t="s">
        <v>2712</v>
      </c>
      <c r="C1307" s="8" t="s">
        <v>67</v>
      </c>
      <c r="D1307" s="10">
        <v>4</v>
      </c>
      <c r="E1307" s="10">
        <v>3</v>
      </c>
      <c r="F1307" s="10">
        <v>1</v>
      </c>
      <c r="G1307" s="10">
        <v>3</v>
      </c>
      <c r="H1307" s="10">
        <v>1</v>
      </c>
      <c r="I1307" s="10">
        <v>0</v>
      </c>
      <c r="J1307" s="10">
        <v>0</v>
      </c>
      <c r="K1307" s="10">
        <v>0</v>
      </c>
      <c r="L1307" s="10">
        <v>0</v>
      </c>
      <c r="M1307" s="10">
        <v>0</v>
      </c>
      <c r="N1307" s="10">
        <v>0</v>
      </c>
      <c r="O1307" s="8" t="s">
        <v>57</v>
      </c>
      <c r="P1307" s="8" t="s">
        <v>31</v>
      </c>
      <c r="Q1307" s="8" t="s">
        <v>31</v>
      </c>
      <c r="R1307" s="8" t="s">
        <v>31</v>
      </c>
      <c r="S1307" s="8" t="s">
        <v>31</v>
      </c>
      <c r="T1307" s="8" t="s">
        <v>31</v>
      </c>
      <c r="U1307" s="8" t="s">
        <v>31</v>
      </c>
      <c r="V1307" s="8" t="s">
        <v>31</v>
      </c>
      <c r="W1307" s="8" t="str">
        <f>_xlfn.IFNA(VLOOKUP(A1307,[1]Sheet1!$A$1:$B$101,1,FALSE),"na")</f>
        <v>na</v>
      </c>
      <c r="X1307" s="8" t="s">
        <v>35</v>
      </c>
      <c r="Y1307" s="9">
        <v>932</v>
      </c>
      <c r="Z1307" s="9">
        <v>233</v>
      </c>
      <c r="AA1307" s="9">
        <v>310.66665999999998</v>
      </c>
      <c r="AB1307" s="9">
        <v>932</v>
      </c>
    </row>
    <row r="1308" spans="1:28" x14ac:dyDescent="0.25">
      <c r="A1308" s="8" t="s">
        <v>2713</v>
      </c>
      <c r="B1308" s="8" t="s">
        <v>2714</v>
      </c>
      <c r="C1308" s="8" t="s">
        <v>30</v>
      </c>
      <c r="D1308" s="10">
        <v>1.8</v>
      </c>
      <c r="E1308" s="10">
        <v>1</v>
      </c>
      <c r="F1308" s="10">
        <v>0.80000000999999998</v>
      </c>
      <c r="G1308" s="10">
        <v>1</v>
      </c>
      <c r="H1308" s="10">
        <v>0.80000000999999998</v>
      </c>
      <c r="I1308" s="10">
        <v>0</v>
      </c>
      <c r="J1308" s="10">
        <v>0</v>
      </c>
      <c r="K1308" s="10">
        <v>0</v>
      </c>
      <c r="L1308" s="10">
        <v>0</v>
      </c>
      <c r="M1308" s="10">
        <v>0</v>
      </c>
      <c r="N1308" s="10">
        <v>0.80000000999999998</v>
      </c>
      <c r="O1308" s="8" t="s">
        <v>31</v>
      </c>
      <c r="P1308" s="8" t="s">
        <v>31</v>
      </c>
      <c r="Q1308" s="8" t="s">
        <v>31</v>
      </c>
      <c r="R1308" s="8" t="s">
        <v>31</v>
      </c>
      <c r="S1308" s="8" t="s">
        <v>31</v>
      </c>
      <c r="T1308" s="8" t="s">
        <v>31</v>
      </c>
      <c r="U1308" s="8" t="s">
        <v>31</v>
      </c>
      <c r="V1308" s="8" t="s">
        <v>31</v>
      </c>
      <c r="W1308" s="8" t="str">
        <f>_xlfn.IFNA(VLOOKUP(A1308,[1]Sheet1!$A$1:$B$101,1,FALSE),"na")</f>
        <v>na</v>
      </c>
      <c r="X1308" s="8" t="s">
        <v>35</v>
      </c>
      <c r="Y1308" s="9">
        <v>750</v>
      </c>
      <c r="Z1308" s="9">
        <v>416.66669000000002</v>
      </c>
      <c r="AA1308" s="9">
        <v>750</v>
      </c>
      <c r="AB1308" s="9">
        <v>750</v>
      </c>
    </row>
    <row r="1309" spans="1:28" x14ac:dyDescent="0.25">
      <c r="A1309" s="8" t="s">
        <v>2715</v>
      </c>
      <c r="B1309" s="8" t="s">
        <v>2716</v>
      </c>
      <c r="C1309" s="8" t="s">
        <v>30</v>
      </c>
      <c r="D1309" s="10">
        <v>2.4000001000000002</v>
      </c>
      <c r="E1309" s="10">
        <v>1</v>
      </c>
      <c r="F1309" s="10">
        <v>1.4</v>
      </c>
      <c r="G1309" s="10">
        <v>1</v>
      </c>
      <c r="H1309" s="10">
        <v>1.4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0.40000001000000002</v>
      </c>
      <c r="O1309" s="8" t="s">
        <v>31</v>
      </c>
      <c r="P1309" s="8" t="s">
        <v>31</v>
      </c>
      <c r="Q1309" s="8" t="s">
        <v>31</v>
      </c>
      <c r="R1309" s="8" t="s">
        <v>31</v>
      </c>
      <c r="S1309" s="8" t="s">
        <v>31</v>
      </c>
      <c r="T1309" s="8" t="s">
        <v>31</v>
      </c>
      <c r="U1309" s="8" t="s">
        <v>31</v>
      </c>
      <c r="V1309" s="8" t="s">
        <v>31</v>
      </c>
      <c r="W1309" s="8" t="str">
        <f>_xlfn.IFNA(VLOOKUP(A1309,[1]Sheet1!$A$1:$B$101,1,FALSE),"na")</f>
        <v>na</v>
      </c>
      <c r="X1309" s="8" t="s">
        <v>35</v>
      </c>
      <c r="Y1309" s="9">
        <v>522</v>
      </c>
      <c r="Z1309" s="9">
        <v>217.49997999999999</v>
      </c>
      <c r="AA1309" s="9">
        <v>522</v>
      </c>
      <c r="AB1309" s="9">
        <v>372.85714999999999</v>
      </c>
    </row>
    <row r="1310" spans="1:28" x14ac:dyDescent="0.25">
      <c r="A1310" s="8" t="s">
        <v>2717</v>
      </c>
      <c r="B1310" s="8" t="s">
        <v>2718</v>
      </c>
      <c r="C1310" s="8" t="s">
        <v>67</v>
      </c>
      <c r="D1310" s="10">
        <v>5.4000000999999997</v>
      </c>
      <c r="E1310" s="10">
        <v>4</v>
      </c>
      <c r="F1310" s="10">
        <v>1.4</v>
      </c>
      <c r="G1310" s="10">
        <v>4</v>
      </c>
      <c r="H1310" s="10">
        <v>1.4</v>
      </c>
      <c r="I1310" s="10">
        <v>0</v>
      </c>
      <c r="J1310" s="10">
        <v>0</v>
      </c>
      <c r="K1310" s="10">
        <v>0</v>
      </c>
      <c r="L1310" s="10">
        <v>0.40000001000000002</v>
      </c>
      <c r="M1310" s="10">
        <v>0</v>
      </c>
      <c r="N1310" s="10">
        <v>0.40000001000000002</v>
      </c>
      <c r="O1310" s="8" t="s">
        <v>31</v>
      </c>
      <c r="P1310" s="8" t="s">
        <v>31</v>
      </c>
      <c r="Q1310" s="8" t="s">
        <v>31</v>
      </c>
      <c r="R1310" s="8" t="s">
        <v>31</v>
      </c>
      <c r="S1310" s="8" t="s">
        <v>31</v>
      </c>
      <c r="T1310" s="8" t="s">
        <v>31</v>
      </c>
      <c r="U1310" s="8" t="s">
        <v>31</v>
      </c>
      <c r="V1310" s="8" t="s">
        <v>31</v>
      </c>
      <c r="W1310" s="8" t="str">
        <f>_xlfn.IFNA(VLOOKUP(A1310,[1]Sheet1!$A$1:$B$101,1,FALSE),"na")</f>
        <v>na</v>
      </c>
      <c r="X1310" s="8" t="s">
        <v>799</v>
      </c>
      <c r="Y1310" s="9">
        <v>1273</v>
      </c>
      <c r="Z1310" s="9">
        <v>235.74073999999999</v>
      </c>
      <c r="AA1310" s="9">
        <v>318.25</v>
      </c>
      <c r="AB1310" s="9">
        <v>909.28570999999999</v>
      </c>
    </row>
    <row r="1311" spans="1:28" x14ac:dyDescent="0.25">
      <c r="A1311" s="8" t="s">
        <v>2719</v>
      </c>
      <c r="B1311" s="8" t="s">
        <v>2720</v>
      </c>
      <c r="C1311" s="8" t="s">
        <v>30</v>
      </c>
      <c r="D1311" s="10">
        <v>1.4</v>
      </c>
      <c r="E1311" s="10">
        <v>1</v>
      </c>
      <c r="F1311" s="10">
        <v>0.40000001000000002</v>
      </c>
      <c r="G1311" s="10">
        <v>1</v>
      </c>
      <c r="H1311" s="10">
        <v>0.40000001000000002</v>
      </c>
      <c r="I1311" s="10">
        <v>0</v>
      </c>
      <c r="J1311" s="10">
        <v>0</v>
      </c>
      <c r="K1311" s="10">
        <v>0</v>
      </c>
      <c r="L1311" s="10">
        <v>0.40000001000000002</v>
      </c>
      <c r="M1311" s="10">
        <v>0</v>
      </c>
      <c r="N1311" s="10">
        <v>0.40000001000000002</v>
      </c>
      <c r="O1311" s="8" t="s">
        <v>31</v>
      </c>
      <c r="P1311" s="8" t="s">
        <v>31</v>
      </c>
      <c r="Q1311" s="8" t="s">
        <v>31</v>
      </c>
      <c r="R1311" s="8" t="s">
        <v>31</v>
      </c>
      <c r="S1311" s="8" t="s">
        <v>31</v>
      </c>
      <c r="T1311" s="8" t="s">
        <v>31</v>
      </c>
      <c r="U1311" s="8" t="s">
        <v>31</v>
      </c>
      <c r="V1311" s="8" t="s">
        <v>31</v>
      </c>
      <c r="W1311" s="8" t="str">
        <f>_xlfn.IFNA(VLOOKUP(A1311,[1]Sheet1!$A$1:$B$101,1,FALSE),"na")</f>
        <v>na</v>
      </c>
      <c r="X1311" s="8" t="s">
        <v>35</v>
      </c>
      <c r="Y1311" s="9">
        <v>617</v>
      </c>
      <c r="Z1311" s="9">
        <v>440.71429000000001</v>
      </c>
      <c r="AA1311" s="9">
        <v>617</v>
      </c>
      <c r="AB1311" s="9">
        <v>617</v>
      </c>
    </row>
    <row r="1312" spans="1:28" x14ac:dyDescent="0.25">
      <c r="A1312" s="8" t="s">
        <v>2721</v>
      </c>
      <c r="B1312" s="8" t="s">
        <v>2722</v>
      </c>
      <c r="C1312" s="8" t="s">
        <v>80</v>
      </c>
      <c r="D1312" s="10">
        <v>4.5999999000000003</v>
      </c>
      <c r="E1312" s="10">
        <v>3.5999998999999998</v>
      </c>
      <c r="F1312" s="10">
        <v>1</v>
      </c>
      <c r="G1312" s="10">
        <v>3</v>
      </c>
      <c r="H1312" s="10">
        <v>1</v>
      </c>
      <c r="I1312" s="10">
        <v>0.60000001999999997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8" t="s">
        <v>31</v>
      </c>
      <c r="P1312" s="8" t="s">
        <v>31</v>
      </c>
      <c r="Q1312" s="8" t="s">
        <v>31</v>
      </c>
      <c r="R1312" s="8" t="s">
        <v>31</v>
      </c>
      <c r="S1312" s="8" t="s">
        <v>31</v>
      </c>
      <c r="T1312" s="8" t="s">
        <v>31</v>
      </c>
      <c r="U1312" s="8" t="s">
        <v>31</v>
      </c>
      <c r="V1312" s="8" t="s">
        <v>31</v>
      </c>
      <c r="W1312" s="8" t="str">
        <f>_xlfn.IFNA(VLOOKUP(A1312,[1]Sheet1!$A$1:$B$101,1,FALSE),"na")</f>
        <v>na</v>
      </c>
      <c r="X1312" s="8" t="s">
        <v>35</v>
      </c>
      <c r="Y1312" s="9">
        <v>601</v>
      </c>
      <c r="Z1312" s="9">
        <v>130.65217999999999</v>
      </c>
      <c r="AA1312" s="9">
        <v>166.94443999999999</v>
      </c>
      <c r="AB1312" s="9">
        <v>601</v>
      </c>
    </row>
    <row r="1313" spans="1:28" x14ac:dyDescent="0.25">
      <c r="A1313" s="8" t="s">
        <v>2723</v>
      </c>
      <c r="B1313" s="8" t="s">
        <v>2724</v>
      </c>
      <c r="C1313" s="8" t="s">
        <v>67</v>
      </c>
      <c r="D1313" s="10">
        <v>1</v>
      </c>
      <c r="E1313" s="10">
        <v>1</v>
      </c>
      <c r="F1313" s="10">
        <v>0</v>
      </c>
      <c r="G1313" s="10">
        <v>1</v>
      </c>
      <c r="H1313" s="10">
        <v>0</v>
      </c>
      <c r="I1313" s="10">
        <v>0</v>
      </c>
      <c r="J1313" s="10">
        <v>0</v>
      </c>
      <c r="K1313" s="10">
        <v>0</v>
      </c>
      <c r="L1313" s="10">
        <v>0</v>
      </c>
      <c r="M1313" s="10">
        <v>0</v>
      </c>
      <c r="N1313" s="10">
        <v>0</v>
      </c>
      <c r="O1313" s="8" t="s">
        <v>31</v>
      </c>
      <c r="P1313" s="8" t="s">
        <v>57</v>
      </c>
      <c r="Q1313" s="8" t="s">
        <v>31</v>
      </c>
      <c r="R1313" s="8" t="s">
        <v>31</v>
      </c>
      <c r="S1313" s="8" t="s">
        <v>31</v>
      </c>
      <c r="T1313" s="8" t="s">
        <v>31</v>
      </c>
      <c r="U1313" s="8" t="s">
        <v>31</v>
      </c>
      <c r="V1313" s="8" t="s">
        <v>31</v>
      </c>
      <c r="W1313" s="8" t="str">
        <f>_xlfn.IFNA(VLOOKUP(A1313,[1]Sheet1!$A$1:$B$101,1,FALSE),"na")</f>
        <v>na</v>
      </c>
      <c r="X1313" s="8" t="s">
        <v>35</v>
      </c>
      <c r="Y1313" s="9">
        <v>281</v>
      </c>
      <c r="Z1313" s="9">
        <v>281</v>
      </c>
      <c r="AA1313" s="9">
        <v>281</v>
      </c>
      <c r="AB1313" s="9">
        <v>281</v>
      </c>
    </row>
    <row r="1314" spans="1:28" x14ac:dyDescent="0.25">
      <c r="A1314" s="8" t="s">
        <v>2725</v>
      </c>
      <c r="B1314" s="8" t="s">
        <v>2726</v>
      </c>
      <c r="C1314" s="8" t="s">
        <v>30</v>
      </c>
      <c r="D1314" s="10">
        <v>1.2</v>
      </c>
      <c r="E1314" s="10">
        <v>0</v>
      </c>
      <c r="F1314" s="10">
        <v>1.2</v>
      </c>
      <c r="G1314" s="10">
        <v>0</v>
      </c>
      <c r="H1314" s="10">
        <v>1.2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0.2</v>
      </c>
      <c r="O1314" s="8" t="s">
        <v>57</v>
      </c>
      <c r="P1314" s="8" t="s">
        <v>31</v>
      </c>
      <c r="Q1314" s="8" t="s">
        <v>31</v>
      </c>
      <c r="R1314" s="8" t="s">
        <v>31</v>
      </c>
      <c r="S1314" s="8" t="s">
        <v>31</v>
      </c>
      <c r="T1314" s="8" t="s">
        <v>31</v>
      </c>
      <c r="U1314" s="8" t="s">
        <v>31</v>
      </c>
      <c r="V1314" s="8" t="s">
        <v>31</v>
      </c>
      <c r="W1314" s="8" t="str">
        <f>_xlfn.IFNA(VLOOKUP(A1314,[1]Sheet1!$A$1:$B$101,1,FALSE),"na")</f>
        <v>na</v>
      </c>
      <c r="X1314" s="8" t="s">
        <v>35</v>
      </c>
      <c r="Y1314" s="9">
        <v>572</v>
      </c>
      <c r="Z1314" s="9">
        <v>476.66665999999998</v>
      </c>
      <c r="AA1314" s="9">
        <v>572</v>
      </c>
      <c r="AB1314" s="9">
        <v>476.66665999999998</v>
      </c>
    </row>
    <row r="1315" spans="1:28" x14ac:dyDescent="0.25">
      <c r="A1315" s="8" t="s">
        <v>2727</v>
      </c>
      <c r="B1315" s="8" t="s">
        <v>2728</v>
      </c>
      <c r="C1315" s="8" t="s">
        <v>80</v>
      </c>
      <c r="D1315" s="10">
        <v>5.1999997999999996</v>
      </c>
      <c r="E1315" s="10">
        <v>4</v>
      </c>
      <c r="F1315" s="10">
        <v>1.2</v>
      </c>
      <c r="G1315" s="10">
        <v>4</v>
      </c>
      <c r="H1315" s="10">
        <v>1.2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0.2</v>
      </c>
      <c r="O1315" s="8" t="s">
        <v>31</v>
      </c>
      <c r="P1315" s="8" t="s">
        <v>31</v>
      </c>
      <c r="Q1315" s="8" t="s">
        <v>31</v>
      </c>
      <c r="R1315" s="8" t="s">
        <v>31</v>
      </c>
      <c r="S1315" s="8" t="s">
        <v>31</v>
      </c>
      <c r="T1315" s="8" t="s">
        <v>57</v>
      </c>
      <c r="U1315" s="8" t="s">
        <v>31</v>
      </c>
      <c r="V1315" s="8" t="s">
        <v>31</v>
      </c>
      <c r="W1315" s="8" t="str">
        <f>_xlfn.IFNA(VLOOKUP(A1315,[1]Sheet1!$A$1:$B$101,1,FALSE),"na")</f>
        <v>na</v>
      </c>
      <c r="X1315" s="8" t="s">
        <v>35</v>
      </c>
      <c r="Y1315" s="9">
        <v>710</v>
      </c>
      <c r="Z1315" s="9">
        <v>136.53846999999999</v>
      </c>
      <c r="AA1315" s="9">
        <v>177.5</v>
      </c>
      <c r="AB1315" s="9">
        <v>591.66663000000005</v>
      </c>
    </row>
    <row r="1316" spans="1:28" x14ac:dyDescent="0.25">
      <c r="A1316" s="8" t="s">
        <v>2729</v>
      </c>
      <c r="B1316" s="8" t="s">
        <v>2730</v>
      </c>
      <c r="C1316" s="8" t="s">
        <v>30</v>
      </c>
      <c r="D1316" s="10">
        <v>1.4</v>
      </c>
      <c r="E1316" s="10">
        <v>0</v>
      </c>
      <c r="F1316" s="10">
        <v>1.4</v>
      </c>
      <c r="G1316" s="10">
        <v>0</v>
      </c>
      <c r="H1316" s="10">
        <v>1.4</v>
      </c>
      <c r="I1316" s="10">
        <v>0</v>
      </c>
      <c r="J1316" s="10">
        <v>0</v>
      </c>
      <c r="K1316" s="10">
        <v>0</v>
      </c>
      <c r="L1316" s="10">
        <v>0</v>
      </c>
      <c r="M1316" s="10">
        <v>0</v>
      </c>
      <c r="N1316" s="10">
        <v>0.40000001000000002</v>
      </c>
      <c r="O1316" s="8" t="s">
        <v>31</v>
      </c>
      <c r="P1316" s="8" t="s">
        <v>31</v>
      </c>
      <c r="Q1316" s="8" t="s">
        <v>31</v>
      </c>
      <c r="R1316" s="8" t="s">
        <v>31</v>
      </c>
      <c r="S1316" s="8" t="s">
        <v>31</v>
      </c>
      <c r="T1316" s="8" t="s">
        <v>31</v>
      </c>
      <c r="U1316" s="8" t="s">
        <v>31</v>
      </c>
      <c r="V1316" s="8" t="s">
        <v>31</v>
      </c>
      <c r="W1316" s="8" t="str">
        <f>_xlfn.IFNA(VLOOKUP(A1316,[1]Sheet1!$A$1:$B$101,1,FALSE),"na")</f>
        <v>na</v>
      </c>
      <c r="X1316" s="8" t="s">
        <v>35</v>
      </c>
      <c r="Y1316" s="9">
        <v>264</v>
      </c>
      <c r="Z1316" s="9">
        <v>188.57142999999999</v>
      </c>
      <c r="AA1316" s="9">
        <v>264</v>
      </c>
      <c r="AB1316" s="9">
        <v>188.57142999999999</v>
      </c>
    </row>
    <row r="1317" spans="1:28" x14ac:dyDescent="0.25">
      <c r="A1317" s="8" t="s">
        <v>2731</v>
      </c>
      <c r="B1317" s="8" t="s">
        <v>2732</v>
      </c>
      <c r="C1317" s="8" t="s">
        <v>62</v>
      </c>
      <c r="D1317" s="10">
        <v>3.1333300999999998</v>
      </c>
      <c r="E1317" s="10">
        <v>2</v>
      </c>
      <c r="F1317" s="10">
        <v>1.1333299999999999</v>
      </c>
      <c r="G1317" s="10">
        <v>2</v>
      </c>
      <c r="H1317" s="10">
        <v>1.1333299999999999</v>
      </c>
      <c r="I1317" s="10">
        <v>0</v>
      </c>
      <c r="J1317" s="10">
        <v>0</v>
      </c>
      <c r="K1317" s="10">
        <v>1</v>
      </c>
      <c r="L1317" s="10">
        <v>0</v>
      </c>
      <c r="M1317" s="10">
        <v>0</v>
      </c>
      <c r="N1317" s="10">
        <v>0.13333</v>
      </c>
      <c r="O1317" s="8" t="s">
        <v>31</v>
      </c>
      <c r="P1317" s="8" t="s">
        <v>31</v>
      </c>
      <c r="Q1317" s="8" t="s">
        <v>31</v>
      </c>
      <c r="R1317" s="8" t="s">
        <v>31</v>
      </c>
      <c r="S1317" s="8" t="s">
        <v>31</v>
      </c>
      <c r="T1317" s="8" t="s">
        <v>57</v>
      </c>
      <c r="U1317" s="8" t="s">
        <v>57</v>
      </c>
      <c r="V1317" s="8" t="s">
        <v>31</v>
      </c>
      <c r="W1317" s="8" t="str">
        <f>_xlfn.IFNA(VLOOKUP(A1317,[1]Sheet1!$A$1:$B$101,1,FALSE),"na")</f>
        <v>na</v>
      </c>
      <c r="X1317" s="8" t="s">
        <v>35</v>
      </c>
      <c r="Y1317" s="9">
        <v>405</v>
      </c>
      <c r="Z1317" s="9">
        <v>129.25545</v>
      </c>
      <c r="AA1317" s="9">
        <v>202.5</v>
      </c>
      <c r="AB1317" s="9">
        <v>357.35399999999998</v>
      </c>
    </row>
    <row r="1318" spans="1:28" x14ac:dyDescent="0.25">
      <c r="A1318" s="8" t="s">
        <v>2733</v>
      </c>
      <c r="B1318" s="8" t="s">
        <v>2734</v>
      </c>
      <c r="C1318" s="8" t="s">
        <v>62</v>
      </c>
      <c r="D1318" s="10">
        <v>4.7333297999999999</v>
      </c>
      <c r="E1318" s="10">
        <v>4.5999999000000003</v>
      </c>
      <c r="F1318" s="10">
        <v>0.13333</v>
      </c>
      <c r="G1318" s="10">
        <v>4</v>
      </c>
      <c r="H1318" s="10">
        <v>0.13333</v>
      </c>
      <c r="I1318" s="10">
        <v>0.60000001999999997</v>
      </c>
      <c r="J1318" s="10">
        <v>0</v>
      </c>
      <c r="K1318" s="10">
        <v>0</v>
      </c>
      <c r="L1318" s="10">
        <v>0</v>
      </c>
      <c r="M1318" s="10">
        <v>0</v>
      </c>
      <c r="N1318" s="10">
        <v>0.13333</v>
      </c>
      <c r="O1318" s="8" t="s">
        <v>31</v>
      </c>
      <c r="P1318" s="8" t="s">
        <v>31</v>
      </c>
      <c r="Q1318" s="8" t="s">
        <v>31</v>
      </c>
      <c r="R1318" s="8" t="s">
        <v>31</v>
      </c>
      <c r="S1318" s="8" t="s">
        <v>31</v>
      </c>
      <c r="T1318" s="8" t="s">
        <v>31</v>
      </c>
      <c r="U1318" s="8" t="s">
        <v>31</v>
      </c>
      <c r="V1318" s="8" t="s">
        <v>31</v>
      </c>
      <c r="W1318" s="8" t="str">
        <f>_xlfn.IFNA(VLOOKUP(A1318,[1]Sheet1!$A$1:$B$101,1,FALSE),"na")</f>
        <v>na</v>
      </c>
      <c r="X1318" s="8" t="s">
        <v>35</v>
      </c>
      <c r="Y1318" s="9">
        <v>492</v>
      </c>
      <c r="Z1318" s="9">
        <v>103.94374000000001</v>
      </c>
      <c r="AA1318" s="9">
        <v>106.95653</v>
      </c>
      <c r="AB1318" s="9">
        <v>492</v>
      </c>
    </row>
    <row r="1319" spans="1:28" x14ac:dyDescent="0.25">
      <c r="A1319" s="8" t="s">
        <v>2735</v>
      </c>
      <c r="B1319" s="8" t="s">
        <v>2736</v>
      </c>
      <c r="C1319" s="8" t="s">
        <v>67</v>
      </c>
      <c r="D1319" s="10">
        <v>1.0666698999999999</v>
      </c>
      <c r="E1319" s="10">
        <v>1</v>
      </c>
      <c r="F1319" s="10">
        <v>6.6670001000000007E-2</v>
      </c>
      <c r="G1319" s="10">
        <v>1</v>
      </c>
      <c r="H1319" s="10">
        <v>6.6670001000000007E-2</v>
      </c>
      <c r="I1319" s="10">
        <v>0</v>
      </c>
      <c r="J1319" s="10">
        <v>0</v>
      </c>
      <c r="K1319" s="10">
        <v>0</v>
      </c>
      <c r="L1319" s="10">
        <v>0</v>
      </c>
      <c r="M1319" s="10">
        <v>0</v>
      </c>
      <c r="N1319" s="10">
        <v>6.6670001000000007E-2</v>
      </c>
      <c r="O1319" s="8" t="s">
        <v>31</v>
      </c>
      <c r="P1319" s="8" t="s">
        <v>31</v>
      </c>
      <c r="Q1319" s="8" t="s">
        <v>31</v>
      </c>
      <c r="R1319" s="8" t="s">
        <v>31</v>
      </c>
      <c r="S1319" s="8" t="s">
        <v>31</v>
      </c>
      <c r="T1319" s="8" t="s">
        <v>31</v>
      </c>
      <c r="U1319" s="8" t="s">
        <v>31</v>
      </c>
      <c r="V1319" s="8" t="s">
        <v>31</v>
      </c>
      <c r="W1319" s="8" t="str">
        <f>_xlfn.IFNA(VLOOKUP(A1319,[1]Sheet1!$A$1:$B$101,1,FALSE),"na")</f>
        <v>na</v>
      </c>
      <c r="X1319" s="8" t="s">
        <v>35</v>
      </c>
      <c r="Y1319" s="9">
        <v>276</v>
      </c>
      <c r="Z1319" s="9">
        <v>258.74921000000001</v>
      </c>
      <c r="AA1319" s="9">
        <v>276</v>
      </c>
      <c r="AB1319" s="9">
        <v>276</v>
      </c>
    </row>
    <row r="1320" spans="1:28" x14ac:dyDescent="0.25">
      <c r="A1320" s="8" t="s">
        <v>2737</v>
      </c>
      <c r="B1320" s="8" t="s">
        <v>2738</v>
      </c>
      <c r="C1320" s="8" t="s">
        <v>62</v>
      </c>
      <c r="D1320" s="10">
        <v>3</v>
      </c>
      <c r="E1320" s="10">
        <v>2</v>
      </c>
      <c r="F1320" s="10">
        <v>1</v>
      </c>
      <c r="G1320" s="10">
        <v>2</v>
      </c>
      <c r="H1320" s="10">
        <v>1</v>
      </c>
      <c r="I1320" s="10">
        <v>0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  <c r="O1320" s="8" t="s">
        <v>57</v>
      </c>
      <c r="P1320" s="8" t="s">
        <v>31</v>
      </c>
      <c r="Q1320" s="8" t="s">
        <v>31</v>
      </c>
      <c r="R1320" s="8" t="s">
        <v>31</v>
      </c>
      <c r="S1320" s="8" t="s">
        <v>31</v>
      </c>
      <c r="T1320" s="8" t="s">
        <v>31</v>
      </c>
      <c r="U1320" s="8" t="s">
        <v>31</v>
      </c>
      <c r="V1320" s="8" t="s">
        <v>31</v>
      </c>
      <c r="W1320" s="8" t="str">
        <f>_xlfn.IFNA(VLOOKUP(A1320,[1]Sheet1!$A$1:$B$101,1,FALSE),"na")</f>
        <v>na</v>
      </c>
      <c r="X1320" s="8" t="s">
        <v>35</v>
      </c>
      <c r="Y1320" s="9">
        <v>195</v>
      </c>
      <c r="Z1320" s="9">
        <v>65</v>
      </c>
      <c r="AA1320" s="9">
        <v>97.5</v>
      </c>
      <c r="AB1320" s="9">
        <v>195</v>
      </c>
    </row>
    <row r="1321" spans="1:28" x14ac:dyDescent="0.25">
      <c r="A1321" s="8" t="s">
        <v>2739</v>
      </c>
      <c r="B1321" s="8" t="s">
        <v>2740</v>
      </c>
      <c r="C1321" s="8" t="s">
        <v>30</v>
      </c>
      <c r="D1321" s="10">
        <v>2.1333300999999998</v>
      </c>
      <c r="E1321" s="10">
        <v>1</v>
      </c>
      <c r="F1321" s="10">
        <v>1.1333299999999999</v>
      </c>
      <c r="G1321" s="10">
        <v>1</v>
      </c>
      <c r="H1321" s="10">
        <v>1.1333299999999999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0.13333</v>
      </c>
      <c r="O1321" s="8" t="s">
        <v>57</v>
      </c>
      <c r="P1321" s="8" t="s">
        <v>31</v>
      </c>
      <c r="Q1321" s="8" t="s">
        <v>31</v>
      </c>
      <c r="R1321" s="8" t="s">
        <v>31</v>
      </c>
      <c r="S1321" s="8" t="s">
        <v>31</v>
      </c>
      <c r="T1321" s="8" t="s">
        <v>31</v>
      </c>
      <c r="U1321" s="8" t="s">
        <v>31</v>
      </c>
      <c r="V1321" s="8" t="s">
        <v>31</v>
      </c>
      <c r="W1321" s="8" t="str">
        <f>_xlfn.IFNA(VLOOKUP(A1321,[1]Sheet1!$A$1:$B$101,1,FALSE),"na")</f>
        <v>na</v>
      </c>
      <c r="X1321" s="8" t="s">
        <v>35</v>
      </c>
      <c r="Y1321" s="9">
        <v>593</v>
      </c>
      <c r="Z1321" s="9">
        <v>277.96917999999999</v>
      </c>
      <c r="AA1321" s="9">
        <v>593</v>
      </c>
      <c r="AB1321" s="9">
        <v>523.23681999999997</v>
      </c>
    </row>
    <row r="1322" spans="1:28" x14ac:dyDescent="0.25">
      <c r="A1322" s="8" t="s">
        <v>2741</v>
      </c>
      <c r="B1322" s="8" t="s">
        <v>2742</v>
      </c>
      <c r="C1322" s="8" t="s">
        <v>62</v>
      </c>
      <c r="D1322" s="10">
        <v>3.1333300999999998</v>
      </c>
      <c r="E1322" s="10">
        <v>3</v>
      </c>
      <c r="F1322" s="10">
        <v>0.13333</v>
      </c>
      <c r="G1322" s="10">
        <v>3</v>
      </c>
      <c r="H1322" s="10">
        <v>0.13333</v>
      </c>
      <c r="I1322" s="10">
        <v>0</v>
      </c>
      <c r="J1322" s="10">
        <v>0</v>
      </c>
      <c r="K1322" s="10">
        <v>1</v>
      </c>
      <c r="L1322" s="10">
        <v>0</v>
      </c>
      <c r="M1322" s="10">
        <v>0</v>
      </c>
      <c r="N1322" s="10">
        <v>0.13333</v>
      </c>
      <c r="O1322" s="8" t="s">
        <v>31</v>
      </c>
      <c r="P1322" s="8" t="s">
        <v>31</v>
      </c>
      <c r="Q1322" s="8" t="s">
        <v>31</v>
      </c>
      <c r="R1322" s="8" t="s">
        <v>31</v>
      </c>
      <c r="S1322" s="8" t="s">
        <v>31</v>
      </c>
      <c r="T1322" s="8" t="s">
        <v>31</v>
      </c>
      <c r="U1322" s="8" t="s">
        <v>31</v>
      </c>
      <c r="V1322" s="8" t="s">
        <v>31</v>
      </c>
      <c r="W1322" s="8" t="str">
        <f>_xlfn.IFNA(VLOOKUP(A1322,[1]Sheet1!$A$1:$B$101,1,FALSE),"na")</f>
        <v>na</v>
      </c>
      <c r="X1322" s="8" t="s">
        <v>35</v>
      </c>
      <c r="Y1322" s="9">
        <v>525</v>
      </c>
      <c r="Z1322" s="9">
        <v>167.55336</v>
      </c>
      <c r="AA1322" s="9">
        <v>175</v>
      </c>
      <c r="AB1322" s="9">
        <v>525</v>
      </c>
    </row>
    <row r="1323" spans="1:28" x14ac:dyDescent="0.25">
      <c r="A1323" s="8" t="s">
        <v>2743</v>
      </c>
      <c r="B1323" s="8" t="s">
        <v>2744</v>
      </c>
      <c r="C1323" s="8" t="s">
        <v>30</v>
      </c>
      <c r="D1323" s="10">
        <v>2.5999998999999998</v>
      </c>
      <c r="E1323" s="10">
        <v>1</v>
      </c>
      <c r="F1323" s="10">
        <v>1.6</v>
      </c>
      <c r="G1323" s="10">
        <v>1</v>
      </c>
      <c r="H1323" s="10">
        <v>1.6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0.60000001999999997</v>
      </c>
      <c r="O1323" s="8" t="s">
        <v>57</v>
      </c>
      <c r="P1323" s="8" t="s">
        <v>31</v>
      </c>
      <c r="Q1323" s="8" t="s">
        <v>31</v>
      </c>
      <c r="R1323" s="8" t="s">
        <v>31</v>
      </c>
      <c r="S1323" s="8" t="s">
        <v>31</v>
      </c>
      <c r="T1323" s="8" t="s">
        <v>31</v>
      </c>
      <c r="U1323" s="8" t="s">
        <v>31</v>
      </c>
      <c r="V1323" s="8" t="s">
        <v>31</v>
      </c>
      <c r="W1323" s="8" t="str">
        <f>_xlfn.IFNA(VLOOKUP(A1323,[1]Sheet1!$A$1:$B$101,1,FALSE),"na")</f>
        <v>na</v>
      </c>
      <c r="X1323" s="8" t="s">
        <v>35</v>
      </c>
      <c r="Y1323" s="9">
        <v>523</v>
      </c>
      <c r="Z1323" s="9">
        <v>201.15385000000001</v>
      </c>
      <c r="AA1323" s="9">
        <v>523</v>
      </c>
      <c r="AB1323" s="9">
        <v>326.875</v>
      </c>
    </row>
    <row r="1324" spans="1:28" x14ac:dyDescent="0.25">
      <c r="A1324" s="8" t="s">
        <v>2745</v>
      </c>
      <c r="B1324" s="8" t="s">
        <v>2746</v>
      </c>
      <c r="C1324" s="8" t="s">
        <v>67</v>
      </c>
      <c r="D1324" s="10">
        <v>2.1333300999999998</v>
      </c>
      <c r="E1324" s="10">
        <v>1</v>
      </c>
      <c r="F1324" s="10">
        <v>1.1333299999999999</v>
      </c>
      <c r="G1324" s="10">
        <v>1</v>
      </c>
      <c r="H1324" s="10">
        <v>1.1333299999999999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0.13333</v>
      </c>
      <c r="O1324" s="8" t="s">
        <v>31</v>
      </c>
      <c r="P1324" s="8" t="s">
        <v>31</v>
      </c>
      <c r="Q1324" s="8" t="s">
        <v>31</v>
      </c>
      <c r="R1324" s="8" t="s">
        <v>57</v>
      </c>
      <c r="S1324" s="8" t="s">
        <v>31</v>
      </c>
      <c r="T1324" s="8" t="s">
        <v>31</v>
      </c>
      <c r="U1324" s="8" t="s">
        <v>31</v>
      </c>
      <c r="V1324" s="8" t="s">
        <v>31</v>
      </c>
      <c r="W1324" s="8" t="str">
        <f>_xlfn.IFNA(VLOOKUP(A1324,[1]Sheet1!$A$1:$B$101,1,FALSE),"na")</f>
        <v>na</v>
      </c>
      <c r="X1324" s="8" t="s">
        <v>35</v>
      </c>
      <c r="Y1324" s="9">
        <v>345</v>
      </c>
      <c r="Z1324" s="9">
        <v>161.71898999999999</v>
      </c>
      <c r="AA1324" s="9">
        <v>345</v>
      </c>
      <c r="AB1324" s="9">
        <v>304.41266000000002</v>
      </c>
    </row>
    <row r="1325" spans="1:28" x14ac:dyDescent="0.25">
      <c r="A1325" s="8" t="s">
        <v>2747</v>
      </c>
      <c r="B1325" s="8" t="s">
        <v>2748</v>
      </c>
      <c r="C1325" s="8" t="s">
        <v>62</v>
      </c>
      <c r="D1325" s="10">
        <v>18.799999</v>
      </c>
      <c r="E1325" s="10">
        <v>15</v>
      </c>
      <c r="F1325" s="10">
        <v>3.8</v>
      </c>
      <c r="G1325" s="10">
        <v>15</v>
      </c>
      <c r="H1325" s="10">
        <v>3.8</v>
      </c>
      <c r="I1325" s="10">
        <v>0</v>
      </c>
      <c r="J1325" s="10">
        <v>0</v>
      </c>
      <c r="K1325" s="10">
        <v>0</v>
      </c>
      <c r="L1325" s="10">
        <v>0</v>
      </c>
      <c r="M1325" s="10">
        <v>0</v>
      </c>
      <c r="N1325" s="10">
        <v>0.80000000999999998</v>
      </c>
      <c r="O1325" s="8" t="s">
        <v>31</v>
      </c>
      <c r="P1325" s="8" t="s">
        <v>31</v>
      </c>
      <c r="Q1325" s="8" t="s">
        <v>31</v>
      </c>
      <c r="R1325" s="8" t="s">
        <v>31</v>
      </c>
      <c r="S1325" s="8" t="s">
        <v>31</v>
      </c>
      <c r="T1325" s="8" t="s">
        <v>57</v>
      </c>
      <c r="U1325" s="8" t="s">
        <v>31</v>
      </c>
      <c r="V1325" s="8" t="s">
        <v>31</v>
      </c>
      <c r="W1325" s="8" t="str">
        <f>_xlfn.IFNA(VLOOKUP(A1325,[1]Sheet1!$A$1:$B$101,1,FALSE),"na")</f>
        <v>na</v>
      </c>
      <c r="X1325" s="8" t="s">
        <v>35</v>
      </c>
      <c r="Y1325" s="9">
        <v>3415</v>
      </c>
      <c r="Z1325" s="9">
        <v>181.64894000000001</v>
      </c>
      <c r="AA1325" s="9">
        <v>227.66667000000001</v>
      </c>
      <c r="AB1325" s="9">
        <v>898.68420000000003</v>
      </c>
    </row>
    <row r="1326" spans="1:28" x14ac:dyDescent="0.25">
      <c r="A1326" s="8" t="s">
        <v>2749</v>
      </c>
      <c r="B1326" s="8" t="s">
        <v>2750</v>
      </c>
      <c r="C1326" s="8" t="s">
        <v>62</v>
      </c>
      <c r="D1326" s="10">
        <v>16.200001</v>
      </c>
      <c r="E1326" s="10">
        <v>12.6</v>
      </c>
      <c r="F1326" s="10">
        <v>3.5999998999999998</v>
      </c>
      <c r="G1326" s="10">
        <v>12</v>
      </c>
      <c r="H1326" s="10">
        <v>3.5999998999999998</v>
      </c>
      <c r="I1326" s="10">
        <v>0.60000001999999997</v>
      </c>
      <c r="J1326" s="10">
        <v>0</v>
      </c>
      <c r="K1326" s="10">
        <v>4</v>
      </c>
      <c r="L1326" s="10">
        <v>0</v>
      </c>
      <c r="M1326" s="10">
        <v>0</v>
      </c>
      <c r="N1326" s="10">
        <v>0.60000001999999997</v>
      </c>
      <c r="O1326" s="8" t="s">
        <v>31</v>
      </c>
      <c r="P1326" s="8" t="s">
        <v>31</v>
      </c>
      <c r="Q1326" s="8" t="s">
        <v>31</v>
      </c>
      <c r="R1326" s="8" t="s">
        <v>31</v>
      </c>
      <c r="S1326" s="8" t="s">
        <v>31</v>
      </c>
      <c r="T1326" s="8" t="s">
        <v>57</v>
      </c>
      <c r="U1326" s="8" t="s">
        <v>31</v>
      </c>
      <c r="V1326" s="8" t="s">
        <v>31</v>
      </c>
      <c r="W1326" s="8" t="str">
        <f>_xlfn.IFNA(VLOOKUP(A1326,[1]Sheet1!$A$1:$B$101,1,FALSE),"na")</f>
        <v>na</v>
      </c>
      <c r="X1326" s="8" t="s">
        <v>35</v>
      </c>
      <c r="Y1326" s="9">
        <v>2352</v>
      </c>
      <c r="Z1326" s="9">
        <v>145.18518</v>
      </c>
      <c r="AA1326" s="9">
        <v>186.66666000000001</v>
      </c>
      <c r="AB1326" s="9">
        <v>653.33336999999995</v>
      </c>
    </row>
    <row r="1327" spans="1:28" x14ac:dyDescent="0.25">
      <c r="A1327" s="8" t="s">
        <v>2751</v>
      </c>
      <c r="B1327" s="8" t="s">
        <v>2752</v>
      </c>
      <c r="C1327" s="8" t="s">
        <v>62</v>
      </c>
      <c r="D1327" s="10">
        <v>14</v>
      </c>
      <c r="E1327" s="10">
        <v>12</v>
      </c>
      <c r="F1327" s="10">
        <v>2</v>
      </c>
      <c r="G1327" s="10">
        <v>12</v>
      </c>
      <c r="H1327" s="10">
        <v>2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8" t="s">
        <v>31</v>
      </c>
      <c r="P1327" s="8" t="s">
        <v>31</v>
      </c>
      <c r="Q1327" s="8" t="s">
        <v>31</v>
      </c>
      <c r="R1327" s="8" t="s">
        <v>31</v>
      </c>
      <c r="S1327" s="8" t="s">
        <v>31</v>
      </c>
      <c r="T1327" s="8" t="s">
        <v>57</v>
      </c>
      <c r="U1327" s="8" t="s">
        <v>57</v>
      </c>
      <c r="V1327" s="8" t="s">
        <v>31</v>
      </c>
      <c r="W1327" s="8" t="str">
        <f>_xlfn.IFNA(VLOOKUP(A1327,[1]Sheet1!$A$1:$B$101,1,FALSE),"na")</f>
        <v>na</v>
      </c>
      <c r="X1327" s="8" t="s">
        <v>35</v>
      </c>
      <c r="Y1327" s="9">
        <v>2138</v>
      </c>
      <c r="Z1327" s="9">
        <v>152.71428</v>
      </c>
      <c r="AA1327" s="9">
        <v>178.16667000000001</v>
      </c>
      <c r="AB1327" s="9">
        <v>1069</v>
      </c>
    </row>
    <row r="1328" spans="1:28" x14ac:dyDescent="0.25">
      <c r="A1328" s="8" t="s">
        <v>2753</v>
      </c>
      <c r="B1328" s="8" t="s">
        <v>2754</v>
      </c>
      <c r="C1328" s="8" t="s">
        <v>80</v>
      </c>
      <c r="D1328" s="10">
        <v>4</v>
      </c>
      <c r="E1328" s="10">
        <v>3</v>
      </c>
      <c r="F1328" s="10">
        <v>1</v>
      </c>
      <c r="G1328" s="10">
        <v>3</v>
      </c>
      <c r="H1328" s="10">
        <v>1</v>
      </c>
      <c r="I1328" s="10">
        <v>0</v>
      </c>
      <c r="J1328" s="10">
        <v>0</v>
      </c>
      <c r="K1328" s="10">
        <v>1</v>
      </c>
      <c r="L1328" s="10">
        <v>0</v>
      </c>
      <c r="M1328" s="10">
        <v>0</v>
      </c>
      <c r="N1328" s="10">
        <v>0</v>
      </c>
      <c r="O1328" s="8" t="s">
        <v>57</v>
      </c>
      <c r="P1328" s="8" t="s">
        <v>31</v>
      </c>
      <c r="Q1328" s="8" t="s">
        <v>31</v>
      </c>
      <c r="R1328" s="8" t="s">
        <v>31</v>
      </c>
      <c r="S1328" s="8" t="s">
        <v>31</v>
      </c>
      <c r="T1328" s="8" t="s">
        <v>31</v>
      </c>
      <c r="U1328" s="8" t="s">
        <v>31</v>
      </c>
      <c r="V1328" s="8" t="s">
        <v>31</v>
      </c>
      <c r="W1328" s="8" t="str">
        <f>_xlfn.IFNA(VLOOKUP(A1328,[1]Sheet1!$A$1:$B$101,1,FALSE),"na")</f>
        <v>na</v>
      </c>
      <c r="X1328" s="8" t="s">
        <v>35</v>
      </c>
      <c r="Y1328" s="9">
        <v>679</v>
      </c>
      <c r="Z1328" s="9">
        <v>169.75</v>
      </c>
      <c r="AA1328" s="9">
        <v>226.33332999999999</v>
      </c>
      <c r="AB1328" s="9">
        <v>679</v>
      </c>
    </row>
    <row r="1329" spans="1:28" x14ac:dyDescent="0.25">
      <c r="A1329" s="8" t="s">
        <v>2755</v>
      </c>
      <c r="B1329" s="8" t="s">
        <v>2756</v>
      </c>
      <c r="C1329" s="8" t="s">
        <v>62</v>
      </c>
      <c r="D1329" s="10">
        <v>4.1999997999999996</v>
      </c>
      <c r="E1329" s="10">
        <v>3</v>
      </c>
      <c r="F1329" s="10">
        <v>1.2</v>
      </c>
      <c r="G1329" s="10">
        <v>3</v>
      </c>
      <c r="H1329" s="10">
        <v>1.2</v>
      </c>
      <c r="I1329" s="10">
        <v>0</v>
      </c>
      <c r="J1329" s="10">
        <v>0</v>
      </c>
      <c r="K1329" s="10">
        <v>0</v>
      </c>
      <c r="L1329" s="10">
        <v>0</v>
      </c>
      <c r="M1329" s="10">
        <v>0</v>
      </c>
      <c r="N1329" s="10">
        <v>0.2</v>
      </c>
      <c r="O1329" s="8" t="s">
        <v>57</v>
      </c>
      <c r="P1329" s="8" t="s">
        <v>31</v>
      </c>
      <c r="Q1329" s="8" t="s">
        <v>31</v>
      </c>
      <c r="R1329" s="8" t="s">
        <v>31</v>
      </c>
      <c r="S1329" s="8" t="s">
        <v>31</v>
      </c>
      <c r="T1329" s="8" t="s">
        <v>57</v>
      </c>
      <c r="U1329" s="8" t="s">
        <v>31</v>
      </c>
      <c r="V1329" s="8" t="s">
        <v>31</v>
      </c>
      <c r="W1329" s="8" t="str">
        <f>_xlfn.IFNA(VLOOKUP(A1329,[1]Sheet1!$A$1:$B$101,1,FALSE),"na")</f>
        <v>na</v>
      </c>
      <c r="X1329" s="8" t="s">
        <v>35</v>
      </c>
      <c r="Y1329" s="9">
        <v>1068</v>
      </c>
      <c r="Z1329" s="9">
        <v>254.28572</v>
      </c>
      <c r="AA1329" s="9">
        <v>356</v>
      </c>
      <c r="AB1329" s="9">
        <v>889.99994000000004</v>
      </c>
    </row>
    <row r="1330" spans="1:28" x14ac:dyDescent="0.25">
      <c r="A1330" s="8" t="s">
        <v>2757</v>
      </c>
      <c r="B1330" s="8" t="s">
        <v>2758</v>
      </c>
      <c r="C1330" s="8" t="s">
        <v>62</v>
      </c>
      <c r="D1330" s="10">
        <v>4</v>
      </c>
      <c r="E1330" s="10">
        <v>3</v>
      </c>
      <c r="F1330" s="10">
        <v>1</v>
      </c>
      <c r="G1330" s="10">
        <v>3</v>
      </c>
      <c r="H1330" s="10">
        <v>1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8" t="s">
        <v>57</v>
      </c>
      <c r="P1330" s="8" t="s">
        <v>31</v>
      </c>
      <c r="Q1330" s="8" t="s">
        <v>31</v>
      </c>
      <c r="R1330" s="8" t="s">
        <v>31</v>
      </c>
      <c r="S1330" s="8" t="s">
        <v>31</v>
      </c>
      <c r="T1330" s="8" t="s">
        <v>31</v>
      </c>
      <c r="U1330" s="8" t="s">
        <v>31</v>
      </c>
      <c r="V1330" s="8" t="s">
        <v>31</v>
      </c>
      <c r="W1330" s="8" t="str">
        <f>_xlfn.IFNA(VLOOKUP(A1330,[1]Sheet1!$A$1:$B$101,1,FALSE),"na")</f>
        <v>na</v>
      </c>
      <c r="X1330" s="8" t="s">
        <v>35</v>
      </c>
      <c r="Y1330" s="9">
        <v>494</v>
      </c>
      <c r="Z1330" s="9">
        <v>123.5</v>
      </c>
      <c r="AA1330" s="9">
        <v>164.66667000000001</v>
      </c>
      <c r="AB1330" s="9">
        <v>494</v>
      </c>
    </row>
    <row r="1331" spans="1:28" x14ac:dyDescent="0.25">
      <c r="A1331" s="8" t="s">
        <v>2759</v>
      </c>
      <c r="B1331" s="8" t="s">
        <v>2760</v>
      </c>
      <c r="C1331" s="8" t="s">
        <v>62</v>
      </c>
      <c r="D1331" s="10">
        <v>3.0999998999999998</v>
      </c>
      <c r="E1331" s="10">
        <v>2</v>
      </c>
      <c r="F1331" s="10">
        <v>1.1000000000000001</v>
      </c>
      <c r="G1331" s="10">
        <v>2</v>
      </c>
      <c r="H1331" s="10">
        <v>1.1000000000000001</v>
      </c>
      <c r="I1331" s="10">
        <v>0</v>
      </c>
      <c r="J1331" s="10">
        <v>0</v>
      </c>
      <c r="K1331" s="10">
        <v>0</v>
      </c>
      <c r="L1331" s="10">
        <v>1</v>
      </c>
      <c r="M1331" s="10">
        <v>0</v>
      </c>
      <c r="N1331" s="10">
        <v>0.1</v>
      </c>
      <c r="O1331" s="8" t="s">
        <v>57</v>
      </c>
      <c r="P1331" s="8" t="s">
        <v>31</v>
      </c>
      <c r="Q1331" s="8" t="s">
        <v>31</v>
      </c>
      <c r="R1331" s="8" t="s">
        <v>31</v>
      </c>
      <c r="S1331" s="8" t="s">
        <v>31</v>
      </c>
      <c r="T1331" s="8" t="s">
        <v>31</v>
      </c>
      <c r="U1331" s="8" t="s">
        <v>31</v>
      </c>
      <c r="V1331" s="8" t="s">
        <v>31</v>
      </c>
      <c r="W1331" s="8" t="str">
        <f>_xlfn.IFNA(VLOOKUP(A1331,[1]Sheet1!$A$1:$B$101,1,FALSE),"na")</f>
        <v>na</v>
      </c>
      <c r="X1331" s="8" t="s">
        <v>35</v>
      </c>
      <c r="Y1331" s="9">
        <v>552</v>
      </c>
      <c r="Z1331" s="9">
        <v>178.06451000000001</v>
      </c>
      <c r="AA1331" s="9">
        <v>276</v>
      </c>
      <c r="AB1331" s="9">
        <v>501.81817999999998</v>
      </c>
    </row>
    <row r="1332" spans="1:28" x14ac:dyDescent="0.25">
      <c r="A1332" s="8" t="s">
        <v>2761</v>
      </c>
      <c r="B1332" s="8" t="s">
        <v>2762</v>
      </c>
      <c r="C1332" s="8" t="s">
        <v>80</v>
      </c>
      <c r="D1332" s="10">
        <v>3.2</v>
      </c>
      <c r="E1332" s="10">
        <v>2</v>
      </c>
      <c r="F1332" s="10">
        <v>1.2</v>
      </c>
      <c r="G1332" s="10">
        <v>2</v>
      </c>
      <c r="H1332" s="10">
        <v>1.2</v>
      </c>
      <c r="I1332" s="10">
        <v>0</v>
      </c>
      <c r="J1332" s="10">
        <v>0</v>
      </c>
      <c r="K1332" s="10">
        <v>0</v>
      </c>
      <c r="L1332" s="10">
        <v>0</v>
      </c>
      <c r="M1332" s="10">
        <v>0</v>
      </c>
      <c r="N1332" s="10">
        <v>0.2</v>
      </c>
      <c r="O1332" s="8" t="s">
        <v>31</v>
      </c>
      <c r="P1332" s="8" t="s">
        <v>31</v>
      </c>
      <c r="Q1332" s="8" t="s">
        <v>31</v>
      </c>
      <c r="R1332" s="8" t="s">
        <v>57</v>
      </c>
      <c r="S1332" s="8" t="s">
        <v>31</v>
      </c>
      <c r="T1332" s="8" t="s">
        <v>31</v>
      </c>
      <c r="U1332" s="8" t="s">
        <v>31</v>
      </c>
      <c r="V1332" s="8" t="s">
        <v>31</v>
      </c>
      <c r="W1332" s="8" t="str">
        <f>_xlfn.IFNA(VLOOKUP(A1332,[1]Sheet1!$A$1:$B$101,1,FALSE),"na")</f>
        <v>na</v>
      </c>
      <c r="X1332" s="8" t="s">
        <v>35</v>
      </c>
      <c r="Y1332" s="9">
        <v>546</v>
      </c>
      <c r="Z1332" s="9">
        <v>170.625</v>
      </c>
      <c r="AA1332" s="9">
        <v>273</v>
      </c>
      <c r="AB1332" s="9">
        <v>454.99997000000002</v>
      </c>
    </row>
    <row r="1333" spans="1:28" x14ac:dyDescent="0.25">
      <c r="A1333" s="8" t="s">
        <v>2763</v>
      </c>
      <c r="B1333" s="8" t="s">
        <v>2764</v>
      </c>
      <c r="C1333" s="8" t="s">
        <v>30</v>
      </c>
      <c r="D1333" s="10">
        <v>2.4000001000000002</v>
      </c>
      <c r="E1333" s="10">
        <v>1</v>
      </c>
      <c r="F1333" s="10">
        <v>1.4</v>
      </c>
      <c r="G1333" s="10">
        <v>1</v>
      </c>
      <c r="H1333" s="10">
        <v>1.4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0.40000001000000002</v>
      </c>
      <c r="O1333" s="8" t="s">
        <v>57</v>
      </c>
      <c r="P1333" s="8" t="s">
        <v>31</v>
      </c>
      <c r="Q1333" s="8" t="s">
        <v>31</v>
      </c>
      <c r="R1333" s="8" t="s">
        <v>31</v>
      </c>
      <c r="S1333" s="8" t="s">
        <v>31</v>
      </c>
      <c r="T1333" s="8" t="s">
        <v>31</v>
      </c>
      <c r="U1333" s="8" t="s">
        <v>31</v>
      </c>
      <c r="V1333" s="8" t="s">
        <v>31</v>
      </c>
      <c r="W1333" s="8" t="str">
        <f>_xlfn.IFNA(VLOOKUP(A1333,[1]Sheet1!$A$1:$B$101,1,FALSE),"na")</f>
        <v>na</v>
      </c>
      <c r="X1333" s="8" t="s">
        <v>35</v>
      </c>
      <c r="Y1333" s="9">
        <v>300</v>
      </c>
      <c r="Z1333" s="9">
        <v>124.99999</v>
      </c>
      <c r="AA1333" s="9">
        <v>300</v>
      </c>
      <c r="AB1333" s="9">
        <v>214.28572</v>
      </c>
    </row>
    <row r="1334" spans="1:28" x14ac:dyDescent="0.25">
      <c r="A1334" s="8" t="s">
        <v>2765</v>
      </c>
      <c r="B1334" s="8" t="s">
        <v>2766</v>
      </c>
      <c r="C1334" s="8" t="s">
        <v>30</v>
      </c>
      <c r="D1334" s="10">
        <v>1.6</v>
      </c>
      <c r="E1334" s="10">
        <v>1</v>
      </c>
      <c r="F1334" s="10">
        <v>0.60000001999999997</v>
      </c>
      <c r="G1334" s="10">
        <v>1</v>
      </c>
      <c r="H1334" s="10">
        <v>0.60000001999999997</v>
      </c>
      <c r="I1334" s="10">
        <v>0</v>
      </c>
      <c r="J1334" s="10">
        <v>0</v>
      </c>
      <c r="K1334" s="10">
        <v>0</v>
      </c>
      <c r="L1334" s="10">
        <v>0</v>
      </c>
      <c r="M1334" s="10">
        <v>0</v>
      </c>
      <c r="N1334" s="10">
        <v>0.60000001999999997</v>
      </c>
      <c r="O1334" s="8" t="s">
        <v>31</v>
      </c>
      <c r="P1334" s="8" t="s">
        <v>31</v>
      </c>
      <c r="Q1334" s="8" t="s">
        <v>31</v>
      </c>
      <c r="R1334" s="8" t="s">
        <v>31</v>
      </c>
      <c r="S1334" s="8" t="s">
        <v>31</v>
      </c>
      <c r="T1334" s="8" t="s">
        <v>31</v>
      </c>
      <c r="U1334" s="8" t="s">
        <v>31</v>
      </c>
      <c r="V1334" s="8" t="s">
        <v>31</v>
      </c>
      <c r="W1334" s="8" t="str">
        <f>_xlfn.IFNA(VLOOKUP(A1334,[1]Sheet1!$A$1:$B$101,1,FALSE),"na")</f>
        <v>na</v>
      </c>
      <c r="X1334" s="8" t="s">
        <v>35</v>
      </c>
      <c r="Y1334" s="9">
        <v>743</v>
      </c>
      <c r="Z1334" s="9">
        <v>464.375</v>
      </c>
      <c r="AA1334" s="9">
        <v>743</v>
      </c>
      <c r="AB1334" s="9">
        <v>743</v>
      </c>
    </row>
    <row r="1335" spans="1:28" x14ac:dyDescent="0.25">
      <c r="A1335" s="8" t="s">
        <v>2767</v>
      </c>
      <c r="B1335" s="8" t="s">
        <v>2768</v>
      </c>
      <c r="C1335" s="8" t="s">
        <v>30</v>
      </c>
      <c r="D1335" s="10">
        <v>2.5999998999999998</v>
      </c>
      <c r="E1335" s="10">
        <v>1</v>
      </c>
      <c r="F1335" s="10">
        <v>1.6</v>
      </c>
      <c r="G1335" s="10">
        <v>1</v>
      </c>
      <c r="H1335" s="10">
        <v>1.6</v>
      </c>
      <c r="I1335" s="10">
        <v>0</v>
      </c>
      <c r="J1335" s="10">
        <v>0</v>
      </c>
      <c r="K1335" s="10">
        <v>0</v>
      </c>
      <c r="L1335" s="10">
        <v>0.60000001999999997</v>
      </c>
      <c r="M1335" s="10">
        <v>0</v>
      </c>
      <c r="N1335" s="10">
        <v>0.60000001999999997</v>
      </c>
      <c r="O1335" s="8" t="s">
        <v>57</v>
      </c>
      <c r="P1335" s="8" t="s">
        <v>31</v>
      </c>
      <c r="Q1335" s="8" t="s">
        <v>31</v>
      </c>
      <c r="R1335" s="8" t="s">
        <v>31</v>
      </c>
      <c r="S1335" s="8" t="s">
        <v>31</v>
      </c>
      <c r="T1335" s="8" t="s">
        <v>31</v>
      </c>
      <c r="U1335" s="8" t="s">
        <v>31</v>
      </c>
      <c r="V1335" s="8" t="s">
        <v>31</v>
      </c>
      <c r="W1335" s="8" t="str">
        <f>_xlfn.IFNA(VLOOKUP(A1335,[1]Sheet1!$A$1:$B$101,1,FALSE),"na")</f>
        <v>na</v>
      </c>
      <c r="X1335" s="8" t="s">
        <v>35</v>
      </c>
      <c r="Y1335" s="9">
        <v>442</v>
      </c>
      <c r="Z1335" s="9">
        <v>170</v>
      </c>
      <c r="AA1335" s="9">
        <v>442</v>
      </c>
      <c r="AB1335" s="9">
        <v>276.25</v>
      </c>
    </row>
    <row r="1336" spans="1:28" x14ac:dyDescent="0.25">
      <c r="A1336" s="8" t="s">
        <v>2769</v>
      </c>
      <c r="B1336" s="8" t="s">
        <v>2770</v>
      </c>
      <c r="C1336" s="8" t="s">
        <v>30</v>
      </c>
      <c r="D1336" s="10">
        <v>1.6</v>
      </c>
      <c r="E1336" s="10">
        <v>1</v>
      </c>
      <c r="F1336" s="10">
        <v>0.60000001999999997</v>
      </c>
      <c r="G1336" s="10">
        <v>1</v>
      </c>
      <c r="H1336" s="10">
        <v>0.60000001999999997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0.60000001999999997</v>
      </c>
      <c r="O1336" s="8" t="s">
        <v>31</v>
      </c>
      <c r="P1336" s="8" t="s">
        <v>31</v>
      </c>
      <c r="Q1336" s="8" t="s">
        <v>31</v>
      </c>
      <c r="R1336" s="8" t="s">
        <v>31</v>
      </c>
      <c r="S1336" s="8" t="s">
        <v>31</v>
      </c>
      <c r="T1336" s="8" t="s">
        <v>31</v>
      </c>
      <c r="U1336" s="8" t="s">
        <v>31</v>
      </c>
      <c r="V1336" s="8" t="s">
        <v>31</v>
      </c>
      <c r="W1336" s="8" t="str">
        <f>_xlfn.IFNA(VLOOKUP(A1336,[1]Sheet1!$A$1:$B$101,1,FALSE),"na")</f>
        <v>na</v>
      </c>
      <c r="X1336" s="8" t="s">
        <v>35</v>
      </c>
      <c r="Y1336" s="9">
        <v>642</v>
      </c>
      <c r="Z1336" s="9">
        <v>401.25</v>
      </c>
      <c r="AA1336" s="9">
        <v>642</v>
      </c>
      <c r="AB1336" s="9">
        <v>642</v>
      </c>
    </row>
    <row r="1337" spans="1:28" x14ac:dyDescent="0.25">
      <c r="A1337" s="8" t="s">
        <v>2771</v>
      </c>
      <c r="B1337" s="8" t="s">
        <v>2772</v>
      </c>
      <c r="C1337" s="8" t="s">
        <v>30</v>
      </c>
      <c r="D1337" s="10">
        <v>2.4000001000000002</v>
      </c>
      <c r="E1337" s="10">
        <v>1</v>
      </c>
      <c r="F1337" s="10">
        <v>1.4</v>
      </c>
      <c r="G1337" s="10">
        <v>1</v>
      </c>
      <c r="H1337" s="10">
        <v>1.4</v>
      </c>
      <c r="I1337" s="10">
        <v>0</v>
      </c>
      <c r="J1337" s="10">
        <v>0</v>
      </c>
      <c r="K1337" s="10">
        <v>0</v>
      </c>
      <c r="L1337" s="10">
        <v>0</v>
      </c>
      <c r="M1337" s="10">
        <v>0</v>
      </c>
      <c r="N1337" s="10">
        <v>0.40000001000000002</v>
      </c>
      <c r="O1337" s="8" t="s">
        <v>31</v>
      </c>
      <c r="P1337" s="8" t="s">
        <v>31</v>
      </c>
      <c r="Q1337" s="8" t="s">
        <v>31</v>
      </c>
      <c r="R1337" s="8" t="s">
        <v>31</v>
      </c>
      <c r="S1337" s="8" t="s">
        <v>31</v>
      </c>
      <c r="T1337" s="8" t="s">
        <v>31</v>
      </c>
      <c r="U1337" s="8" t="s">
        <v>31</v>
      </c>
      <c r="V1337" s="8" t="s">
        <v>31</v>
      </c>
      <c r="W1337" s="8" t="str">
        <f>_xlfn.IFNA(VLOOKUP(A1337,[1]Sheet1!$A$1:$B$101,1,FALSE),"na")</f>
        <v>na</v>
      </c>
      <c r="X1337" s="8" t="s">
        <v>35</v>
      </c>
      <c r="Y1337" s="9">
        <v>280</v>
      </c>
      <c r="Z1337" s="9">
        <v>116.66665999999999</v>
      </c>
      <c r="AA1337" s="9">
        <v>280</v>
      </c>
      <c r="AB1337" s="9">
        <v>200</v>
      </c>
    </row>
    <row r="1338" spans="1:28" x14ac:dyDescent="0.25">
      <c r="A1338" s="8" t="s">
        <v>2773</v>
      </c>
      <c r="B1338" s="8" t="s">
        <v>2774</v>
      </c>
      <c r="C1338" s="8" t="s">
        <v>30</v>
      </c>
      <c r="D1338" s="10">
        <v>1.2</v>
      </c>
      <c r="E1338" s="10">
        <v>1</v>
      </c>
      <c r="F1338" s="10">
        <v>0.2</v>
      </c>
      <c r="G1338" s="10">
        <v>1</v>
      </c>
      <c r="H1338" s="10">
        <v>0.2</v>
      </c>
      <c r="I1338" s="10">
        <v>0</v>
      </c>
      <c r="J1338" s="10">
        <v>0</v>
      </c>
      <c r="K1338" s="10">
        <v>0</v>
      </c>
      <c r="L1338" s="10">
        <v>0</v>
      </c>
      <c r="M1338" s="10">
        <v>0</v>
      </c>
      <c r="N1338" s="10">
        <v>0.2</v>
      </c>
      <c r="O1338" s="8" t="s">
        <v>31</v>
      </c>
      <c r="P1338" s="8" t="s">
        <v>31</v>
      </c>
      <c r="Q1338" s="8" t="s">
        <v>31</v>
      </c>
      <c r="R1338" s="8" t="s">
        <v>31</v>
      </c>
      <c r="S1338" s="8" t="s">
        <v>31</v>
      </c>
      <c r="T1338" s="8" t="s">
        <v>31</v>
      </c>
      <c r="U1338" s="8" t="s">
        <v>31</v>
      </c>
      <c r="V1338" s="8" t="s">
        <v>31</v>
      </c>
      <c r="W1338" s="8" t="str">
        <f>_xlfn.IFNA(VLOOKUP(A1338,[1]Sheet1!$A$1:$B$101,1,FALSE),"na")</f>
        <v>na</v>
      </c>
      <c r="X1338" s="8" t="s">
        <v>35</v>
      </c>
      <c r="Y1338" s="9">
        <v>291</v>
      </c>
      <c r="Z1338" s="9">
        <v>242.49997999999999</v>
      </c>
      <c r="AA1338" s="9">
        <v>291</v>
      </c>
      <c r="AB1338" s="9">
        <v>291</v>
      </c>
    </row>
    <row r="1339" spans="1:28" x14ac:dyDescent="0.25">
      <c r="A1339" s="8" t="s">
        <v>2775</v>
      </c>
      <c r="B1339" s="8" t="s">
        <v>2776</v>
      </c>
      <c r="C1339" s="8" t="s">
        <v>30</v>
      </c>
      <c r="D1339" s="10">
        <v>1.2</v>
      </c>
      <c r="E1339" s="10">
        <v>0</v>
      </c>
      <c r="F1339" s="10">
        <v>1.2</v>
      </c>
      <c r="G1339" s="10">
        <v>0</v>
      </c>
      <c r="H1339" s="10">
        <v>1.2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0.2</v>
      </c>
      <c r="O1339" s="8" t="s">
        <v>57</v>
      </c>
      <c r="P1339" s="8" t="s">
        <v>31</v>
      </c>
      <c r="Q1339" s="8" t="s">
        <v>31</v>
      </c>
      <c r="R1339" s="8" t="s">
        <v>31</v>
      </c>
      <c r="S1339" s="8" t="s">
        <v>31</v>
      </c>
      <c r="T1339" s="8" t="s">
        <v>31</v>
      </c>
      <c r="U1339" s="8" t="s">
        <v>31</v>
      </c>
      <c r="V1339" s="8" t="s">
        <v>31</v>
      </c>
      <c r="W1339" s="8" t="str">
        <f>_xlfn.IFNA(VLOOKUP(A1339,[1]Sheet1!$A$1:$B$101,1,FALSE),"na")</f>
        <v>na</v>
      </c>
      <c r="X1339" s="8" t="s">
        <v>35</v>
      </c>
      <c r="Y1339" s="9">
        <v>223</v>
      </c>
      <c r="Z1339" s="9">
        <v>185.83332999999999</v>
      </c>
      <c r="AA1339" s="9">
        <v>223</v>
      </c>
      <c r="AB1339" s="9">
        <v>185.83332999999999</v>
      </c>
    </row>
    <row r="1340" spans="1:28" x14ac:dyDescent="0.25">
      <c r="A1340" s="8" t="s">
        <v>2777</v>
      </c>
      <c r="B1340" s="8" t="s">
        <v>2778</v>
      </c>
      <c r="C1340" s="8" t="s">
        <v>30</v>
      </c>
      <c r="D1340" s="10">
        <v>2.5999998999999998</v>
      </c>
      <c r="E1340" s="10">
        <v>1</v>
      </c>
      <c r="F1340" s="10">
        <v>1.6</v>
      </c>
      <c r="G1340" s="10">
        <v>1</v>
      </c>
      <c r="H1340" s="10">
        <v>1.6</v>
      </c>
      <c r="I1340" s="10">
        <v>0</v>
      </c>
      <c r="J1340" s="10">
        <v>0</v>
      </c>
      <c r="K1340" s="10">
        <v>0</v>
      </c>
      <c r="L1340" s="10">
        <v>0</v>
      </c>
      <c r="M1340" s="10">
        <v>0</v>
      </c>
      <c r="N1340" s="10">
        <v>0.60000001999999997</v>
      </c>
      <c r="O1340" s="8" t="s">
        <v>31</v>
      </c>
      <c r="P1340" s="8" t="s">
        <v>31</v>
      </c>
      <c r="Q1340" s="8" t="s">
        <v>57</v>
      </c>
      <c r="R1340" s="8" t="s">
        <v>31</v>
      </c>
      <c r="S1340" s="8" t="s">
        <v>31</v>
      </c>
      <c r="T1340" s="8" t="s">
        <v>31</v>
      </c>
      <c r="U1340" s="8" t="s">
        <v>31</v>
      </c>
      <c r="V1340" s="8" t="s">
        <v>31</v>
      </c>
      <c r="W1340" s="8" t="str">
        <f>_xlfn.IFNA(VLOOKUP(A1340,[1]Sheet1!$A$1:$B$101,1,FALSE),"na")</f>
        <v>na</v>
      </c>
      <c r="X1340" s="8" t="s">
        <v>2779</v>
      </c>
      <c r="Y1340" s="9">
        <v>280</v>
      </c>
      <c r="Z1340" s="9">
        <v>107.69231000000001</v>
      </c>
      <c r="AA1340" s="9">
        <v>280</v>
      </c>
      <c r="AB1340" s="9">
        <v>175</v>
      </c>
    </row>
    <row r="1341" spans="1:28" x14ac:dyDescent="0.25">
      <c r="A1341" s="8" t="s">
        <v>2780</v>
      </c>
      <c r="B1341" s="8" t="s">
        <v>2781</v>
      </c>
      <c r="C1341" s="8" t="s">
        <v>67</v>
      </c>
      <c r="D1341" s="10">
        <v>2</v>
      </c>
      <c r="E1341" s="10">
        <v>1</v>
      </c>
      <c r="F1341" s="10">
        <v>1</v>
      </c>
      <c r="G1341" s="10">
        <v>1</v>
      </c>
      <c r="H1341" s="10">
        <v>1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8" t="s">
        <v>57</v>
      </c>
      <c r="P1341" s="8" t="s">
        <v>31</v>
      </c>
      <c r="Q1341" s="8" t="s">
        <v>31</v>
      </c>
      <c r="R1341" s="8" t="s">
        <v>31</v>
      </c>
      <c r="S1341" s="8" t="s">
        <v>31</v>
      </c>
      <c r="T1341" s="8" t="s">
        <v>31</v>
      </c>
      <c r="U1341" s="8" t="s">
        <v>31</v>
      </c>
      <c r="V1341" s="8" t="s">
        <v>31</v>
      </c>
      <c r="W1341" s="8" t="str">
        <f>_xlfn.IFNA(VLOOKUP(A1341,[1]Sheet1!$A$1:$B$101,1,FALSE),"na")</f>
        <v>na</v>
      </c>
      <c r="X1341" s="8" t="s">
        <v>35</v>
      </c>
      <c r="Y1341" s="9">
        <v>407</v>
      </c>
      <c r="Z1341" s="9">
        <v>203.5</v>
      </c>
      <c r="AA1341" s="9">
        <v>407</v>
      </c>
      <c r="AB1341" s="9">
        <v>407</v>
      </c>
    </row>
    <row r="1342" spans="1:28" x14ac:dyDescent="0.25">
      <c r="A1342" s="8" t="s">
        <v>2782</v>
      </c>
      <c r="B1342" s="8" t="s">
        <v>2783</v>
      </c>
      <c r="C1342" s="8" t="s">
        <v>30</v>
      </c>
      <c r="D1342" s="10">
        <v>3.8</v>
      </c>
      <c r="E1342" s="10">
        <v>2</v>
      </c>
      <c r="F1342" s="10">
        <v>1.8</v>
      </c>
      <c r="G1342" s="10">
        <v>2</v>
      </c>
      <c r="H1342" s="10">
        <v>1.8</v>
      </c>
      <c r="I1342" s="10">
        <v>0</v>
      </c>
      <c r="J1342" s="10">
        <v>0</v>
      </c>
      <c r="K1342" s="10">
        <v>0</v>
      </c>
      <c r="L1342" s="10">
        <v>0.80000000999999998</v>
      </c>
      <c r="M1342" s="10">
        <v>0</v>
      </c>
      <c r="N1342" s="10">
        <v>0.80000000999999998</v>
      </c>
      <c r="O1342" s="8" t="s">
        <v>31</v>
      </c>
      <c r="P1342" s="8" t="s">
        <v>31</v>
      </c>
      <c r="Q1342" s="8" t="s">
        <v>31</v>
      </c>
      <c r="R1342" s="8" t="s">
        <v>31</v>
      </c>
      <c r="S1342" s="8" t="s">
        <v>31</v>
      </c>
      <c r="T1342" s="8" t="s">
        <v>31</v>
      </c>
      <c r="U1342" s="8" t="s">
        <v>31</v>
      </c>
      <c r="V1342" s="8" t="s">
        <v>31</v>
      </c>
      <c r="W1342" s="8" t="str">
        <f>_xlfn.IFNA(VLOOKUP(A1342,[1]Sheet1!$A$1:$B$101,1,FALSE),"na")</f>
        <v>na</v>
      </c>
      <c r="X1342" s="8" t="s">
        <v>35</v>
      </c>
      <c r="Y1342" s="9">
        <v>1112</v>
      </c>
      <c r="Z1342" s="9">
        <v>292.63159000000002</v>
      </c>
      <c r="AA1342" s="9">
        <v>556</v>
      </c>
      <c r="AB1342" s="9">
        <v>617.77777000000003</v>
      </c>
    </row>
    <row r="1343" spans="1:28" x14ac:dyDescent="0.25">
      <c r="A1343" s="8" t="s">
        <v>2784</v>
      </c>
      <c r="B1343" s="8" t="s">
        <v>2785</v>
      </c>
      <c r="C1343" s="8" t="s">
        <v>67</v>
      </c>
      <c r="D1343" s="10">
        <v>3.2</v>
      </c>
      <c r="E1343" s="10">
        <v>3</v>
      </c>
      <c r="F1343" s="10">
        <v>0.2</v>
      </c>
      <c r="G1343" s="10">
        <v>3</v>
      </c>
      <c r="H1343" s="10">
        <v>0.2</v>
      </c>
      <c r="I1343" s="10">
        <v>0</v>
      </c>
      <c r="J1343" s="10">
        <v>0</v>
      </c>
      <c r="K1343" s="10">
        <v>0</v>
      </c>
      <c r="L1343" s="10">
        <v>0</v>
      </c>
      <c r="M1343" s="10">
        <v>0</v>
      </c>
      <c r="N1343" s="10">
        <v>0.2</v>
      </c>
      <c r="O1343" s="8" t="s">
        <v>31</v>
      </c>
      <c r="P1343" s="8" t="s">
        <v>31</v>
      </c>
      <c r="Q1343" s="8" t="s">
        <v>31</v>
      </c>
      <c r="R1343" s="8" t="s">
        <v>31</v>
      </c>
      <c r="S1343" s="8" t="s">
        <v>31</v>
      </c>
      <c r="T1343" s="8" t="s">
        <v>31</v>
      </c>
      <c r="U1343" s="8" t="s">
        <v>31</v>
      </c>
      <c r="V1343" s="8" t="s">
        <v>31</v>
      </c>
      <c r="W1343" s="8" t="str">
        <f>_xlfn.IFNA(VLOOKUP(A1343,[1]Sheet1!$A$1:$B$101,1,FALSE),"na")</f>
        <v>na</v>
      </c>
      <c r="X1343" s="8" t="s">
        <v>35</v>
      </c>
      <c r="Y1343" s="9">
        <v>889</v>
      </c>
      <c r="Z1343" s="9">
        <v>277.8125</v>
      </c>
      <c r="AA1343" s="9">
        <v>296.33334000000002</v>
      </c>
      <c r="AB1343" s="9">
        <v>889</v>
      </c>
    </row>
    <row r="1344" spans="1:28" x14ac:dyDescent="0.25">
      <c r="A1344" s="8" t="s">
        <v>2786</v>
      </c>
      <c r="B1344" s="8" t="s">
        <v>2787</v>
      </c>
      <c r="C1344" s="8" t="s">
        <v>38</v>
      </c>
      <c r="D1344" s="10">
        <v>3.8</v>
      </c>
      <c r="E1344" s="10">
        <v>2</v>
      </c>
      <c r="F1344" s="10">
        <v>1.8</v>
      </c>
      <c r="G1344" s="10">
        <v>2</v>
      </c>
      <c r="H1344" s="10">
        <v>1.8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0.80000000999999998</v>
      </c>
      <c r="O1344" s="8" t="s">
        <v>31</v>
      </c>
      <c r="P1344" s="8" t="s">
        <v>31</v>
      </c>
      <c r="Q1344" s="8" t="s">
        <v>57</v>
      </c>
      <c r="R1344" s="8" t="s">
        <v>31</v>
      </c>
      <c r="S1344" s="8" t="s">
        <v>31</v>
      </c>
      <c r="T1344" s="8" t="s">
        <v>31</v>
      </c>
      <c r="U1344" s="8" t="s">
        <v>31</v>
      </c>
      <c r="V1344" s="8" t="s">
        <v>31</v>
      </c>
      <c r="W1344" s="8" t="str">
        <f>_xlfn.IFNA(VLOOKUP(A1344,[1]Sheet1!$A$1:$B$101,1,FALSE),"na")</f>
        <v>na</v>
      </c>
      <c r="X1344" s="8" t="s">
        <v>35</v>
      </c>
      <c r="Y1344" s="9">
        <v>816</v>
      </c>
      <c r="Z1344" s="9">
        <v>214.73685</v>
      </c>
      <c r="AA1344" s="9">
        <v>408</v>
      </c>
      <c r="AB1344" s="9">
        <v>453.33334000000002</v>
      </c>
    </row>
    <row r="1345" spans="1:28" x14ac:dyDescent="0.25">
      <c r="A1345" s="8" t="s">
        <v>2788</v>
      </c>
      <c r="B1345" s="8" t="s">
        <v>2789</v>
      </c>
      <c r="C1345" s="8" t="s">
        <v>30</v>
      </c>
      <c r="D1345" s="10">
        <v>2.4000001000000002</v>
      </c>
      <c r="E1345" s="10">
        <v>1</v>
      </c>
      <c r="F1345" s="10">
        <v>1.4</v>
      </c>
      <c r="G1345" s="10">
        <v>1</v>
      </c>
      <c r="H1345" s="10">
        <v>1.4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0.40000001000000002</v>
      </c>
      <c r="O1345" s="8" t="s">
        <v>57</v>
      </c>
      <c r="P1345" s="8" t="s">
        <v>31</v>
      </c>
      <c r="Q1345" s="8" t="s">
        <v>31</v>
      </c>
      <c r="R1345" s="8" t="s">
        <v>31</v>
      </c>
      <c r="S1345" s="8" t="s">
        <v>31</v>
      </c>
      <c r="T1345" s="8" t="s">
        <v>31</v>
      </c>
      <c r="U1345" s="8" t="s">
        <v>31</v>
      </c>
      <c r="V1345" s="8" t="s">
        <v>31</v>
      </c>
      <c r="W1345" s="8" t="str">
        <f>_xlfn.IFNA(VLOOKUP(A1345,[1]Sheet1!$A$1:$B$101,1,FALSE),"na")</f>
        <v>na</v>
      </c>
      <c r="X1345" s="8" t="s">
        <v>35</v>
      </c>
      <c r="Y1345" s="9">
        <v>414</v>
      </c>
      <c r="Z1345" s="9">
        <v>172.5</v>
      </c>
      <c r="AA1345" s="9">
        <v>414</v>
      </c>
      <c r="AB1345" s="9">
        <v>295.71429000000001</v>
      </c>
    </row>
    <row r="1346" spans="1:28" x14ac:dyDescent="0.25">
      <c r="A1346" s="8" t="s">
        <v>2790</v>
      </c>
      <c r="B1346" s="8" t="s">
        <v>2791</v>
      </c>
      <c r="C1346" s="8" t="s">
        <v>30</v>
      </c>
      <c r="D1346" s="10">
        <v>3.4000001000000002</v>
      </c>
      <c r="E1346" s="10">
        <v>2</v>
      </c>
      <c r="F1346" s="10">
        <v>1.4</v>
      </c>
      <c r="G1346" s="10">
        <v>2</v>
      </c>
      <c r="H1346" s="10">
        <v>1.4</v>
      </c>
      <c r="I1346" s="10">
        <v>0</v>
      </c>
      <c r="J1346" s="10">
        <v>0</v>
      </c>
      <c r="K1346" s="10">
        <v>0</v>
      </c>
      <c r="L1346" s="10">
        <v>0.40000001000000002</v>
      </c>
      <c r="M1346" s="10">
        <v>0</v>
      </c>
      <c r="N1346" s="10">
        <v>0.40000001000000002</v>
      </c>
      <c r="O1346" s="8" t="s">
        <v>57</v>
      </c>
      <c r="P1346" s="8" t="s">
        <v>31</v>
      </c>
      <c r="Q1346" s="8" t="s">
        <v>31</v>
      </c>
      <c r="R1346" s="8" t="s">
        <v>31</v>
      </c>
      <c r="S1346" s="8" t="s">
        <v>31</v>
      </c>
      <c r="T1346" s="8" t="s">
        <v>31</v>
      </c>
      <c r="U1346" s="8" t="s">
        <v>31</v>
      </c>
      <c r="V1346" s="8" t="s">
        <v>31</v>
      </c>
      <c r="W1346" s="8" t="str">
        <f>_xlfn.IFNA(VLOOKUP(A1346,[1]Sheet1!$A$1:$B$101,1,FALSE),"na")</f>
        <v>na</v>
      </c>
      <c r="X1346" s="8" t="s">
        <v>35</v>
      </c>
      <c r="Y1346" s="9">
        <v>763</v>
      </c>
      <c r="Z1346" s="9">
        <v>224.41175999999999</v>
      </c>
      <c r="AA1346" s="9">
        <v>381.5</v>
      </c>
      <c r="AB1346" s="9">
        <v>545</v>
      </c>
    </row>
    <row r="1347" spans="1:28" x14ac:dyDescent="0.25">
      <c r="A1347" s="8" t="s">
        <v>2792</v>
      </c>
      <c r="B1347" s="8" t="s">
        <v>2793</v>
      </c>
      <c r="C1347" s="8" t="s">
        <v>30</v>
      </c>
      <c r="D1347" s="10">
        <v>2.4000001000000002</v>
      </c>
      <c r="E1347" s="10">
        <v>1</v>
      </c>
      <c r="F1347" s="10">
        <v>1.4</v>
      </c>
      <c r="G1347" s="10">
        <v>1</v>
      </c>
      <c r="H1347" s="10">
        <v>1.4</v>
      </c>
      <c r="I1347" s="10">
        <v>0</v>
      </c>
      <c r="J1347" s="10">
        <v>0</v>
      </c>
      <c r="K1347" s="10">
        <v>0</v>
      </c>
      <c r="L1347" s="10">
        <v>0</v>
      </c>
      <c r="M1347" s="10">
        <v>0</v>
      </c>
      <c r="N1347" s="10">
        <v>0.40000001000000002</v>
      </c>
      <c r="O1347" s="8" t="s">
        <v>57</v>
      </c>
      <c r="P1347" s="8" t="s">
        <v>31</v>
      </c>
      <c r="Q1347" s="8" t="s">
        <v>31</v>
      </c>
      <c r="R1347" s="8" t="s">
        <v>31</v>
      </c>
      <c r="S1347" s="8" t="s">
        <v>31</v>
      </c>
      <c r="T1347" s="8" t="s">
        <v>31</v>
      </c>
      <c r="U1347" s="8" t="s">
        <v>31</v>
      </c>
      <c r="V1347" s="8" t="s">
        <v>31</v>
      </c>
      <c r="W1347" s="8" t="str">
        <f>_xlfn.IFNA(VLOOKUP(A1347,[1]Sheet1!$A$1:$B$101,1,FALSE),"na")</f>
        <v>na</v>
      </c>
      <c r="X1347" s="8" t="s">
        <v>35</v>
      </c>
      <c r="Y1347" s="9">
        <v>293</v>
      </c>
      <c r="Z1347" s="9">
        <v>122.08333</v>
      </c>
      <c r="AA1347" s="9">
        <v>293</v>
      </c>
      <c r="AB1347" s="9">
        <v>209.28572</v>
      </c>
    </row>
    <row r="1348" spans="1:28" x14ac:dyDescent="0.25">
      <c r="A1348" s="8" t="s">
        <v>2794</v>
      </c>
      <c r="B1348" s="8" t="s">
        <v>2795</v>
      </c>
      <c r="C1348" s="8" t="s">
        <v>30</v>
      </c>
      <c r="D1348" s="10">
        <v>1.2</v>
      </c>
      <c r="E1348" s="10">
        <v>0</v>
      </c>
      <c r="F1348" s="10">
        <v>1.2</v>
      </c>
      <c r="G1348" s="10">
        <v>0</v>
      </c>
      <c r="H1348" s="10">
        <v>1.2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0.2</v>
      </c>
      <c r="O1348" s="8" t="s">
        <v>57</v>
      </c>
      <c r="P1348" s="8" t="s">
        <v>31</v>
      </c>
      <c r="Q1348" s="8" t="s">
        <v>31</v>
      </c>
      <c r="R1348" s="8" t="s">
        <v>31</v>
      </c>
      <c r="S1348" s="8" t="s">
        <v>31</v>
      </c>
      <c r="T1348" s="8" t="s">
        <v>31</v>
      </c>
      <c r="U1348" s="8" t="s">
        <v>31</v>
      </c>
      <c r="V1348" s="8" t="s">
        <v>31</v>
      </c>
      <c r="W1348" s="8" t="str">
        <f>_xlfn.IFNA(VLOOKUP(A1348,[1]Sheet1!$A$1:$B$101,1,FALSE),"na")</f>
        <v>na</v>
      </c>
      <c r="X1348" s="8" t="s">
        <v>35</v>
      </c>
      <c r="Y1348" s="9">
        <v>325</v>
      </c>
      <c r="Z1348" s="9">
        <v>270.83330999999998</v>
      </c>
      <c r="AA1348" s="9">
        <v>325</v>
      </c>
      <c r="AB1348" s="9">
        <v>270.83330999999998</v>
      </c>
    </row>
    <row r="1349" spans="1:28" x14ac:dyDescent="0.25">
      <c r="A1349" s="8" t="s">
        <v>2796</v>
      </c>
      <c r="B1349" s="8" t="s">
        <v>2797</v>
      </c>
      <c r="C1349" s="8" t="s">
        <v>30</v>
      </c>
      <c r="D1349" s="10">
        <v>3</v>
      </c>
      <c r="E1349" s="10">
        <v>1</v>
      </c>
      <c r="F1349" s="10">
        <v>2</v>
      </c>
      <c r="G1349" s="10">
        <v>1</v>
      </c>
      <c r="H1349" s="10">
        <v>2</v>
      </c>
      <c r="I1349" s="10">
        <v>0</v>
      </c>
      <c r="J1349" s="10">
        <v>0</v>
      </c>
      <c r="K1349" s="10">
        <v>0</v>
      </c>
      <c r="L1349" s="10">
        <v>0.60000001999999997</v>
      </c>
      <c r="M1349" s="10">
        <v>0</v>
      </c>
      <c r="N1349" s="10">
        <v>1</v>
      </c>
      <c r="O1349" s="8" t="s">
        <v>31</v>
      </c>
      <c r="P1349" s="8" t="s">
        <v>31</v>
      </c>
      <c r="Q1349" s="8" t="s">
        <v>57</v>
      </c>
      <c r="R1349" s="8" t="s">
        <v>31</v>
      </c>
      <c r="S1349" s="8" t="s">
        <v>31</v>
      </c>
      <c r="T1349" s="8" t="s">
        <v>31</v>
      </c>
      <c r="U1349" s="8" t="s">
        <v>31</v>
      </c>
      <c r="V1349" s="8" t="s">
        <v>31</v>
      </c>
      <c r="W1349" s="8" t="str">
        <f>_xlfn.IFNA(VLOOKUP(A1349,[1]Sheet1!$A$1:$B$101,1,FALSE),"na")</f>
        <v>na</v>
      </c>
      <c r="X1349" s="8" t="s">
        <v>35</v>
      </c>
      <c r="Y1349" s="9">
        <v>707</v>
      </c>
      <c r="Z1349" s="9">
        <v>235.66667000000001</v>
      </c>
      <c r="AA1349" s="9">
        <v>707</v>
      </c>
      <c r="AB1349" s="9">
        <v>353.5</v>
      </c>
    </row>
    <row r="1350" spans="1:28" x14ac:dyDescent="0.25">
      <c r="A1350" s="8" t="s">
        <v>2798</v>
      </c>
      <c r="B1350" s="8" t="s">
        <v>2799</v>
      </c>
      <c r="C1350" s="8" t="s">
        <v>30</v>
      </c>
      <c r="D1350" s="10">
        <v>2.2999999999999998</v>
      </c>
      <c r="E1350" s="10">
        <v>1</v>
      </c>
      <c r="F1350" s="10">
        <v>1.3</v>
      </c>
      <c r="G1350" s="10">
        <v>1</v>
      </c>
      <c r="H1350" s="10">
        <v>1.3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0.30000000999999998</v>
      </c>
      <c r="O1350" s="8" t="s">
        <v>57</v>
      </c>
      <c r="P1350" s="8" t="s">
        <v>31</v>
      </c>
      <c r="Q1350" s="8" t="s">
        <v>31</v>
      </c>
      <c r="R1350" s="8" t="s">
        <v>31</v>
      </c>
      <c r="S1350" s="8" t="s">
        <v>31</v>
      </c>
      <c r="T1350" s="8" t="s">
        <v>31</v>
      </c>
      <c r="U1350" s="8" t="s">
        <v>31</v>
      </c>
      <c r="V1350" s="8" t="s">
        <v>31</v>
      </c>
      <c r="W1350" s="8" t="str">
        <f>_xlfn.IFNA(VLOOKUP(A1350,[1]Sheet1!$A$1:$B$101,1,FALSE),"na")</f>
        <v>na</v>
      </c>
      <c r="X1350" s="8" t="s">
        <v>35</v>
      </c>
      <c r="Y1350" s="9">
        <v>338</v>
      </c>
      <c r="Z1350" s="9">
        <v>146.95652999999999</v>
      </c>
      <c r="AA1350" s="9">
        <v>338</v>
      </c>
      <c r="AB1350" s="9">
        <v>260</v>
      </c>
    </row>
    <row r="1351" spans="1:28" x14ac:dyDescent="0.25">
      <c r="A1351" s="8" t="s">
        <v>2800</v>
      </c>
      <c r="B1351" s="8" t="s">
        <v>2801</v>
      </c>
      <c r="C1351" s="8" t="s">
        <v>38</v>
      </c>
      <c r="D1351" s="10">
        <v>1.2</v>
      </c>
      <c r="E1351" s="10">
        <v>1</v>
      </c>
      <c r="F1351" s="10">
        <v>0.2</v>
      </c>
      <c r="G1351" s="10">
        <v>1</v>
      </c>
      <c r="H1351" s="10">
        <v>0.2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0.2</v>
      </c>
      <c r="O1351" s="8" t="s">
        <v>31</v>
      </c>
      <c r="P1351" s="8" t="s">
        <v>31</v>
      </c>
      <c r="Q1351" s="8" t="s">
        <v>31</v>
      </c>
      <c r="R1351" s="8" t="s">
        <v>31</v>
      </c>
      <c r="S1351" s="8" t="s">
        <v>31</v>
      </c>
      <c r="T1351" s="8" t="s">
        <v>31</v>
      </c>
      <c r="U1351" s="8" t="s">
        <v>31</v>
      </c>
      <c r="V1351" s="8" t="s">
        <v>31</v>
      </c>
      <c r="W1351" s="8" t="str">
        <f>_xlfn.IFNA(VLOOKUP(A1351,[1]Sheet1!$A$1:$B$101,1,FALSE),"na")</f>
        <v>na</v>
      </c>
      <c r="X1351" s="8" t="s">
        <v>35</v>
      </c>
      <c r="Y1351" s="9">
        <v>568</v>
      </c>
      <c r="Z1351" s="9">
        <v>473.33330999999998</v>
      </c>
      <c r="AA1351" s="9">
        <v>568</v>
      </c>
      <c r="AB1351" s="9">
        <v>568</v>
      </c>
    </row>
    <row r="1352" spans="1:28" x14ac:dyDescent="0.25">
      <c r="A1352" s="8" t="s">
        <v>2802</v>
      </c>
      <c r="B1352" s="8" t="s">
        <v>2803</v>
      </c>
      <c r="C1352" s="8" t="s">
        <v>38</v>
      </c>
      <c r="D1352" s="10">
        <v>2.2999999999999998</v>
      </c>
      <c r="E1352" s="10">
        <v>1</v>
      </c>
      <c r="F1352" s="10">
        <v>1.3</v>
      </c>
      <c r="G1352" s="10">
        <v>1</v>
      </c>
      <c r="H1352" s="10">
        <v>1.3</v>
      </c>
      <c r="I1352" s="10">
        <v>0</v>
      </c>
      <c r="J1352" s="10">
        <v>0</v>
      </c>
      <c r="K1352" s="10">
        <v>0</v>
      </c>
      <c r="L1352" s="10">
        <v>0</v>
      </c>
      <c r="M1352" s="10">
        <v>0</v>
      </c>
      <c r="N1352" s="10">
        <v>0.30000000999999998</v>
      </c>
      <c r="O1352" s="8" t="s">
        <v>57</v>
      </c>
      <c r="P1352" s="8" t="s">
        <v>31</v>
      </c>
      <c r="Q1352" s="8" t="s">
        <v>31</v>
      </c>
      <c r="R1352" s="8" t="s">
        <v>31</v>
      </c>
      <c r="S1352" s="8" t="s">
        <v>31</v>
      </c>
      <c r="T1352" s="8" t="s">
        <v>31</v>
      </c>
      <c r="U1352" s="8" t="s">
        <v>31</v>
      </c>
      <c r="V1352" s="8" t="s">
        <v>31</v>
      </c>
      <c r="W1352" s="8" t="str">
        <f>_xlfn.IFNA(VLOOKUP(A1352,[1]Sheet1!$A$1:$B$101,1,FALSE),"na")</f>
        <v>na</v>
      </c>
      <c r="X1352" s="8" t="s">
        <v>35</v>
      </c>
      <c r="Y1352" s="9">
        <v>428</v>
      </c>
      <c r="Z1352" s="9">
        <v>186.08696</v>
      </c>
      <c r="AA1352" s="9">
        <v>428</v>
      </c>
      <c r="AB1352" s="9">
        <v>329.23077000000001</v>
      </c>
    </row>
    <row r="1353" spans="1:28" x14ac:dyDescent="0.25">
      <c r="A1353" s="8" t="s">
        <v>2804</v>
      </c>
      <c r="B1353" s="8" t="s">
        <v>2805</v>
      </c>
      <c r="C1353" s="8" t="s">
        <v>30</v>
      </c>
      <c r="D1353" s="10">
        <v>2.1333300999999998</v>
      </c>
      <c r="E1353" s="10">
        <v>1</v>
      </c>
      <c r="F1353" s="10">
        <v>1.1333299999999999</v>
      </c>
      <c r="G1353" s="10">
        <v>1</v>
      </c>
      <c r="H1353" s="10">
        <v>1.1333299999999999</v>
      </c>
      <c r="I1353" s="10">
        <v>0</v>
      </c>
      <c r="J1353" s="10">
        <v>0</v>
      </c>
      <c r="K1353" s="10">
        <v>0</v>
      </c>
      <c r="L1353" s="10">
        <v>0</v>
      </c>
      <c r="M1353" s="10">
        <v>0</v>
      </c>
      <c r="N1353" s="10">
        <v>0.13333</v>
      </c>
      <c r="O1353" s="8" t="s">
        <v>57</v>
      </c>
      <c r="P1353" s="8" t="s">
        <v>31</v>
      </c>
      <c r="Q1353" s="8" t="s">
        <v>31</v>
      </c>
      <c r="R1353" s="8" t="s">
        <v>31</v>
      </c>
      <c r="S1353" s="8" t="s">
        <v>31</v>
      </c>
      <c r="T1353" s="8" t="s">
        <v>31</v>
      </c>
      <c r="U1353" s="8" t="s">
        <v>31</v>
      </c>
      <c r="V1353" s="8" t="s">
        <v>31</v>
      </c>
      <c r="W1353" s="8" t="str">
        <f>_xlfn.IFNA(VLOOKUP(A1353,[1]Sheet1!$A$1:$B$101,1,FALSE),"na")</f>
        <v>na</v>
      </c>
      <c r="X1353" s="8" t="s">
        <v>35</v>
      </c>
      <c r="Y1353" s="9">
        <v>172</v>
      </c>
      <c r="Z1353" s="9">
        <v>80.625122000000005</v>
      </c>
      <c r="AA1353" s="9">
        <v>172</v>
      </c>
      <c r="AB1353" s="9">
        <v>151.76515000000001</v>
      </c>
    </row>
    <row r="1354" spans="1:28" x14ac:dyDescent="0.25">
      <c r="A1354" s="8" t="s">
        <v>2806</v>
      </c>
      <c r="B1354" s="8" t="s">
        <v>2807</v>
      </c>
      <c r="C1354" s="8" t="s">
        <v>30</v>
      </c>
      <c r="D1354" s="10">
        <v>1.4</v>
      </c>
      <c r="E1354" s="10">
        <v>1</v>
      </c>
      <c r="F1354" s="10">
        <v>0.40000001000000002</v>
      </c>
      <c r="G1354" s="10">
        <v>1</v>
      </c>
      <c r="H1354" s="10">
        <v>0.40000001000000002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0.40000001000000002</v>
      </c>
      <c r="O1354" s="8" t="s">
        <v>31</v>
      </c>
      <c r="P1354" s="8" t="s">
        <v>31</v>
      </c>
      <c r="Q1354" s="8" t="s">
        <v>31</v>
      </c>
      <c r="R1354" s="8" t="s">
        <v>31</v>
      </c>
      <c r="S1354" s="8" t="s">
        <v>31</v>
      </c>
      <c r="T1354" s="8" t="s">
        <v>31</v>
      </c>
      <c r="U1354" s="8" t="s">
        <v>31</v>
      </c>
      <c r="V1354" s="8" t="s">
        <v>31</v>
      </c>
      <c r="W1354" s="8" t="str">
        <f>_xlfn.IFNA(VLOOKUP(A1354,[1]Sheet1!$A$1:$B$101,1,FALSE),"na")</f>
        <v>na</v>
      </c>
      <c r="X1354" s="8" t="s">
        <v>35</v>
      </c>
      <c r="Y1354" s="9">
        <v>565</v>
      </c>
      <c r="Z1354" s="9">
        <v>403.57144</v>
      </c>
      <c r="AA1354" s="9">
        <v>565</v>
      </c>
      <c r="AB1354" s="9">
        <v>565</v>
      </c>
    </row>
    <row r="1355" spans="1:28" x14ac:dyDescent="0.25">
      <c r="A1355" s="8" t="s">
        <v>2808</v>
      </c>
      <c r="B1355" s="8" t="s">
        <v>2809</v>
      </c>
      <c r="C1355" s="8" t="s">
        <v>30</v>
      </c>
      <c r="D1355" s="10">
        <v>2.5999998999999998</v>
      </c>
      <c r="E1355" s="10">
        <v>1</v>
      </c>
      <c r="F1355" s="10">
        <v>1.6</v>
      </c>
      <c r="G1355" s="10">
        <v>1</v>
      </c>
      <c r="H1355" s="10">
        <v>1.6</v>
      </c>
      <c r="I1355" s="10">
        <v>0</v>
      </c>
      <c r="J1355" s="10">
        <v>0</v>
      </c>
      <c r="K1355" s="10">
        <v>0</v>
      </c>
      <c r="L1355" s="10">
        <v>0</v>
      </c>
      <c r="M1355" s="10">
        <v>0</v>
      </c>
      <c r="N1355" s="10">
        <v>0.60000001999999997</v>
      </c>
      <c r="O1355" s="8" t="s">
        <v>57</v>
      </c>
      <c r="P1355" s="8" t="s">
        <v>31</v>
      </c>
      <c r="Q1355" s="8" t="s">
        <v>31</v>
      </c>
      <c r="R1355" s="8" t="s">
        <v>31</v>
      </c>
      <c r="S1355" s="8" t="s">
        <v>31</v>
      </c>
      <c r="T1355" s="8" t="s">
        <v>31</v>
      </c>
      <c r="U1355" s="8" t="s">
        <v>31</v>
      </c>
      <c r="V1355" s="8" t="s">
        <v>31</v>
      </c>
      <c r="W1355" s="8" t="str">
        <f>_xlfn.IFNA(VLOOKUP(A1355,[1]Sheet1!$A$1:$B$101,1,FALSE),"na")</f>
        <v>na</v>
      </c>
      <c r="X1355" s="8" t="s">
        <v>35</v>
      </c>
      <c r="Y1355" s="9">
        <v>342</v>
      </c>
      <c r="Z1355" s="9">
        <v>131.53846999999999</v>
      </c>
      <c r="AA1355" s="9">
        <v>342</v>
      </c>
      <c r="AB1355" s="9">
        <v>213.75</v>
      </c>
    </row>
    <row r="1356" spans="1:28" x14ac:dyDescent="0.25">
      <c r="A1356" s="8" t="s">
        <v>2810</v>
      </c>
      <c r="B1356" s="8" t="s">
        <v>2811</v>
      </c>
      <c r="C1356" s="8" t="s">
        <v>67</v>
      </c>
      <c r="D1356" s="10">
        <v>1.2</v>
      </c>
      <c r="E1356" s="10">
        <v>1</v>
      </c>
      <c r="F1356" s="10">
        <v>0.2</v>
      </c>
      <c r="G1356" s="10">
        <v>1</v>
      </c>
      <c r="H1356" s="10">
        <v>0.2</v>
      </c>
      <c r="I1356" s="10">
        <v>0</v>
      </c>
      <c r="J1356" s="10">
        <v>0</v>
      </c>
      <c r="K1356" s="10">
        <v>0</v>
      </c>
      <c r="L1356" s="10">
        <v>0</v>
      </c>
      <c r="M1356" s="10">
        <v>0</v>
      </c>
      <c r="N1356" s="10">
        <v>0.2</v>
      </c>
      <c r="O1356" s="8" t="s">
        <v>31</v>
      </c>
      <c r="P1356" s="8" t="s">
        <v>31</v>
      </c>
      <c r="Q1356" s="8" t="s">
        <v>31</v>
      </c>
      <c r="R1356" s="8" t="s">
        <v>31</v>
      </c>
      <c r="S1356" s="8" t="s">
        <v>31</v>
      </c>
      <c r="T1356" s="8" t="s">
        <v>31</v>
      </c>
      <c r="U1356" s="8" t="s">
        <v>31</v>
      </c>
      <c r="V1356" s="8" t="s">
        <v>31</v>
      </c>
      <c r="W1356" s="8" t="str">
        <f>_xlfn.IFNA(VLOOKUP(A1356,[1]Sheet1!$A$1:$B$101,1,FALSE),"na")</f>
        <v>na</v>
      </c>
      <c r="X1356" s="8" t="s">
        <v>35</v>
      </c>
      <c r="Y1356" s="9">
        <v>356</v>
      </c>
      <c r="Z1356" s="9">
        <v>296.66665999999998</v>
      </c>
      <c r="AA1356" s="9">
        <v>356</v>
      </c>
      <c r="AB1356" s="9">
        <v>356</v>
      </c>
    </row>
    <row r="1357" spans="1:28" x14ac:dyDescent="0.25">
      <c r="A1357" s="8" t="s">
        <v>2812</v>
      </c>
      <c r="B1357" s="8" t="s">
        <v>2813</v>
      </c>
      <c r="C1357" s="8" t="s">
        <v>30</v>
      </c>
      <c r="D1357" s="10">
        <v>1.4</v>
      </c>
      <c r="E1357" s="10">
        <v>1</v>
      </c>
      <c r="F1357" s="10">
        <v>0.40000001000000002</v>
      </c>
      <c r="G1357" s="10">
        <v>1</v>
      </c>
      <c r="H1357" s="10">
        <v>0.40000001000000002</v>
      </c>
      <c r="I1357" s="10">
        <v>0</v>
      </c>
      <c r="J1357" s="10">
        <v>0</v>
      </c>
      <c r="K1357" s="10">
        <v>0</v>
      </c>
      <c r="L1357" s="10">
        <v>0.40000001000000002</v>
      </c>
      <c r="M1357" s="10">
        <v>0</v>
      </c>
      <c r="N1357" s="10">
        <v>0.40000001000000002</v>
      </c>
      <c r="O1357" s="8" t="s">
        <v>31</v>
      </c>
      <c r="P1357" s="8" t="s">
        <v>31</v>
      </c>
      <c r="Q1357" s="8" t="s">
        <v>31</v>
      </c>
      <c r="R1357" s="8" t="s">
        <v>31</v>
      </c>
      <c r="S1357" s="8" t="s">
        <v>31</v>
      </c>
      <c r="T1357" s="8" t="s">
        <v>31</v>
      </c>
      <c r="U1357" s="8" t="s">
        <v>31</v>
      </c>
      <c r="V1357" s="8" t="s">
        <v>31</v>
      </c>
      <c r="W1357" s="8" t="str">
        <f>_xlfn.IFNA(VLOOKUP(A1357,[1]Sheet1!$A$1:$B$101,1,FALSE),"na")</f>
        <v>na</v>
      </c>
      <c r="X1357" s="8" t="s">
        <v>35</v>
      </c>
      <c r="Y1357" s="9">
        <v>322</v>
      </c>
      <c r="Z1357" s="9">
        <v>230</v>
      </c>
      <c r="AA1357" s="9">
        <v>322</v>
      </c>
      <c r="AB1357" s="9">
        <v>322</v>
      </c>
    </row>
    <row r="1358" spans="1:28" x14ac:dyDescent="0.25">
      <c r="A1358" s="8" t="s">
        <v>2814</v>
      </c>
      <c r="B1358" s="8" t="s">
        <v>2815</v>
      </c>
      <c r="C1358" s="8" t="s">
        <v>38</v>
      </c>
      <c r="D1358" s="10">
        <v>3.2</v>
      </c>
      <c r="E1358" s="10">
        <v>2</v>
      </c>
      <c r="F1358" s="10">
        <v>1.2</v>
      </c>
      <c r="G1358" s="10">
        <v>2</v>
      </c>
      <c r="H1358" s="10">
        <v>1.2</v>
      </c>
      <c r="I1358" s="10">
        <v>0</v>
      </c>
      <c r="J1358" s="10">
        <v>0</v>
      </c>
      <c r="K1358" s="10">
        <v>0</v>
      </c>
      <c r="L1358" s="10">
        <v>0</v>
      </c>
      <c r="M1358" s="10">
        <v>0</v>
      </c>
      <c r="N1358" s="10">
        <v>0.2</v>
      </c>
      <c r="O1358" s="8" t="s">
        <v>57</v>
      </c>
      <c r="P1358" s="8" t="s">
        <v>31</v>
      </c>
      <c r="Q1358" s="8" t="s">
        <v>31</v>
      </c>
      <c r="R1358" s="8" t="s">
        <v>31</v>
      </c>
      <c r="S1358" s="8" t="s">
        <v>31</v>
      </c>
      <c r="T1358" s="8" t="s">
        <v>31</v>
      </c>
      <c r="U1358" s="8" t="s">
        <v>31</v>
      </c>
      <c r="V1358" s="8" t="s">
        <v>31</v>
      </c>
      <c r="W1358" s="8" t="str">
        <f>_xlfn.IFNA(VLOOKUP(A1358,[1]Sheet1!$A$1:$B$101,1,FALSE),"na")</f>
        <v>na</v>
      </c>
      <c r="X1358" s="8" t="s">
        <v>35</v>
      </c>
      <c r="Y1358" s="9">
        <v>616</v>
      </c>
      <c r="Z1358" s="9">
        <v>192.5</v>
      </c>
      <c r="AA1358" s="9">
        <v>308</v>
      </c>
      <c r="AB1358" s="9">
        <v>513.33330999999998</v>
      </c>
    </row>
    <row r="1359" spans="1:28" x14ac:dyDescent="0.25">
      <c r="A1359" s="8" t="s">
        <v>2816</v>
      </c>
      <c r="B1359" s="8" t="s">
        <v>2817</v>
      </c>
      <c r="C1359" s="8" t="s">
        <v>67</v>
      </c>
      <c r="D1359" s="10">
        <v>5.0999999000000003</v>
      </c>
      <c r="E1359" s="10">
        <v>3</v>
      </c>
      <c r="F1359" s="10">
        <v>2.0999998999999998</v>
      </c>
      <c r="G1359" s="10">
        <v>3</v>
      </c>
      <c r="H1359" s="10">
        <v>2.0999998999999998</v>
      </c>
      <c r="I1359" s="10">
        <v>0</v>
      </c>
      <c r="J1359" s="10">
        <v>0</v>
      </c>
      <c r="K1359" s="10">
        <v>1</v>
      </c>
      <c r="L1359" s="10">
        <v>0.1</v>
      </c>
      <c r="M1359" s="10">
        <v>0</v>
      </c>
      <c r="N1359" s="10">
        <v>0.1</v>
      </c>
      <c r="O1359" s="8" t="s">
        <v>57</v>
      </c>
      <c r="P1359" s="8" t="s">
        <v>31</v>
      </c>
      <c r="Q1359" s="8" t="s">
        <v>57</v>
      </c>
      <c r="R1359" s="8" t="s">
        <v>31</v>
      </c>
      <c r="S1359" s="8" t="s">
        <v>31</v>
      </c>
      <c r="T1359" s="8" t="s">
        <v>31</v>
      </c>
      <c r="U1359" s="8" t="s">
        <v>31</v>
      </c>
      <c r="V1359" s="8" t="s">
        <v>31</v>
      </c>
      <c r="W1359" s="8" t="str">
        <f>_xlfn.IFNA(VLOOKUP(A1359,[1]Sheet1!$A$1:$B$101,1,FALSE),"na")</f>
        <v>na</v>
      </c>
      <c r="X1359" s="8" t="s">
        <v>419</v>
      </c>
      <c r="Y1359" s="9">
        <v>838</v>
      </c>
      <c r="Z1359" s="9">
        <v>164.31374</v>
      </c>
      <c r="AA1359" s="9">
        <v>279.33334000000002</v>
      </c>
      <c r="AB1359" s="9">
        <v>399.04764</v>
      </c>
    </row>
    <row r="1360" spans="1:28" x14ac:dyDescent="0.25">
      <c r="A1360" s="8" t="s">
        <v>2818</v>
      </c>
      <c r="B1360" s="8" t="s">
        <v>2819</v>
      </c>
      <c r="C1360" s="8" t="s">
        <v>62</v>
      </c>
      <c r="D1360" s="10">
        <v>2.2000000000000002</v>
      </c>
      <c r="E1360" s="10">
        <v>1</v>
      </c>
      <c r="F1360" s="10">
        <v>1.2</v>
      </c>
      <c r="G1360" s="10">
        <v>1</v>
      </c>
      <c r="H1360" s="10">
        <v>1.2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0.2</v>
      </c>
      <c r="O1360" s="8" t="s">
        <v>31</v>
      </c>
      <c r="P1360" s="8" t="s">
        <v>31</v>
      </c>
      <c r="Q1360" s="8" t="s">
        <v>31</v>
      </c>
      <c r="R1360" s="8" t="s">
        <v>31</v>
      </c>
      <c r="S1360" s="8" t="s">
        <v>31</v>
      </c>
      <c r="T1360" s="8" t="s">
        <v>31</v>
      </c>
      <c r="U1360" s="8" t="s">
        <v>31</v>
      </c>
      <c r="V1360" s="8" t="s">
        <v>31</v>
      </c>
      <c r="W1360" s="8" t="str">
        <f>_xlfn.IFNA(VLOOKUP(A1360,[1]Sheet1!$A$1:$B$101,1,FALSE),"na")</f>
        <v>na</v>
      </c>
      <c r="X1360" s="8" t="s">
        <v>35</v>
      </c>
      <c r="Y1360" s="9">
        <v>462</v>
      </c>
      <c r="Z1360" s="9">
        <v>210</v>
      </c>
      <c r="AA1360" s="9">
        <v>462</v>
      </c>
      <c r="AB1360" s="9">
        <v>384.99997000000002</v>
      </c>
    </row>
    <row r="1361" spans="1:28" x14ac:dyDescent="0.25">
      <c r="A1361" s="8" t="s">
        <v>2820</v>
      </c>
      <c r="B1361" s="8" t="s">
        <v>2821</v>
      </c>
      <c r="C1361" s="8" t="s">
        <v>62</v>
      </c>
      <c r="D1361" s="10">
        <v>2.2000000000000002</v>
      </c>
      <c r="E1361" s="10">
        <v>2</v>
      </c>
      <c r="F1361" s="10">
        <v>0.2</v>
      </c>
      <c r="G1361" s="10">
        <v>2</v>
      </c>
      <c r="H1361" s="10">
        <v>0.2</v>
      </c>
      <c r="I1361" s="10">
        <v>0</v>
      </c>
      <c r="J1361" s="10">
        <v>0</v>
      </c>
      <c r="K1361" s="10">
        <v>0</v>
      </c>
      <c r="L1361" s="10">
        <v>1</v>
      </c>
      <c r="M1361" s="10">
        <v>0</v>
      </c>
      <c r="N1361" s="10">
        <v>0.2</v>
      </c>
      <c r="O1361" s="8" t="s">
        <v>31</v>
      </c>
      <c r="P1361" s="8" t="s">
        <v>31</v>
      </c>
      <c r="Q1361" s="8" t="s">
        <v>31</v>
      </c>
      <c r="R1361" s="8" t="s">
        <v>31</v>
      </c>
      <c r="S1361" s="8" t="s">
        <v>31</v>
      </c>
      <c r="T1361" s="8" t="s">
        <v>57</v>
      </c>
      <c r="U1361" s="8" t="s">
        <v>31</v>
      </c>
      <c r="V1361" s="8" t="s">
        <v>31</v>
      </c>
      <c r="W1361" s="8" t="str">
        <f>_xlfn.IFNA(VLOOKUP(A1361,[1]Sheet1!$A$1:$B$101,1,FALSE),"na")</f>
        <v>na</v>
      </c>
      <c r="X1361" s="8" t="s">
        <v>35</v>
      </c>
      <c r="Y1361" s="9">
        <v>326</v>
      </c>
      <c r="Z1361" s="9">
        <v>148.18181000000001</v>
      </c>
      <c r="AA1361" s="9">
        <v>163</v>
      </c>
      <c r="AB1361" s="9">
        <v>326</v>
      </c>
    </row>
    <row r="1362" spans="1:28" x14ac:dyDescent="0.25">
      <c r="A1362" s="8" t="s">
        <v>2822</v>
      </c>
      <c r="B1362" s="8" t="s">
        <v>2823</v>
      </c>
      <c r="C1362" s="8" t="s">
        <v>30</v>
      </c>
      <c r="D1362" s="10">
        <v>1.1333299999999999</v>
      </c>
      <c r="E1362" s="10">
        <v>0</v>
      </c>
      <c r="F1362" s="10">
        <v>1.1333299999999999</v>
      </c>
      <c r="G1362" s="10">
        <v>0</v>
      </c>
      <c r="H1362" s="10">
        <v>1.1333299999999999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0.13333</v>
      </c>
      <c r="O1362" s="8" t="s">
        <v>57</v>
      </c>
      <c r="P1362" s="8" t="s">
        <v>31</v>
      </c>
      <c r="Q1362" s="8" t="s">
        <v>31</v>
      </c>
      <c r="R1362" s="8" t="s">
        <v>31</v>
      </c>
      <c r="S1362" s="8" t="s">
        <v>31</v>
      </c>
      <c r="T1362" s="8" t="s">
        <v>31</v>
      </c>
      <c r="U1362" s="8" t="s">
        <v>31</v>
      </c>
      <c r="V1362" s="8" t="s">
        <v>31</v>
      </c>
      <c r="W1362" s="8" t="str">
        <f>_xlfn.IFNA(VLOOKUP(A1362,[1]Sheet1!$A$1:$B$101,1,FALSE),"na")</f>
        <v>na</v>
      </c>
      <c r="X1362" s="8" t="s">
        <v>35</v>
      </c>
      <c r="Y1362" s="9">
        <v>218</v>
      </c>
      <c r="Z1362" s="9">
        <v>192.35352</v>
      </c>
      <c r="AA1362" s="9">
        <v>218</v>
      </c>
      <c r="AB1362" s="9">
        <v>192.35352</v>
      </c>
    </row>
    <row r="1363" spans="1:28" x14ac:dyDescent="0.25">
      <c r="A1363" s="8" t="s">
        <v>2824</v>
      </c>
      <c r="B1363" s="8" t="s">
        <v>2825</v>
      </c>
      <c r="C1363" s="8" t="s">
        <v>80</v>
      </c>
      <c r="D1363" s="10">
        <v>4</v>
      </c>
      <c r="E1363" s="10">
        <v>3</v>
      </c>
      <c r="F1363" s="10">
        <v>1</v>
      </c>
      <c r="G1363" s="10">
        <v>3</v>
      </c>
      <c r="H1363" s="10">
        <v>1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8" t="s">
        <v>31</v>
      </c>
      <c r="P1363" s="8" t="s">
        <v>31</v>
      </c>
      <c r="Q1363" s="8" t="s">
        <v>31</v>
      </c>
      <c r="R1363" s="8" t="s">
        <v>31</v>
      </c>
      <c r="S1363" s="8" t="s">
        <v>31</v>
      </c>
      <c r="T1363" s="8" t="s">
        <v>57</v>
      </c>
      <c r="U1363" s="8" t="s">
        <v>31</v>
      </c>
      <c r="V1363" s="8" t="s">
        <v>31</v>
      </c>
      <c r="W1363" s="8" t="str">
        <f>_xlfn.IFNA(VLOOKUP(A1363,[1]Sheet1!$A$1:$B$101,1,FALSE),"na")</f>
        <v>na</v>
      </c>
      <c r="X1363" s="8" t="s">
        <v>35</v>
      </c>
      <c r="Y1363" s="9">
        <v>815</v>
      </c>
      <c r="Z1363" s="9">
        <v>203.75</v>
      </c>
      <c r="AA1363" s="9">
        <v>271.66665999999998</v>
      </c>
      <c r="AB1363" s="9">
        <v>815</v>
      </c>
    </row>
    <row r="1364" spans="1:28" x14ac:dyDescent="0.25">
      <c r="A1364" s="8" t="s">
        <v>2826</v>
      </c>
      <c r="B1364" s="8" t="s">
        <v>2827</v>
      </c>
      <c r="C1364" s="8" t="s">
        <v>62</v>
      </c>
      <c r="D1364" s="10">
        <v>2.2000000000000002</v>
      </c>
      <c r="E1364" s="10">
        <v>2</v>
      </c>
      <c r="F1364" s="10">
        <v>0.2</v>
      </c>
      <c r="G1364" s="10">
        <v>2</v>
      </c>
      <c r="H1364" s="10">
        <v>0.2</v>
      </c>
      <c r="I1364" s="10">
        <v>0</v>
      </c>
      <c r="J1364" s="10">
        <v>0</v>
      </c>
      <c r="K1364" s="10">
        <v>0</v>
      </c>
      <c r="L1364" s="10">
        <v>1</v>
      </c>
      <c r="M1364" s="10">
        <v>0</v>
      </c>
      <c r="N1364" s="10">
        <v>0.2</v>
      </c>
      <c r="O1364" s="8" t="s">
        <v>31</v>
      </c>
      <c r="P1364" s="8" t="s">
        <v>31</v>
      </c>
      <c r="Q1364" s="8" t="s">
        <v>31</v>
      </c>
      <c r="R1364" s="8" t="s">
        <v>31</v>
      </c>
      <c r="S1364" s="8" t="s">
        <v>31</v>
      </c>
      <c r="T1364" s="8" t="s">
        <v>57</v>
      </c>
      <c r="U1364" s="8" t="s">
        <v>31</v>
      </c>
      <c r="V1364" s="8" t="s">
        <v>31</v>
      </c>
      <c r="W1364" s="8" t="str">
        <f>_xlfn.IFNA(VLOOKUP(A1364,[1]Sheet1!$A$1:$B$101,1,FALSE),"na")</f>
        <v>na</v>
      </c>
      <c r="X1364" s="8" t="s">
        <v>35</v>
      </c>
      <c r="Y1364" s="9">
        <v>478</v>
      </c>
      <c r="Z1364" s="9">
        <v>217.27271999999999</v>
      </c>
      <c r="AA1364" s="9">
        <v>239</v>
      </c>
      <c r="AB1364" s="9">
        <v>478</v>
      </c>
    </row>
    <row r="1365" spans="1:28" x14ac:dyDescent="0.25">
      <c r="A1365" s="8" t="s">
        <v>2828</v>
      </c>
      <c r="B1365" s="8" t="s">
        <v>2829</v>
      </c>
      <c r="C1365" s="8" t="s">
        <v>38</v>
      </c>
      <c r="D1365" s="10">
        <v>2.0999998999999998</v>
      </c>
      <c r="E1365" s="10">
        <v>1</v>
      </c>
      <c r="F1365" s="10">
        <v>1.1000000000000001</v>
      </c>
      <c r="G1365" s="10">
        <v>1</v>
      </c>
      <c r="H1365" s="10">
        <v>1.1000000000000001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0.1</v>
      </c>
      <c r="O1365" s="8" t="s">
        <v>57</v>
      </c>
      <c r="P1365" s="8" t="s">
        <v>31</v>
      </c>
      <c r="Q1365" s="8" t="s">
        <v>31</v>
      </c>
      <c r="R1365" s="8" t="s">
        <v>31</v>
      </c>
      <c r="S1365" s="8" t="s">
        <v>31</v>
      </c>
      <c r="T1365" s="8" t="s">
        <v>31</v>
      </c>
      <c r="U1365" s="8" t="s">
        <v>31</v>
      </c>
      <c r="V1365" s="8" t="s">
        <v>31</v>
      </c>
      <c r="W1365" s="8" t="str">
        <f>_xlfn.IFNA(VLOOKUP(A1365,[1]Sheet1!$A$1:$B$101,1,FALSE),"na")</f>
        <v>na</v>
      </c>
      <c r="X1365" s="8" t="s">
        <v>35</v>
      </c>
      <c r="Y1365" s="9">
        <v>707</v>
      </c>
      <c r="Z1365" s="9">
        <v>336.66669000000002</v>
      </c>
      <c r="AA1365" s="9">
        <v>707</v>
      </c>
      <c r="AB1365" s="9">
        <v>642.72722999999996</v>
      </c>
    </row>
    <row r="1366" spans="1:28" x14ac:dyDescent="0.25">
      <c r="A1366" s="8" t="s">
        <v>2830</v>
      </c>
      <c r="B1366" s="8" t="s">
        <v>2831</v>
      </c>
      <c r="C1366" s="8" t="s">
        <v>38</v>
      </c>
      <c r="D1366" s="10">
        <v>2.0999998999999998</v>
      </c>
      <c r="E1366" s="10">
        <v>1</v>
      </c>
      <c r="F1366" s="10">
        <v>1.1000000000000001</v>
      </c>
      <c r="G1366" s="10">
        <v>1</v>
      </c>
      <c r="H1366" s="10">
        <v>1.1000000000000001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0.1</v>
      </c>
      <c r="O1366" s="8" t="s">
        <v>57</v>
      </c>
      <c r="P1366" s="8" t="s">
        <v>31</v>
      </c>
      <c r="Q1366" s="8" t="s">
        <v>31</v>
      </c>
      <c r="R1366" s="8" t="s">
        <v>31</v>
      </c>
      <c r="S1366" s="8" t="s">
        <v>31</v>
      </c>
      <c r="T1366" s="8" t="s">
        <v>31</v>
      </c>
      <c r="U1366" s="8" t="s">
        <v>31</v>
      </c>
      <c r="V1366" s="8" t="s">
        <v>31</v>
      </c>
      <c r="W1366" s="8" t="str">
        <f>_xlfn.IFNA(VLOOKUP(A1366,[1]Sheet1!$A$1:$B$101,1,FALSE),"na")</f>
        <v>na</v>
      </c>
      <c r="X1366" s="8" t="s">
        <v>35</v>
      </c>
      <c r="Y1366" s="9">
        <v>556</v>
      </c>
      <c r="Z1366" s="9">
        <v>264.76190000000003</v>
      </c>
      <c r="AA1366" s="9">
        <v>556</v>
      </c>
      <c r="AB1366" s="9">
        <v>505.45452999999998</v>
      </c>
    </row>
    <row r="1367" spans="1:28" x14ac:dyDescent="0.25">
      <c r="A1367" s="8" t="s">
        <v>2832</v>
      </c>
      <c r="B1367" s="8" t="s">
        <v>2833</v>
      </c>
      <c r="C1367" s="8" t="s">
        <v>62</v>
      </c>
      <c r="D1367" s="10">
        <v>2.2000000000000002</v>
      </c>
      <c r="E1367" s="10">
        <v>2</v>
      </c>
      <c r="F1367" s="10">
        <v>0.2</v>
      </c>
      <c r="G1367" s="10">
        <v>2</v>
      </c>
      <c r="H1367" s="10">
        <v>0.2</v>
      </c>
      <c r="I1367" s="10">
        <v>0</v>
      </c>
      <c r="J1367" s="10">
        <v>0</v>
      </c>
      <c r="K1367" s="10">
        <v>0</v>
      </c>
      <c r="L1367" s="10">
        <v>1</v>
      </c>
      <c r="M1367" s="10">
        <v>0</v>
      </c>
      <c r="N1367" s="10">
        <v>0.2</v>
      </c>
      <c r="O1367" s="8" t="s">
        <v>31</v>
      </c>
      <c r="P1367" s="8" t="s">
        <v>31</v>
      </c>
      <c r="Q1367" s="8" t="s">
        <v>31</v>
      </c>
      <c r="R1367" s="8" t="s">
        <v>31</v>
      </c>
      <c r="S1367" s="8" t="s">
        <v>31</v>
      </c>
      <c r="T1367" s="8" t="s">
        <v>57</v>
      </c>
      <c r="U1367" s="8" t="s">
        <v>31</v>
      </c>
      <c r="V1367" s="8" t="s">
        <v>31</v>
      </c>
      <c r="W1367" s="8" t="str">
        <f>_xlfn.IFNA(VLOOKUP(A1367,[1]Sheet1!$A$1:$B$101,1,FALSE),"na")</f>
        <v>na</v>
      </c>
      <c r="X1367" s="8" t="s">
        <v>35</v>
      </c>
      <c r="Y1367" s="9">
        <v>425</v>
      </c>
      <c r="Z1367" s="9">
        <v>193.18181000000001</v>
      </c>
      <c r="AA1367" s="9">
        <v>212.5</v>
      </c>
      <c r="AB1367" s="9">
        <v>425</v>
      </c>
    </row>
    <row r="1368" spans="1:28" x14ac:dyDescent="0.25">
      <c r="A1368" s="8" t="s">
        <v>2834</v>
      </c>
      <c r="B1368" s="8" t="s">
        <v>2835</v>
      </c>
      <c r="C1368" s="8" t="s">
        <v>80</v>
      </c>
      <c r="D1368" s="10">
        <v>2.2000000000000002</v>
      </c>
      <c r="E1368" s="10">
        <v>2</v>
      </c>
      <c r="F1368" s="10">
        <v>0.2</v>
      </c>
      <c r="G1368" s="10">
        <v>2</v>
      </c>
      <c r="H1368" s="10">
        <v>0.2</v>
      </c>
      <c r="I1368" s="10">
        <v>0</v>
      </c>
      <c r="J1368" s="10">
        <v>0</v>
      </c>
      <c r="K1368" s="10">
        <v>0</v>
      </c>
      <c r="L1368" s="10">
        <v>0</v>
      </c>
      <c r="M1368" s="10">
        <v>0</v>
      </c>
      <c r="N1368" s="10">
        <v>0.2</v>
      </c>
      <c r="O1368" s="8" t="s">
        <v>31</v>
      </c>
      <c r="P1368" s="8" t="s">
        <v>31</v>
      </c>
      <c r="Q1368" s="8" t="s">
        <v>31</v>
      </c>
      <c r="R1368" s="8" t="s">
        <v>31</v>
      </c>
      <c r="S1368" s="8" t="s">
        <v>31</v>
      </c>
      <c r="T1368" s="8" t="s">
        <v>57</v>
      </c>
      <c r="U1368" s="8" t="s">
        <v>31</v>
      </c>
      <c r="V1368" s="8" t="s">
        <v>31</v>
      </c>
      <c r="W1368" s="8" t="str">
        <f>_xlfn.IFNA(VLOOKUP(A1368,[1]Sheet1!$A$1:$B$101,1,FALSE),"na")</f>
        <v>na</v>
      </c>
      <c r="X1368" s="8" t="s">
        <v>35</v>
      </c>
      <c r="Y1368" s="9">
        <v>523</v>
      </c>
      <c r="Z1368" s="9">
        <v>237.72726</v>
      </c>
      <c r="AA1368" s="9">
        <v>261.5</v>
      </c>
      <c r="AB1368" s="9">
        <v>523</v>
      </c>
    </row>
    <row r="1369" spans="1:28" x14ac:dyDescent="0.25">
      <c r="A1369" s="8" t="s">
        <v>2836</v>
      </c>
      <c r="B1369" s="8" t="s">
        <v>2837</v>
      </c>
      <c r="C1369" s="8" t="s">
        <v>67</v>
      </c>
      <c r="D1369" s="10">
        <v>2.5333299999999999</v>
      </c>
      <c r="E1369" s="10">
        <v>1.4</v>
      </c>
      <c r="F1369" s="10">
        <v>1.1333299999999999</v>
      </c>
      <c r="G1369" s="10">
        <v>1</v>
      </c>
      <c r="H1369" s="10">
        <v>1.1333299999999999</v>
      </c>
      <c r="I1369" s="10">
        <v>0.40000001000000002</v>
      </c>
      <c r="J1369" s="10">
        <v>0</v>
      </c>
      <c r="K1369" s="10">
        <v>0</v>
      </c>
      <c r="L1369" s="10">
        <v>0</v>
      </c>
      <c r="M1369" s="10">
        <v>1</v>
      </c>
      <c r="N1369" s="10">
        <v>0.13333</v>
      </c>
      <c r="O1369" s="8" t="s">
        <v>31</v>
      </c>
      <c r="P1369" s="8" t="s">
        <v>31</v>
      </c>
      <c r="Q1369" s="8" t="s">
        <v>31</v>
      </c>
      <c r="R1369" s="8" t="s">
        <v>57</v>
      </c>
      <c r="S1369" s="8" t="s">
        <v>31</v>
      </c>
      <c r="T1369" s="8" t="s">
        <v>31</v>
      </c>
      <c r="U1369" s="8" t="s">
        <v>31</v>
      </c>
      <c r="V1369" s="8" t="s">
        <v>31</v>
      </c>
      <c r="W1369" s="8" t="str">
        <f>_xlfn.IFNA(VLOOKUP(A1369,[1]Sheet1!$A$1:$B$101,1,FALSE),"na")</f>
        <v>na</v>
      </c>
      <c r="X1369" s="8" t="s">
        <v>35</v>
      </c>
      <c r="Y1369" s="9">
        <v>239</v>
      </c>
      <c r="Z1369" s="9">
        <v>94.342231999999996</v>
      </c>
      <c r="AA1369" s="9">
        <v>170.71429000000001</v>
      </c>
      <c r="AB1369" s="9">
        <v>210.88298</v>
      </c>
    </row>
    <row r="1370" spans="1:28" x14ac:dyDescent="0.25">
      <c r="A1370" s="8" t="s">
        <v>2838</v>
      </c>
      <c r="B1370" s="8" t="s">
        <v>2839</v>
      </c>
      <c r="C1370" s="8" t="s">
        <v>38</v>
      </c>
      <c r="D1370" s="10">
        <v>2.2000000000000002</v>
      </c>
      <c r="E1370" s="10">
        <v>1</v>
      </c>
      <c r="F1370" s="10">
        <v>1.2</v>
      </c>
      <c r="G1370" s="10">
        <v>1</v>
      </c>
      <c r="H1370" s="10">
        <v>1.2</v>
      </c>
      <c r="I1370" s="10">
        <v>0</v>
      </c>
      <c r="J1370" s="10">
        <v>0</v>
      </c>
      <c r="K1370" s="10">
        <v>0</v>
      </c>
      <c r="L1370" s="10">
        <v>0</v>
      </c>
      <c r="M1370" s="10">
        <v>0</v>
      </c>
      <c r="N1370" s="10">
        <v>0.2</v>
      </c>
      <c r="O1370" s="8" t="s">
        <v>57</v>
      </c>
      <c r="P1370" s="8" t="s">
        <v>31</v>
      </c>
      <c r="Q1370" s="8" t="s">
        <v>31</v>
      </c>
      <c r="R1370" s="8" t="s">
        <v>31</v>
      </c>
      <c r="S1370" s="8" t="s">
        <v>31</v>
      </c>
      <c r="T1370" s="8" t="s">
        <v>31</v>
      </c>
      <c r="U1370" s="8" t="s">
        <v>31</v>
      </c>
      <c r="V1370" s="8" t="s">
        <v>31</v>
      </c>
      <c r="W1370" s="8" t="str">
        <f>_xlfn.IFNA(VLOOKUP(A1370,[1]Sheet1!$A$1:$B$101,1,FALSE),"na")</f>
        <v>na</v>
      </c>
      <c r="X1370" s="8" t="s">
        <v>35</v>
      </c>
      <c r="Y1370" s="9">
        <v>566</v>
      </c>
      <c r="Z1370" s="9">
        <v>257.27274</v>
      </c>
      <c r="AA1370" s="9">
        <v>566</v>
      </c>
      <c r="AB1370" s="9">
        <v>471.66665999999998</v>
      </c>
    </row>
    <row r="1371" spans="1:28" x14ac:dyDescent="0.25">
      <c r="A1371" s="8" t="s">
        <v>2840</v>
      </c>
      <c r="B1371" s="8" t="s">
        <v>2841</v>
      </c>
      <c r="C1371" s="8" t="s">
        <v>62</v>
      </c>
      <c r="D1371" s="10">
        <v>1.2</v>
      </c>
      <c r="E1371" s="10">
        <v>0</v>
      </c>
      <c r="F1371" s="10">
        <v>1.2</v>
      </c>
      <c r="G1371" s="10">
        <v>0</v>
      </c>
      <c r="H1371" s="10">
        <v>1.2</v>
      </c>
      <c r="I1371" s="10">
        <v>0</v>
      </c>
      <c r="J1371" s="10">
        <v>0</v>
      </c>
      <c r="K1371" s="10">
        <v>0</v>
      </c>
      <c r="L1371" s="10">
        <v>0</v>
      </c>
      <c r="M1371" s="10">
        <v>0</v>
      </c>
      <c r="N1371" s="10">
        <v>0.2</v>
      </c>
      <c r="O1371" s="8" t="s">
        <v>31</v>
      </c>
      <c r="P1371" s="8" t="s">
        <v>31</v>
      </c>
      <c r="Q1371" s="8" t="s">
        <v>31</v>
      </c>
      <c r="R1371" s="8" t="s">
        <v>31</v>
      </c>
      <c r="S1371" s="8" t="s">
        <v>31</v>
      </c>
      <c r="T1371" s="8" t="s">
        <v>31</v>
      </c>
      <c r="U1371" s="8" t="s">
        <v>31</v>
      </c>
      <c r="V1371" s="8" t="s">
        <v>31</v>
      </c>
      <c r="W1371" s="8" t="str">
        <f>_xlfn.IFNA(VLOOKUP(A1371,[1]Sheet1!$A$1:$B$101,1,FALSE),"na")</f>
        <v>na</v>
      </c>
      <c r="X1371" s="8" t="s">
        <v>35</v>
      </c>
      <c r="Y1371" s="9">
        <v>374</v>
      </c>
      <c r="Z1371" s="9">
        <v>311.66665999999998</v>
      </c>
      <c r="AA1371" s="9">
        <v>374</v>
      </c>
      <c r="AB1371" s="9">
        <v>311.66665999999998</v>
      </c>
    </row>
    <row r="1372" spans="1:28" x14ac:dyDescent="0.25">
      <c r="A1372" s="8" t="s">
        <v>2842</v>
      </c>
      <c r="B1372" s="8" t="s">
        <v>2843</v>
      </c>
      <c r="C1372" s="8" t="s">
        <v>62</v>
      </c>
      <c r="D1372" s="10">
        <v>2.2000000000000002</v>
      </c>
      <c r="E1372" s="10">
        <v>1</v>
      </c>
      <c r="F1372" s="10">
        <v>1.2</v>
      </c>
      <c r="G1372" s="10">
        <v>1</v>
      </c>
      <c r="H1372" s="10">
        <v>1.2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0.2</v>
      </c>
      <c r="O1372" s="8" t="s">
        <v>31</v>
      </c>
      <c r="P1372" s="8" t="s">
        <v>31</v>
      </c>
      <c r="Q1372" s="8" t="s">
        <v>31</v>
      </c>
      <c r="R1372" s="8" t="s">
        <v>57</v>
      </c>
      <c r="S1372" s="8" t="s">
        <v>31</v>
      </c>
      <c r="T1372" s="8" t="s">
        <v>57</v>
      </c>
      <c r="U1372" s="8" t="s">
        <v>31</v>
      </c>
      <c r="V1372" s="8" t="s">
        <v>31</v>
      </c>
      <c r="W1372" s="8" t="str">
        <f>_xlfn.IFNA(VLOOKUP(A1372,[1]Sheet1!$A$1:$B$101,1,FALSE),"na")</f>
        <v>na</v>
      </c>
      <c r="X1372" s="8" t="s">
        <v>35</v>
      </c>
      <c r="Y1372" s="9">
        <v>356</v>
      </c>
      <c r="Z1372" s="9">
        <v>161.81818000000001</v>
      </c>
      <c r="AA1372" s="9">
        <v>356</v>
      </c>
      <c r="AB1372" s="9">
        <v>296.66665999999998</v>
      </c>
    </row>
    <row r="1373" spans="1:28" x14ac:dyDescent="0.25">
      <c r="A1373" s="8" t="s">
        <v>2844</v>
      </c>
      <c r="B1373" s="8" t="s">
        <v>2845</v>
      </c>
      <c r="C1373" s="8" t="s">
        <v>80</v>
      </c>
      <c r="D1373" s="10">
        <v>3</v>
      </c>
      <c r="E1373" s="10">
        <v>2</v>
      </c>
      <c r="F1373" s="10">
        <v>1</v>
      </c>
      <c r="G1373" s="10">
        <v>2</v>
      </c>
      <c r="H1373" s="10">
        <v>1</v>
      </c>
      <c r="I1373" s="10">
        <v>0</v>
      </c>
      <c r="J1373" s="10">
        <v>0</v>
      </c>
      <c r="K1373" s="10">
        <v>0</v>
      </c>
      <c r="L1373" s="10">
        <v>0</v>
      </c>
      <c r="M1373" s="10">
        <v>0</v>
      </c>
      <c r="N1373" s="10">
        <v>0</v>
      </c>
      <c r="O1373" s="8" t="s">
        <v>57</v>
      </c>
      <c r="P1373" s="8" t="s">
        <v>31</v>
      </c>
      <c r="Q1373" s="8" t="s">
        <v>31</v>
      </c>
      <c r="R1373" s="8" t="s">
        <v>31</v>
      </c>
      <c r="S1373" s="8" t="s">
        <v>31</v>
      </c>
      <c r="T1373" s="8" t="s">
        <v>57</v>
      </c>
      <c r="U1373" s="8" t="s">
        <v>31</v>
      </c>
      <c r="V1373" s="8" t="s">
        <v>31</v>
      </c>
      <c r="W1373" s="8" t="str">
        <f>_xlfn.IFNA(VLOOKUP(A1373,[1]Sheet1!$A$1:$B$101,1,FALSE),"na")</f>
        <v>na</v>
      </c>
      <c r="X1373" s="8" t="s">
        <v>35</v>
      </c>
      <c r="Y1373" s="9">
        <v>514</v>
      </c>
      <c r="Z1373" s="9">
        <v>171.33332999999999</v>
      </c>
      <c r="AA1373" s="9">
        <v>257</v>
      </c>
      <c r="AB1373" s="9">
        <v>514</v>
      </c>
    </row>
    <row r="1374" spans="1:28" x14ac:dyDescent="0.25">
      <c r="A1374" s="8" t="s">
        <v>2846</v>
      </c>
      <c r="B1374" s="8" t="s">
        <v>2847</v>
      </c>
      <c r="C1374" s="8" t="s">
        <v>67</v>
      </c>
      <c r="D1374" s="10">
        <v>2.1333300999999998</v>
      </c>
      <c r="E1374" s="10">
        <v>1</v>
      </c>
      <c r="F1374" s="10">
        <v>1.1333299999999999</v>
      </c>
      <c r="G1374" s="10">
        <v>1</v>
      </c>
      <c r="H1374" s="10">
        <v>1.1333299999999999</v>
      </c>
      <c r="I1374" s="10">
        <v>0</v>
      </c>
      <c r="J1374" s="10">
        <v>0</v>
      </c>
      <c r="K1374" s="10">
        <v>0</v>
      </c>
      <c r="L1374" s="10">
        <v>0</v>
      </c>
      <c r="M1374" s="10">
        <v>0</v>
      </c>
      <c r="N1374" s="10">
        <v>0.13333</v>
      </c>
      <c r="O1374" s="8" t="s">
        <v>31</v>
      </c>
      <c r="P1374" s="8" t="s">
        <v>31</v>
      </c>
      <c r="Q1374" s="8" t="s">
        <v>31</v>
      </c>
      <c r="R1374" s="8" t="s">
        <v>57</v>
      </c>
      <c r="S1374" s="8" t="s">
        <v>31</v>
      </c>
      <c r="T1374" s="8" t="s">
        <v>31</v>
      </c>
      <c r="U1374" s="8" t="s">
        <v>31</v>
      </c>
      <c r="V1374" s="8" t="s">
        <v>31</v>
      </c>
      <c r="W1374" s="8" t="str">
        <f>_xlfn.IFNA(VLOOKUP(A1374,[1]Sheet1!$A$1:$B$101,1,FALSE),"na")</f>
        <v>na</v>
      </c>
      <c r="X1374" s="8" t="s">
        <v>35</v>
      </c>
      <c r="Y1374" s="9">
        <v>283</v>
      </c>
      <c r="Z1374" s="9">
        <v>132.65645000000001</v>
      </c>
      <c r="AA1374" s="9">
        <v>283</v>
      </c>
      <c r="AB1374" s="9">
        <v>249.70661999999999</v>
      </c>
    </row>
    <row r="1375" spans="1:28" x14ac:dyDescent="0.25">
      <c r="A1375" s="8" t="s">
        <v>2848</v>
      </c>
      <c r="B1375" s="8" t="s">
        <v>2849</v>
      </c>
      <c r="C1375" s="8" t="s">
        <v>67</v>
      </c>
      <c r="D1375" s="10">
        <v>1.1333299999999999</v>
      </c>
      <c r="E1375" s="10">
        <v>0</v>
      </c>
      <c r="F1375" s="10">
        <v>1.1333299999999999</v>
      </c>
      <c r="G1375" s="10">
        <v>0</v>
      </c>
      <c r="H1375" s="10">
        <v>1.1333299999999999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0.13333</v>
      </c>
      <c r="O1375" s="8" t="s">
        <v>31</v>
      </c>
      <c r="P1375" s="8" t="s">
        <v>31</v>
      </c>
      <c r="Q1375" s="8" t="s">
        <v>31</v>
      </c>
      <c r="R1375" s="8" t="s">
        <v>31</v>
      </c>
      <c r="S1375" s="8" t="s">
        <v>31</v>
      </c>
      <c r="T1375" s="8" t="s">
        <v>31</v>
      </c>
      <c r="U1375" s="8" t="s">
        <v>31</v>
      </c>
      <c r="V1375" s="8" t="s">
        <v>31</v>
      </c>
      <c r="W1375" s="8" t="str">
        <f>_xlfn.IFNA(VLOOKUP(A1375,[1]Sheet1!$A$1:$B$101,1,FALSE),"na")</f>
        <v>na</v>
      </c>
      <c r="X1375" s="8" t="s">
        <v>35</v>
      </c>
      <c r="Y1375" s="9">
        <v>290</v>
      </c>
      <c r="Z1375" s="9">
        <v>255.88310000000001</v>
      </c>
      <c r="AA1375" s="9">
        <v>290</v>
      </c>
      <c r="AB1375" s="9">
        <v>255.88310000000001</v>
      </c>
    </row>
    <row r="1376" spans="1:28" x14ac:dyDescent="0.25">
      <c r="A1376" s="8" t="s">
        <v>2850</v>
      </c>
      <c r="B1376" s="8" t="s">
        <v>1091</v>
      </c>
      <c r="C1376" s="8" t="s">
        <v>30</v>
      </c>
      <c r="D1376" s="10">
        <v>1.2</v>
      </c>
      <c r="E1376" s="10">
        <v>0</v>
      </c>
      <c r="F1376" s="10">
        <v>1.2</v>
      </c>
      <c r="G1376" s="10">
        <v>0</v>
      </c>
      <c r="H1376" s="10">
        <v>1.2</v>
      </c>
      <c r="I1376" s="10">
        <v>0</v>
      </c>
      <c r="J1376" s="10">
        <v>0</v>
      </c>
      <c r="K1376" s="10">
        <v>0</v>
      </c>
      <c r="L1376" s="10">
        <v>0</v>
      </c>
      <c r="M1376" s="10">
        <v>0</v>
      </c>
      <c r="N1376" s="10">
        <v>0.2</v>
      </c>
      <c r="O1376" s="8" t="s">
        <v>57</v>
      </c>
      <c r="P1376" s="8" t="s">
        <v>31</v>
      </c>
      <c r="Q1376" s="8" t="s">
        <v>31</v>
      </c>
      <c r="R1376" s="8" t="s">
        <v>31</v>
      </c>
      <c r="S1376" s="8" t="s">
        <v>31</v>
      </c>
      <c r="T1376" s="8" t="s">
        <v>31</v>
      </c>
      <c r="U1376" s="8" t="s">
        <v>31</v>
      </c>
      <c r="V1376" s="8" t="s">
        <v>31</v>
      </c>
      <c r="W1376" s="8" t="str">
        <f>_xlfn.IFNA(VLOOKUP(A1376,[1]Sheet1!$A$1:$B$101,1,FALSE),"na")</f>
        <v>na</v>
      </c>
      <c r="X1376" s="8" t="s">
        <v>35</v>
      </c>
      <c r="Y1376" s="9">
        <v>256</v>
      </c>
      <c r="Z1376" s="9">
        <v>213.33332999999999</v>
      </c>
      <c r="AA1376" s="9">
        <v>256</v>
      </c>
      <c r="AB1376" s="9">
        <v>213.33332999999999</v>
      </c>
    </row>
    <row r="1377" spans="1:28" x14ac:dyDescent="0.25">
      <c r="A1377" s="8" t="s">
        <v>2851</v>
      </c>
      <c r="B1377" s="8" t="s">
        <v>2852</v>
      </c>
      <c r="C1377" s="8" t="s">
        <v>62</v>
      </c>
      <c r="D1377" s="10">
        <v>2</v>
      </c>
      <c r="E1377" s="10">
        <v>1</v>
      </c>
      <c r="F1377" s="10">
        <v>1</v>
      </c>
      <c r="G1377" s="10">
        <v>1</v>
      </c>
      <c r="H1377" s="10">
        <v>1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8" t="s">
        <v>31</v>
      </c>
      <c r="P1377" s="8" t="s">
        <v>31</v>
      </c>
      <c r="Q1377" s="8" t="s">
        <v>31</v>
      </c>
      <c r="R1377" s="8" t="s">
        <v>31</v>
      </c>
      <c r="S1377" s="8" t="s">
        <v>31</v>
      </c>
      <c r="T1377" s="8" t="s">
        <v>57</v>
      </c>
      <c r="U1377" s="8" t="s">
        <v>31</v>
      </c>
      <c r="V1377" s="8" t="s">
        <v>31</v>
      </c>
      <c r="W1377" s="8" t="str">
        <f>_xlfn.IFNA(VLOOKUP(A1377,[1]Sheet1!$A$1:$B$101,1,FALSE),"na")</f>
        <v>na</v>
      </c>
      <c r="X1377" s="8" t="s">
        <v>35</v>
      </c>
      <c r="Y1377" s="9">
        <v>101</v>
      </c>
      <c r="Z1377" s="9">
        <v>50.5</v>
      </c>
      <c r="AA1377" s="9">
        <v>101</v>
      </c>
      <c r="AB1377" s="9">
        <v>101</v>
      </c>
    </row>
    <row r="1378" spans="1:28" x14ac:dyDescent="0.25">
      <c r="A1378" s="8" t="s">
        <v>2853</v>
      </c>
      <c r="B1378" s="8" t="s">
        <v>2854</v>
      </c>
      <c r="C1378" s="8" t="s">
        <v>62</v>
      </c>
      <c r="D1378" s="10">
        <v>3.2</v>
      </c>
      <c r="E1378" s="10">
        <v>2</v>
      </c>
      <c r="F1378" s="10">
        <v>1.2</v>
      </c>
      <c r="G1378" s="10">
        <v>2</v>
      </c>
      <c r="H1378" s="10">
        <v>1.2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0.2</v>
      </c>
      <c r="O1378" s="8" t="s">
        <v>31</v>
      </c>
      <c r="P1378" s="8" t="s">
        <v>31</v>
      </c>
      <c r="Q1378" s="8" t="s">
        <v>31</v>
      </c>
      <c r="R1378" s="8" t="s">
        <v>31</v>
      </c>
      <c r="S1378" s="8" t="s">
        <v>31</v>
      </c>
      <c r="T1378" s="8" t="s">
        <v>57</v>
      </c>
      <c r="U1378" s="8" t="s">
        <v>31</v>
      </c>
      <c r="V1378" s="8" t="s">
        <v>31</v>
      </c>
      <c r="W1378" s="8" t="str">
        <f>_xlfn.IFNA(VLOOKUP(A1378,[1]Sheet1!$A$1:$B$101,1,FALSE),"na")</f>
        <v>na</v>
      </c>
      <c r="X1378" s="8" t="s">
        <v>35</v>
      </c>
      <c r="Y1378" s="9">
        <v>512</v>
      </c>
      <c r="Z1378" s="9">
        <v>160</v>
      </c>
      <c r="AA1378" s="9">
        <v>256</v>
      </c>
      <c r="AB1378" s="9">
        <v>426.66665999999998</v>
      </c>
    </row>
    <row r="1379" spans="1:28" x14ac:dyDescent="0.25">
      <c r="A1379" s="8" t="s">
        <v>2855</v>
      </c>
      <c r="B1379" s="8" t="s">
        <v>2856</v>
      </c>
      <c r="C1379" s="8" t="s">
        <v>62</v>
      </c>
      <c r="D1379" s="10">
        <v>4.1999997999999996</v>
      </c>
      <c r="E1379" s="10">
        <v>3</v>
      </c>
      <c r="F1379" s="10">
        <v>1.2</v>
      </c>
      <c r="G1379" s="10">
        <v>3</v>
      </c>
      <c r="H1379" s="10">
        <v>1.2</v>
      </c>
      <c r="I1379" s="10">
        <v>0</v>
      </c>
      <c r="J1379" s="10">
        <v>0</v>
      </c>
      <c r="K1379" s="10">
        <v>1</v>
      </c>
      <c r="L1379" s="10">
        <v>0</v>
      </c>
      <c r="M1379" s="10">
        <v>0</v>
      </c>
      <c r="N1379" s="10">
        <v>0.2</v>
      </c>
      <c r="O1379" s="8" t="s">
        <v>57</v>
      </c>
      <c r="P1379" s="8" t="s">
        <v>31</v>
      </c>
      <c r="Q1379" s="8" t="s">
        <v>31</v>
      </c>
      <c r="R1379" s="8" t="s">
        <v>31</v>
      </c>
      <c r="S1379" s="8" t="s">
        <v>31</v>
      </c>
      <c r="T1379" s="8" t="s">
        <v>57</v>
      </c>
      <c r="U1379" s="8" t="s">
        <v>31</v>
      </c>
      <c r="V1379" s="8" t="s">
        <v>31</v>
      </c>
      <c r="W1379" s="8" t="str">
        <f>_xlfn.IFNA(VLOOKUP(A1379,[1]Sheet1!$A$1:$B$101,1,FALSE),"na")</f>
        <v>na</v>
      </c>
      <c r="X1379" s="8" t="s">
        <v>35</v>
      </c>
      <c r="Y1379" s="9">
        <v>621</v>
      </c>
      <c r="Z1379" s="9">
        <v>147.85714999999999</v>
      </c>
      <c r="AA1379" s="9">
        <v>207</v>
      </c>
      <c r="AB1379" s="9">
        <v>517.5</v>
      </c>
    </row>
    <row r="1380" spans="1:28" x14ac:dyDescent="0.25">
      <c r="A1380" s="8" t="s">
        <v>2857</v>
      </c>
      <c r="B1380" s="8" t="s">
        <v>2858</v>
      </c>
      <c r="C1380" s="8" t="s">
        <v>30</v>
      </c>
      <c r="D1380" s="10">
        <v>1.6</v>
      </c>
      <c r="E1380" s="10">
        <v>1</v>
      </c>
      <c r="F1380" s="10">
        <v>0.60000001999999997</v>
      </c>
      <c r="G1380" s="10">
        <v>1</v>
      </c>
      <c r="H1380" s="10">
        <v>0.60000001999999997</v>
      </c>
      <c r="I1380" s="10">
        <v>0</v>
      </c>
      <c r="J1380" s="10">
        <v>0</v>
      </c>
      <c r="K1380" s="10">
        <v>0</v>
      </c>
      <c r="L1380" s="10">
        <v>0.60000001999999997</v>
      </c>
      <c r="M1380" s="10">
        <v>0</v>
      </c>
      <c r="N1380" s="10">
        <v>0.60000001999999997</v>
      </c>
      <c r="O1380" s="8" t="s">
        <v>31</v>
      </c>
      <c r="P1380" s="8" t="s">
        <v>31</v>
      </c>
      <c r="Q1380" s="8" t="s">
        <v>31</v>
      </c>
      <c r="R1380" s="8" t="s">
        <v>31</v>
      </c>
      <c r="S1380" s="8" t="s">
        <v>31</v>
      </c>
      <c r="T1380" s="8" t="s">
        <v>31</v>
      </c>
      <c r="U1380" s="8" t="s">
        <v>31</v>
      </c>
      <c r="V1380" s="8" t="s">
        <v>31</v>
      </c>
      <c r="W1380" s="8" t="str">
        <f>_xlfn.IFNA(VLOOKUP(A1380,[1]Sheet1!$A$1:$B$101,1,FALSE),"na")</f>
        <v>na</v>
      </c>
      <c r="X1380" s="8" t="s">
        <v>35</v>
      </c>
      <c r="Y1380" s="9">
        <v>577</v>
      </c>
      <c r="Z1380" s="9">
        <v>360.625</v>
      </c>
      <c r="AA1380" s="9">
        <v>577</v>
      </c>
      <c r="AB1380" s="9">
        <v>577</v>
      </c>
    </row>
    <row r="1381" spans="1:28" x14ac:dyDescent="0.25">
      <c r="A1381" s="8" t="s">
        <v>2859</v>
      </c>
      <c r="B1381" s="8" t="s">
        <v>2860</v>
      </c>
      <c r="C1381" s="8" t="s">
        <v>67</v>
      </c>
      <c r="D1381" s="10">
        <v>4</v>
      </c>
      <c r="E1381" s="10">
        <v>4</v>
      </c>
      <c r="F1381" s="10">
        <v>0</v>
      </c>
      <c r="G1381" s="10">
        <v>4</v>
      </c>
      <c r="H1381" s="10">
        <v>0</v>
      </c>
      <c r="I1381" s="10">
        <v>0</v>
      </c>
      <c r="J1381" s="10">
        <v>0</v>
      </c>
      <c r="K1381" s="10">
        <v>1</v>
      </c>
      <c r="L1381" s="10">
        <v>0</v>
      </c>
      <c r="M1381" s="10">
        <v>0</v>
      </c>
      <c r="N1381" s="10">
        <v>0</v>
      </c>
      <c r="O1381" s="8" t="s">
        <v>31</v>
      </c>
      <c r="P1381" s="8" t="s">
        <v>31</v>
      </c>
      <c r="Q1381" s="8" t="s">
        <v>31</v>
      </c>
      <c r="R1381" s="8" t="s">
        <v>31</v>
      </c>
      <c r="S1381" s="8" t="s">
        <v>31</v>
      </c>
      <c r="T1381" s="8" t="s">
        <v>31</v>
      </c>
      <c r="U1381" s="8" t="s">
        <v>31</v>
      </c>
      <c r="V1381" s="8" t="s">
        <v>31</v>
      </c>
      <c r="W1381" s="8" t="str">
        <f>_xlfn.IFNA(VLOOKUP(A1381,[1]Sheet1!$A$1:$B$101,1,FALSE),"na")</f>
        <v>na</v>
      </c>
      <c r="X1381" s="8" t="s">
        <v>35</v>
      </c>
      <c r="Y1381" s="9">
        <v>600</v>
      </c>
      <c r="Z1381" s="9">
        <v>150</v>
      </c>
      <c r="AA1381" s="9">
        <v>150</v>
      </c>
      <c r="AB1381" s="9">
        <v>600</v>
      </c>
    </row>
    <row r="1382" spans="1:28" x14ac:dyDescent="0.25">
      <c r="A1382" s="8" t="s">
        <v>2861</v>
      </c>
      <c r="B1382" s="8" t="s">
        <v>2862</v>
      </c>
      <c r="C1382" s="8" t="s">
        <v>30</v>
      </c>
      <c r="D1382" s="10">
        <v>1.3</v>
      </c>
      <c r="E1382" s="10">
        <v>1</v>
      </c>
      <c r="F1382" s="10">
        <v>0.30000000999999998</v>
      </c>
      <c r="G1382" s="10">
        <v>1</v>
      </c>
      <c r="H1382" s="10">
        <v>0.30000000999999998</v>
      </c>
      <c r="I1382" s="10">
        <v>0</v>
      </c>
      <c r="J1382" s="10">
        <v>0</v>
      </c>
      <c r="K1382" s="10">
        <v>0</v>
      </c>
      <c r="L1382" s="10">
        <v>0.30000000999999998</v>
      </c>
      <c r="M1382" s="10">
        <v>0</v>
      </c>
      <c r="N1382" s="10">
        <v>0.30000000999999998</v>
      </c>
      <c r="O1382" s="8" t="s">
        <v>31</v>
      </c>
      <c r="P1382" s="8" t="s">
        <v>31</v>
      </c>
      <c r="Q1382" s="8" t="s">
        <v>31</v>
      </c>
      <c r="R1382" s="8" t="s">
        <v>31</v>
      </c>
      <c r="S1382" s="8" t="s">
        <v>31</v>
      </c>
      <c r="T1382" s="8" t="s">
        <v>31</v>
      </c>
      <c r="U1382" s="8" t="s">
        <v>31</v>
      </c>
      <c r="V1382" s="8" t="s">
        <v>31</v>
      </c>
      <c r="W1382" s="8" t="str">
        <f>_xlfn.IFNA(VLOOKUP(A1382,[1]Sheet1!$A$1:$B$101,1,FALSE),"na")</f>
        <v>na</v>
      </c>
      <c r="X1382" s="8" t="s">
        <v>35</v>
      </c>
      <c r="Y1382" s="9">
        <v>703</v>
      </c>
      <c r="Z1382" s="9">
        <v>540.76922999999999</v>
      </c>
      <c r="AA1382" s="9">
        <v>703</v>
      </c>
      <c r="AB1382" s="9">
        <v>703</v>
      </c>
    </row>
    <row r="1383" spans="1:28" x14ac:dyDescent="0.25">
      <c r="A1383" s="8" t="s">
        <v>2863</v>
      </c>
      <c r="B1383" s="8" t="s">
        <v>2864</v>
      </c>
      <c r="C1383" s="8" t="s">
        <v>30</v>
      </c>
      <c r="D1383" s="10">
        <v>1.3</v>
      </c>
      <c r="E1383" s="10">
        <v>1</v>
      </c>
      <c r="F1383" s="10">
        <v>0.30000000999999998</v>
      </c>
      <c r="G1383" s="10">
        <v>1</v>
      </c>
      <c r="H1383" s="10">
        <v>0.30000000999999998</v>
      </c>
      <c r="I1383" s="10">
        <v>0</v>
      </c>
      <c r="J1383" s="10">
        <v>0</v>
      </c>
      <c r="K1383" s="10">
        <v>0</v>
      </c>
      <c r="L1383" s="10">
        <v>0.30000000999999998</v>
      </c>
      <c r="M1383" s="10">
        <v>0</v>
      </c>
      <c r="N1383" s="10">
        <v>0.30000000999999998</v>
      </c>
      <c r="O1383" s="8" t="s">
        <v>31</v>
      </c>
      <c r="P1383" s="8" t="s">
        <v>31</v>
      </c>
      <c r="Q1383" s="8" t="s">
        <v>31</v>
      </c>
      <c r="R1383" s="8" t="s">
        <v>31</v>
      </c>
      <c r="S1383" s="8" t="s">
        <v>31</v>
      </c>
      <c r="T1383" s="8" t="s">
        <v>31</v>
      </c>
      <c r="U1383" s="8" t="s">
        <v>31</v>
      </c>
      <c r="V1383" s="8" t="s">
        <v>31</v>
      </c>
      <c r="W1383" s="8" t="str">
        <f>_xlfn.IFNA(VLOOKUP(A1383,[1]Sheet1!$A$1:$B$101,1,FALSE),"na")</f>
        <v>na</v>
      </c>
      <c r="X1383" s="8" t="s">
        <v>35</v>
      </c>
      <c r="Y1383" s="9">
        <v>606</v>
      </c>
      <c r="Z1383" s="9">
        <v>466.15386999999998</v>
      </c>
      <c r="AA1383" s="9">
        <v>606</v>
      </c>
      <c r="AB1383" s="9">
        <v>606</v>
      </c>
    </row>
    <row r="1384" spans="1:28" x14ac:dyDescent="0.25">
      <c r="A1384" s="8" t="s">
        <v>2865</v>
      </c>
      <c r="B1384" s="8" t="s">
        <v>2866</v>
      </c>
      <c r="C1384" s="8" t="s">
        <v>30</v>
      </c>
      <c r="D1384" s="10">
        <v>1.4</v>
      </c>
      <c r="E1384" s="10">
        <v>1</v>
      </c>
      <c r="F1384" s="10">
        <v>0.40000001000000002</v>
      </c>
      <c r="G1384" s="10">
        <v>1</v>
      </c>
      <c r="H1384" s="10">
        <v>0.40000001000000002</v>
      </c>
      <c r="I1384" s="10">
        <v>0</v>
      </c>
      <c r="J1384" s="10">
        <v>0</v>
      </c>
      <c r="K1384" s="10">
        <v>0</v>
      </c>
      <c r="L1384" s="10">
        <v>0.40000001000000002</v>
      </c>
      <c r="M1384" s="10">
        <v>0</v>
      </c>
      <c r="N1384" s="10">
        <v>0.40000001000000002</v>
      </c>
      <c r="O1384" s="8" t="s">
        <v>31</v>
      </c>
      <c r="P1384" s="8" t="s">
        <v>31</v>
      </c>
      <c r="Q1384" s="8" t="s">
        <v>31</v>
      </c>
      <c r="R1384" s="8" t="s">
        <v>31</v>
      </c>
      <c r="S1384" s="8" t="s">
        <v>31</v>
      </c>
      <c r="T1384" s="8" t="s">
        <v>31</v>
      </c>
      <c r="U1384" s="8" t="s">
        <v>31</v>
      </c>
      <c r="V1384" s="8" t="s">
        <v>31</v>
      </c>
      <c r="W1384" s="8" t="str">
        <f>_xlfn.IFNA(VLOOKUP(A1384,[1]Sheet1!$A$1:$B$101,1,FALSE),"na")</f>
        <v>na</v>
      </c>
      <c r="X1384" s="8" t="s">
        <v>35</v>
      </c>
      <c r="Y1384" s="9">
        <v>763</v>
      </c>
      <c r="Z1384" s="9">
        <v>545</v>
      </c>
      <c r="AA1384" s="9">
        <v>763</v>
      </c>
      <c r="AB1384" s="9">
        <v>763</v>
      </c>
    </row>
    <row r="1385" spans="1:28" x14ac:dyDescent="0.25">
      <c r="A1385" s="8" t="s">
        <v>2867</v>
      </c>
      <c r="B1385" s="8" t="s">
        <v>2868</v>
      </c>
      <c r="C1385" s="8" t="s">
        <v>30</v>
      </c>
      <c r="D1385" s="10">
        <v>2.2999999999999998</v>
      </c>
      <c r="E1385" s="10">
        <v>1</v>
      </c>
      <c r="F1385" s="10">
        <v>1.3</v>
      </c>
      <c r="G1385" s="10">
        <v>1</v>
      </c>
      <c r="H1385" s="10">
        <v>1.3</v>
      </c>
      <c r="I1385" s="10">
        <v>0</v>
      </c>
      <c r="J1385" s="10">
        <v>0</v>
      </c>
      <c r="K1385" s="10">
        <v>0</v>
      </c>
      <c r="L1385" s="10">
        <v>0.30000000999999998</v>
      </c>
      <c r="M1385" s="10">
        <v>0</v>
      </c>
      <c r="N1385" s="10">
        <v>0.30000000999999998</v>
      </c>
      <c r="O1385" s="8" t="s">
        <v>31</v>
      </c>
      <c r="P1385" s="8" t="s">
        <v>31</v>
      </c>
      <c r="Q1385" s="8" t="s">
        <v>31</v>
      </c>
      <c r="R1385" s="8" t="s">
        <v>31</v>
      </c>
      <c r="S1385" s="8" t="s">
        <v>31</v>
      </c>
      <c r="T1385" s="8" t="s">
        <v>31</v>
      </c>
      <c r="U1385" s="8" t="s">
        <v>31</v>
      </c>
      <c r="V1385" s="8" t="s">
        <v>31</v>
      </c>
      <c r="W1385" s="8" t="str">
        <f>_xlfn.IFNA(VLOOKUP(A1385,[1]Sheet1!$A$1:$B$101,1,FALSE),"na")</f>
        <v>na</v>
      </c>
      <c r="X1385" s="8" t="s">
        <v>35</v>
      </c>
      <c r="Y1385" s="9">
        <v>775</v>
      </c>
      <c r="Z1385" s="9">
        <v>336.95654000000002</v>
      </c>
      <c r="AA1385" s="9">
        <v>775</v>
      </c>
      <c r="AB1385" s="9">
        <v>596.15386999999998</v>
      </c>
    </row>
    <row r="1386" spans="1:28" x14ac:dyDescent="0.25">
      <c r="A1386" s="8" t="s">
        <v>2869</v>
      </c>
      <c r="B1386" s="8" t="s">
        <v>2870</v>
      </c>
      <c r="C1386" s="8" t="s">
        <v>30</v>
      </c>
      <c r="D1386" s="10">
        <v>3.3</v>
      </c>
      <c r="E1386" s="10">
        <v>2</v>
      </c>
      <c r="F1386" s="10">
        <v>1.3</v>
      </c>
      <c r="G1386" s="10">
        <v>2</v>
      </c>
      <c r="H1386" s="10">
        <v>1.3</v>
      </c>
      <c r="I1386" s="10">
        <v>0</v>
      </c>
      <c r="J1386" s="10">
        <v>0</v>
      </c>
      <c r="K1386" s="10">
        <v>0</v>
      </c>
      <c r="L1386" s="10">
        <v>0.30000000999999998</v>
      </c>
      <c r="M1386" s="10">
        <v>0</v>
      </c>
      <c r="N1386" s="10">
        <v>0.30000000999999998</v>
      </c>
      <c r="O1386" s="8" t="s">
        <v>31</v>
      </c>
      <c r="P1386" s="8" t="s">
        <v>31</v>
      </c>
      <c r="Q1386" s="8" t="s">
        <v>57</v>
      </c>
      <c r="R1386" s="8" t="s">
        <v>31</v>
      </c>
      <c r="S1386" s="8" t="s">
        <v>31</v>
      </c>
      <c r="T1386" s="8" t="s">
        <v>31</v>
      </c>
      <c r="U1386" s="8" t="s">
        <v>31</v>
      </c>
      <c r="V1386" s="8" t="s">
        <v>31</v>
      </c>
      <c r="W1386" s="8" t="str">
        <f>_xlfn.IFNA(VLOOKUP(A1386,[1]Sheet1!$A$1:$B$101,1,FALSE),"na")</f>
        <v>na</v>
      </c>
      <c r="X1386" s="8" t="s">
        <v>35</v>
      </c>
      <c r="Y1386" s="9">
        <v>420</v>
      </c>
      <c r="Z1386" s="9">
        <v>127.27273</v>
      </c>
      <c r="AA1386" s="9">
        <v>210</v>
      </c>
      <c r="AB1386" s="9">
        <v>323.07693</v>
      </c>
    </row>
    <row r="1387" spans="1:28" x14ac:dyDescent="0.25">
      <c r="A1387" s="8" t="s">
        <v>2871</v>
      </c>
      <c r="B1387" s="8" t="s">
        <v>2872</v>
      </c>
      <c r="C1387" s="8" t="s">
        <v>38</v>
      </c>
      <c r="D1387" s="10">
        <v>3.3</v>
      </c>
      <c r="E1387" s="10">
        <v>2</v>
      </c>
      <c r="F1387" s="10">
        <v>1.3</v>
      </c>
      <c r="G1387" s="10">
        <v>2</v>
      </c>
      <c r="H1387" s="10">
        <v>1.3</v>
      </c>
      <c r="I1387" s="10">
        <v>0</v>
      </c>
      <c r="J1387" s="10">
        <v>0</v>
      </c>
      <c r="K1387" s="10">
        <v>0</v>
      </c>
      <c r="L1387" s="10">
        <v>0.30000000999999998</v>
      </c>
      <c r="M1387" s="10">
        <v>0</v>
      </c>
      <c r="N1387" s="10">
        <v>0.30000000999999998</v>
      </c>
      <c r="O1387" s="8" t="s">
        <v>57</v>
      </c>
      <c r="P1387" s="8" t="s">
        <v>31</v>
      </c>
      <c r="Q1387" s="8" t="s">
        <v>31</v>
      </c>
      <c r="R1387" s="8" t="s">
        <v>31</v>
      </c>
      <c r="S1387" s="8" t="s">
        <v>31</v>
      </c>
      <c r="T1387" s="8" t="s">
        <v>31</v>
      </c>
      <c r="U1387" s="8" t="s">
        <v>31</v>
      </c>
      <c r="V1387" s="8" t="s">
        <v>31</v>
      </c>
      <c r="W1387" s="8" t="str">
        <f>_xlfn.IFNA(VLOOKUP(A1387,[1]Sheet1!$A$1:$B$101,1,FALSE),"na")</f>
        <v>na</v>
      </c>
      <c r="X1387" s="8" t="s">
        <v>35</v>
      </c>
      <c r="Y1387" s="9">
        <v>811</v>
      </c>
      <c r="Z1387" s="9">
        <v>245.75757999999999</v>
      </c>
      <c r="AA1387" s="9">
        <v>405.5</v>
      </c>
      <c r="AB1387" s="9">
        <v>623.84618999999998</v>
      </c>
    </row>
    <row r="1388" spans="1:28" x14ac:dyDescent="0.25">
      <c r="A1388" s="8" t="s">
        <v>2873</v>
      </c>
      <c r="B1388" s="8" t="s">
        <v>2874</v>
      </c>
      <c r="C1388" s="8" t="s">
        <v>30</v>
      </c>
      <c r="D1388" s="10">
        <v>1.4</v>
      </c>
      <c r="E1388" s="10">
        <v>1</v>
      </c>
      <c r="F1388" s="10">
        <v>0.40000001000000002</v>
      </c>
      <c r="G1388" s="10">
        <v>1</v>
      </c>
      <c r="H1388" s="10">
        <v>0.40000001000000002</v>
      </c>
      <c r="I1388" s="10">
        <v>0</v>
      </c>
      <c r="J1388" s="10">
        <v>0</v>
      </c>
      <c r="K1388" s="10">
        <v>0</v>
      </c>
      <c r="L1388" s="10">
        <v>0.40000001000000002</v>
      </c>
      <c r="M1388" s="10">
        <v>0</v>
      </c>
      <c r="N1388" s="10">
        <v>0.40000001000000002</v>
      </c>
      <c r="O1388" s="8" t="s">
        <v>31</v>
      </c>
      <c r="P1388" s="8" t="s">
        <v>31</v>
      </c>
      <c r="Q1388" s="8" t="s">
        <v>31</v>
      </c>
      <c r="R1388" s="8" t="s">
        <v>31</v>
      </c>
      <c r="S1388" s="8" t="s">
        <v>31</v>
      </c>
      <c r="T1388" s="8" t="s">
        <v>31</v>
      </c>
      <c r="U1388" s="8" t="s">
        <v>31</v>
      </c>
      <c r="V1388" s="8" t="s">
        <v>31</v>
      </c>
      <c r="W1388" s="8" t="str">
        <f>_xlfn.IFNA(VLOOKUP(A1388,[1]Sheet1!$A$1:$B$101,1,FALSE),"na")</f>
        <v>na</v>
      </c>
      <c r="X1388" s="8" t="s">
        <v>35</v>
      </c>
      <c r="Y1388" s="9">
        <v>355</v>
      </c>
      <c r="Z1388" s="9">
        <v>253.57142999999999</v>
      </c>
      <c r="AA1388" s="9">
        <v>355</v>
      </c>
      <c r="AB1388" s="9">
        <v>355</v>
      </c>
    </row>
    <row r="1389" spans="1:28" x14ac:dyDescent="0.25">
      <c r="A1389" s="8" t="s">
        <v>2875</v>
      </c>
      <c r="B1389" s="8" t="s">
        <v>2876</v>
      </c>
      <c r="C1389" s="8" t="s">
        <v>30</v>
      </c>
      <c r="D1389" s="10">
        <v>2.2000000000000002</v>
      </c>
      <c r="E1389" s="10">
        <v>1</v>
      </c>
      <c r="F1389" s="10">
        <v>1.2</v>
      </c>
      <c r="G1389" s="10">
        <v>1</v>
      </c>
      <c r="H1389" s="10">
        <v>1.2</v>
      </c>
      <c r="I1389" s="10">
        <v>0</v>
      </c>
      <c r="J1389" s="10">
        <v>0</v>
      </c>
      <c r="K1389" s="10">
        <v>0</v>
      </c>
      <c r="L1389" s="10">
        <v>0.2</v>
      </c>
      <c r="M1389" s="10">
        <v>0</v>
      </c>
      <c r="N1389" s="10">
        <v>0.2</v>
      </c>
      <c r="O1389" s="8" t="s">
        <v>57</v>
      </c>
      <c r="P1389" s="8" t="s">
        <v>31</v>
      </c>
      <c r="Q1389" s="8" t="s">
        <v>31</v>
      </c>
      <c r="R1389" s="8" t="s">
        <v>31</v>
      </c>
      <c r="S1389" s="8" t="s">
        <v>31</v>
      </c>
      <c r="T1389" s="8" t="s">
        <v>31</v>
      </c>
      <c r="U1389" s="8" t="s">
        <v>31</v>
      </c>
      <c r="V1389" s="8" t="s">
        <v>31</v>
      </c>
      <c r="W1389" s="8" t="str">
        <f>_xlfn.IFNA(VLOOKUP(A1389,[1]Sheet1!$A$1:$B$101,1,FALSE),"na")</f>
        <v>na</v>
      </c>
      <c r="X1389" s="8" t="s">
        <v>35</v>
      </c>
      <c r="Y1389" s="9">
        <v>534</v>
      </c>
      <c r="Z1389" s="9">
        <v>242.72726</v>
      </c>
      <c r="AA1389" s="9">
        <v>534</v>
      </c>
      <c r="AB1389" s="9">
        <v>444.99997000000002</v>
      </c>
    </row>
    <row r="1390" spans="1:28" x14ac:dyDescent="0.25">
      <c r="A1390" s="8" t="s">
        <v>2877</v>
      </c>
      <c r="B1390" s="8" t="s">
        <v>2878</v>
      </c>
      <c r="C1390" s="8" t="s">
        <v>30</v>
      </c>
      <c r="D1390" s="10">
        <v>2.4000001000000002</v>
      </c>
      <c r="E1390" s="10">
        <v>2</v>
      </c>
      <c r="F1390" s="10">
        <v>0.40000001000000002</v>
      </c>
      <c r="G1390" s="10">
        <v>2</v>
      </c>
      <c r="H1390" s="10">
        <v>0.40000001000000002</v>
      </c>
      <c r="I1390" s="10">
        <v>0</v>
      </c>
      <c r="J1390" s="10">
        <v>0</v>
      </c>
      <c r="K1390" s="10">
        <v>0</v>
      </c>
      <c r="L1390" s="10">
        <v>0.40000001000000002</v>
      </c>
      <c r="M1390" s="10">
        <v>0</v>
      </c>
      <c r="N1390" s="10">
        <v>0.40000001000000002</v>
      </c>
      <c r="O1390" s="8" t="s">
        <v>31</v>
      </c>
      <c r="P1390" s="8" t="s">
        <v>31</v>
      </c>
      <c r="Q1390" s="8" t="s">
        <v>31</v>
      </c>
      <c r="R1390" s="8" t="s">
        <v>31</v>
      </c>
      <c r="S1390" s="8" t="s">
        <v>31</v>
      </c>
      <c r="T1390" s="8" t="s">
        <v>31</v>
      </c>
      <c r="U1390" s="8" t="s">
        <v>31</v>
      </c>
      <c r="V1390" s="8" t="s">
        <v>31</v>
      </c>
      <c r="W1390" s="8" t="str">
        <f>_xlfn.IFNA(VLOOKUP(A1390,[1]Sheet1!$A$1:$B$101,1,FALSE),"na")</f>
        <v>na</v>
      </c>
      <c r="X1390" s="8" t="s">
        <v>35</v>
      </c>
      <c r="Y1390" s="9">
        <v>876</v>
      </c>
      <c r="Z1390" s="9">
        <v>365</v>
      </c>
      <c r="AA1390" s="9">
        <v>438</v>
      </c>
      <c r="AB1390" s="9">
        <v>876</v>
      </c>
    </row>
    <row r="1391" spans="1:28" x14ac:dyDescent="0.25">
      <c r="A1391" s="8" t="s">
        <v>2879</v>
      </c>
      <c r="B1391" s="8" t="s">
        <v>2880</v>
      </c>
      <c r="C1391" s="8" t="s">
        <v>38</v>
      </c>
      <c r="D1391" s="10">
        <v>3.4000001000000002</v>
      </c>
      <c r="E1391" s="10">
        <v>1</v>
      </c>
      <c r="F1391" s="10">
        <v>2.4000001000000002</v>
      </c>
      <c r="G1391" s="10">
        <v>1</v>
      </c>
      <c r="H1391" s="10">
        <v>2.4000001000000002</v>
      </c>
      <c r="I1391" s="10">
        <v>0</v>
      </c>
      <c r="J1391" s="10">
        <v>0</v>
      </c>
      <c r="K1391" s="10">
        <v>0</v>
      </c>
      <c r="L1391" s="10">
        <v>1.4</v>
      </c>
      <c r="M1391" s="10">
        <v>0</v>
      </c>
      <c r="N1391" s="10">
        <v>0.40000001000000002</v>
      </c>
      <c r="O1391" s="8" t="s">
        <v>31</v>
      </c>
      <c r="P1391" s="8" t="s">
        <v>31</v>
      </c>
      <c r="Q1391" s="8" t="s">
        <v>57</v>
      </c>
      <c r="R1391" s="8" t="s">
        <v>31</v>
      </c>
      <c r="S1391" s="8" t="s">
        <v>31</v>
      </c>
      <c r="T1391" s="8" t="s">
        <v>31</v>
      </c>
      <c r="U1391" s="8" t="s">
        <v>31</v>
      </c>
      <c r="V1391" s="8" t="s">
        <v>31</v>
      </c>
      <c r="W1391" s="8" t="str">
        <f>_xlfn.IFNA(VLOOKUP(A1391,[1]Sheet1!$A$1:$B$101,1,FALSE),"na")</f>
        <v>na</v>
      </c>
      <c r="X1391" s="8" t="s">
        <v>844</v>
      </c>
      <c r="Y1391" s="9">
        <v>564</v>
      </c>
      <c r="Z1391" s="9">
        <v>165.88235</v>
      </c>
      <c r="AA1391" s="9">
        <v>564</v>
      </c>
      <c r="AB1391" s="9">
        <v>234.99997999999999</v>
      </c>
    </row>
    <row r="1392" spans="1:28" x14ac:dyDescent="0.25">
      <c r="A1392" s="8" t="s">
        <v>2881</v>
      </c>
      <c r="B1392" s="8" t="s">
        <v>2882</v>
      </c>
      <c r="C1392" s="8" t="s">
        <v>30</v>
      </c>
      <c r="D1392" s="10">
        <v>2.5999998999999998</v>
      </c>
      <c r="E1392" s="10">
        <v>1</v>
      </c>
      <c r="F1392" s="10">
        <v>1.6</v>
      </c>
      <c r="G1392" s="10">
        <v>1</v>
      </c>
      <c r="H1392" s="10">
        <v>1.6</v>
      </c>
      <c r="I1392" s="10">
        <v>0</v>
      </c>
      <c r="J1392" s="10">
        <v>0</v>
      </c>
      <c r="K1392" s="10">
        <v>0</v>
      </c>
      <c r="L1392" s="10">
        <v>0.60000001999999997</v>
      </c>
      <c r="M1392" s="10">
        <v>0</v>
      </c>
      <c r="N1392" s="10">
        <v>0.60000001999999997</v>
      </c>
      <c r="O1392" s="8" t="s">
        <v>31</v>
      </c>
      <c r="P1392" s="8" t="s">
        <v>31</v>
      </c>
      <c r="Q1392" s="8" t="s">
        <v>57</v>
      </c>
      <c r="R1392" s="8" t="s">
        <v>31</v>
      </c>
      <c r="S1392" s="8" t="s">
        <v>31</v>
      </c>
      <c r="T1392" s="8" t="s">
        <v>31</v>
      </c>
      <c r="U1392" s="8" t="s">
        <v>31</v>
      </c>
      <c r="V1392" s="8" t="s">
        <v>31</v>
      </c>
      <c r="W1392" s="8" t="str">
        <f>_xlfn.IFNA(VLOOKUP(A1392,[1]Sheet1!$A$1:$B$101,1,FALSE),"na")</f>
        <v>na</v>
      </c>
      <c r="X1392" s="8" t="s">
        <v>2883</v>
      </c>
      <c r="Y1392" s="9">
        <v>515</v>
      </c>
      <c r="Z1392" s="9">
        <v>198.07693</v>
      </c>
      <c r="AA1392" s="9">
        <v>515</v>
      </c>
      <c r="AB1392" s="9">
        <v>321.875</v>
      </c>
    </row>
    <row r="1393" spans="1:28" x14ac:dyDescent="0.25">
      <c r="A1393" s="8" t="s">
        <v>2884</v>
      </c>
      <c r="B1393" s="8" t="s">
        <v>2885</v>
      </c>
      <c r="C1393" s="8" t="s">
        <v>38</v>
      </c>
      <c r="D1393" s="10">
        <v>2.8</v>
      </c>
      <c r="E1393" s="10">
        <v>2</v>
      </c>
      <c r="F1393" s="10">
        <v>0.80000000999999998</v>
      </c>
      <c r="G1393" s="10">
        <v>2</v>
      </c>
      <c r="H1393" s="10">
        <v>0.80000000999999998</v>
      </c>
      <c r="I1393" s="10">
        <v>0</v>
      </c>
      <c r="J1393" s="10">
        <v>0</v>
      </c>
      <c r="K1393" s="10">
        <v>0</v>
      </c>
      <c r="L1393" s="10">
        <v>0.80000000999999998</v>
      </c>
      <c r="M1393" s="10">
        <v>0</v>
      </c>
      <c r="N1393" s="10">
        <v>0.80000000999999998</v>
      </c>
      <c r="O1393" s="8" t="s">
        <v>31</v>
      </c>
      <c r="P1393" s="8" t="s">
        <v>31</v>
      </c>
      <c r="Q1393" s="8" t="s">
        <v>31</v>
      </c>
      <c r="R1393" s="8" t="s">
        <v>31</v>
      </c>
      <c r="S1393" s="8" t="s">
        <v>31</v>
      </c>
      <c r="T1393" s="8" t="s">
        <v>31</v>
      </c>
      <c r="U1393" s="8" t="s">
        <v>31</v>
      </c>
      <c r="V1393" s="8" t="s">
        <v>31</v>
      </c>
      <c r="W1393" s="8" t="str">
        <f>_xlfn.IFNA(VLOOKUP(A1393,[1]Sheet1!$A$1:$B$101,1,FALSE),"na")</f>
        <v>na</v>
      </c>
      <c r="X1393" s="8" t="s">
        <v>35</v>
      </c>
      <c r="Y1393" s="9">
        <v>1131</v>
      </c>
      <c r="Z1393" s="9">
        <v>403.92858999999999</v>
      </c>
      <c r="AA1393" s="9">
        <v>565.5</v>
      </c>
      <c r="AB1393" s="9">
        <v>1131</v>
      </c>
    </row>
    <row r="1394" spans="1:28" x14ac:dyDescent="0.25">
      <c r="A1394" s="8" t="s">
        <v>2886</v>
      </c>
      <c r="B1394" s="8" t="s">
        <v>2887</v>
      </c>
      <c r="C1394" s="8" t="s">
        <v>67</v>
      </c>
      <c r="D1394" s="10">
        <v>4</v>
      </c>
      <c r="E1394" s="10">
        <v>3</v>
      </c>
      <c r="F1394" s="10">
        <v>1</v>
      </c>
      <c r="G1394" s="10">
        <v>3</v>
      </c>
      <c r="H1394" s="10">
        <v>1</v>
      </c>
      <c r="I1394" s="10">
        <v>0</v>
      </c>
      <c r="J1394" s="10">
        <v>0</v>
      </c>
      <c r="K1394" s="10">
        <v>1</v>
      </c>
      <c r="L1394" s="10">
        <v>0</v>
      </c>
      <c r="M1394" s="10">
        <v>0</v>
      </c>
      <c r="N1394" s="10">
        <v>0</v>
      </c>
      <c r="O1394" s="8" t="s">
        <v>31</v>
      </c>
      <c r="P1394" s="8" t="s">
        <v>31</v>
      </c>
      <c r="Q1394" s="8" t="s">
        <v>31</v>
      </c>
      <c r="R1394" s="8" t="s">
        <v>31</v>
      </c>
      <c r="S1394" s="8" t="s">
        <v>31</v>
      </c>
      <c r="T1394" s="8" t="s">
        <v>31</v>
      </c>
      <c r="U1394" s="8" t="s">
        <v>31</v>
      </c>
      <c r="V1394" s="8" t="s">
        <v>31</v>
      </c>
      <c r="W1394" s="8" t="str">
        <f>_xlfn.IFNA(VLOOKUP(A1394,[1]Sheet1!$A$1:$B$101,1,FALSE),"na")</f>
        <v>na</v>
      </c>
      <c r="X1394" s="8" t="s">
        <v>35</v>
      </c>
      <c r="Y1394" s="9">
        <v>383</v>
      </c>
      <c r="Z1394" s="9">
        <v>95.75</v>
      </c>
      <c r="AA1394" s="9">
        <v>127.66665999999999</v>
      </c>
      <c r="AB1394" s="9">
        <v>383</v>
      </c>
    </row>
    <row r="1395" spans="1:28" x14ac:dyDescent="0.25">
      <c r="A1395" s="8" t="s">
        <v>2888</v>
      </c>
      <c r="B1395" s="8" t="s">
        <v>2889</v>
      </c>
      <c r="C1395" s="8" t="s">
        <v>38</v>
      </c>
      <c r="D1395" s="10">
        <v>3.8</v>
      </c>
      <c r="E1395" s="10">
        <v>3</v>
      </c>
      <c r="F1395" s="10">
        <v>0.80000000999999998</v>
      </c>
      <c r="G1395" s="10">
        <v>3</v>
      </c>
      <c r="H1395" s="10">
        <v>0.80000000999999998</v>
      </c>
      <c r="I1395" s="10">
        <v>0</v>
      </c>
      <c r="J1395" s="10">
        <v>0</v>
      </c>
      <c r="K1395" s="10">
        <v>1</v>
      </c>
      <c r="L1395" s="10">
        <v>0.80000000999999998</v>
      </c>
      <c r="M1395" s="10">
        <v>0</v>
      </c>
      <c r="N1395" s="10">
        <v>0.80000000999999998</v>
      </c>
      <c r="O1395" s="8" t="s">
        <v>31</v>
      </c>
      <c r="P1395" s="8" t="s">
        <v>31</v>
      </c>
      <c r="Q1395" s="8" t="s">
        <v>31</v>
      </c>
      <c r="R1395" s="8" t="s">
        <v>31</v>
      </c>
      <c r="S1395" s="8" t="s">
        <v>31</v>
      </c>
      <c r="T1395" s="8" t="s">
        <v>31</v>
      </c>
      <c r="U1395" s="8" t="s">
        <v>31</v>
      </c>
      <c r="V1395" s="8" t="s">
        <v>31</v>
      </c>
      <c r="W1395" s="8" t="str">
        <f>_xlfn.IFNA(VLOOKUP(A1395,[1]Sheet1!$A$1:$B$101,1,FALSE),"na")</f>
        <v>na</v>
      </c>
      <c r="X1395" s="8" t="s">
        <v>35</v>
      </c>
      <c r="Y1395" s="9">
        <v>1069</v>
      </c>
      <c r="Z1395" s="9">
        <v>281.31580000000002</v>
      </c>
      <c r="AA1395" s="9">
        <v>356.33334000000002</v>
      </c>
      <c r="AB1395" s="9">
        <v>1069</v>
      </c>
    </row>
    <row r="1396" spans="1:28" x14ac:dyDescent="0.25">
      <c r="A1396" s="8" t="s">
        <v>2890</v>
      </c>
      <c r="B1396" s="8" t="s">
        <v>2891</v>
      </c>
      <c r="C1396" s="8" t="s">
        <v>67</v>
      </c>
      <c r="D1396" s="10">
        <v>5.1999997999999996</v>
      </c>
      <c r="E1396" s="10">
        <v>4</v>
      </c>
      <c r="F1396" s="10">
        <v>1.2</v>
      </c>
      <c r="G1396" s="10">
        <v>4</v>
      </c>
      <c r="H1396" s="10">
        <v>1.2</v>
      </c>
      <c r="I1396" s="10">
        <v>0</v>
      </c>
      <c r="J1396" s="10">
        <v>0</v>
      </c>
      <c r="K1396" s="10">
        <v>0</v>
      </c>
      <c r="L1396" s="10">
        <v>0.2</v>
      </c>
      <c r="M1396" s="10">
        <v>0</v>
      </c>
      <c r="N1396" s="10">
        <v>0.2</v>
      </c>
      <c r="O1396" s="8" t="s">
        <v>57</v>
      </c>
      <c r="P1396" s="8" t="s">
        <v>31</v>
      </c>
      <c r="Q1396" s="8" t="s">
        <v>31</v>
      </c>
      <c r="R1396" s="8" t="s">
        <v>31</v>
      </c>
      <c r="S1396" s="8" t="s">
        <v>31</v>
      </c>
      <c r="T1396" s="8" t="s">
        <v>31</v>
      </c>
      <c r="U1396" s="8" t="s">
        <v>31</v>
      </c>
      <c r="V1396" s="8" t="s">
        <v>31</v>
      </c>
      <c r="W1396" s="8" t="str">
        <f>_xlfn.IFNA(VLOOKUP(A1396,[1]Sheet1!$A$1:$B$101,1,FALSE),"na")</f>
        <v>na</v>
      </c>
      <c r="X1396" s="8" t="s">
        <v>35</v>
      </c>
      <c r="Y1396" s="9">
        <v>1010</v>
      </c>
      <c r="Z1396" s="9">
        <v>194.23077000000001</v>
      </c>
      <c r="AA1396" s="9">
        <v>252.5</v>
      </c>
      <c r="AB1396" s="9">
        <v>841.66663000000005</v>
      </c>
    </row>
    <row r="1397" spans="1:28" x14ac:dyDescent="0.25">
      <c r="A1397" s="8" t="s">
        <v>2892</v>
      </c>
      <c r="B1397" s="8" t="s">
        <v>2893</v>
      </c>
      <c r="C1397" s="8" t="s">
        <v>67</v>
      </c>
      <c r="D1397" s="10">
        <v>6.1999997999999996</v>
      </c>
      <c r="E1397" s="10">
        <v>5</v>
      </c>
      <c r="F1397" s="10">
        <v>1.2</v>
      </c>
      <c r="G1397" s="10">
        <v>5</v>
      </c>
      <c r="H1397" s="10">
        <v>1.2</v>
      </c>
      <c r="I1397" s="10">
        <v>0</v>
      </c>
      <c r="J1397" s="10">
        <v>0</v>
      </c>
      <c r="K1397" s="10">
        <v>1</v>
      </c>
      <c r="L1397" s="10">
        <v>0.2</v>
      </c>
      <c r="M1397" s="10">
        <v>0</v>
      </c>
      <c r="N1397" s="10">
        <v>0.2</v>
      </c>
      <c r="O1397" s="8" t="s">
        <v>31</v>
      </c>
      <c r="P1397" s="8" t="s">
        <v>31</v>
      </c>
      <c r="Q1397" s="8" t="s">
        <v>31</v>
      </c>
      <c r="R1397" s="8" t="s">
        <v>31</v>
      </c>
      <c r="S1397" s="8" t="s">
        <v>31</v>
      </c>
      <c r="T1397" s="8" t="s">
        <v>31</v>
      </c>
      <c r="U1397" s="8" t="s">
        <v>31</v>
      </c>
      <c r="V1397" s="8" t="s">
        <v>31</v>
      </c>
      <c r="W1397" s="8" t="str">
        <f>_xlfn.IFNA(VLOOKUP(A1397,[1]Sheet1!$A$1:$B$101,1,FALSE),"na")</f>
        <v>na</v>
      </c>
      <c r="X1397" s="8" t="s">
        <v>35</v>
      </c>
      <c r="Y1397" s="9">
        <v>1413</v>
      </c>
      <c r="Z1397" s="9">
        <v>227.90323000000001</v>
      </c>
      <c r="AA1397" s="9">
        <v>282.60001</v>
      </c>
      <c r="AB1397" s="9">
        <v>1177.5</v>
      </c>
    </row>
    <row r="1398" spans="1:28" x14ac:dyDescent="0.25">
      <c r="A1398" s="8" t="s">
        <v>2894</v>
      </c>
      <c r="B1398" s="8" t="s">
        <v>2895</v>
      </c>
      <c r="C1398" s="8" t="s">
        <v>30</v>
      </c>
      <c r="D1398" s="10">
        <v>2.8</v>
      </c>
      <c r="E1398" s="10">
        <v>2</v>
      </c>
      <c r="F1398" s="10">
        <v>0.80000000999999998</v>
      </c>
      <c r="G1398" s="10">
        <v>2</v>
      </c>
      <c r="H1398" s="10">
        <v>0.80000000999999998</v>
      </c>
      <c r="I1398" s="10">
        <v>0</v>
      </c>
      <c r="J1398" s="10">
        <v>0</v>
      </c>
      <c r="K1398" s="10">
        <v>1</v>
      </c>
      <c r="L1398" s="10">
        <v>0.80000000999999998</v>
      </c>
      <c r="M1398" s="10">
        <v>0</v>
      </c>
      <c r="N1398" s="10">
        <v>0.80000000999999998</v>
      </c>
      <c r="O1398" s="8" t="s">
        <v>31</v>
      </c>
      <c r="P1398" s="8" t="s">
        <v>31</v>
      </c>
      <c r="Q1398" s="8" t="s">
        <v>31</v>
      </c>
      <c r="R1398" s="8" t="s">
        <v>31</v>
      </c>
      <c r="S1398" s="8" t="s">
        <v>31</v>
      </c>
      <c r="T1398" s="8" t="s">
        <v>31</v>
      </c>
      <c r="U1398" s="8" t="s">
        <v>31</v>
      </c>
      <c r="V1398" s="8" t="s">
        <v>31</v>
      </c>
      <c r="W1398" s="8" t="str">
        <f>_xlfn.IFNA(VLOOKUP(A1398,[1]Sheet1!$A$1:$B$101,1,FALSE),"na")</f>
        <v>na</v>
      </c>
      <c r="X1398" s="8" t="s">
        <v>35</v>
      </c>
      <c r="Y1398" s="9">
        <v>655</v>
      </c>
      <c r="Z1398" s="9">
        <v>233.92857000000001</v>
      </c>
      <c r="AA1398" s="9">
        <v>327.5</v>
      </c>
      <c r="AB1398" s="9">
        <v>655</v>
      </c>
    </row>
    <row r="1399" spans="1:28" x14ac:dyDescent="0.25">
      <c r="A1399" s="8" t="s">
        <v>2896</v>
      </c>
      <c r="B1399" s="8" t="s">
        <v>2897</v>
      </c>
      <c r="C1399" s="8" t="s">
        <v>30</v>
      </c>
      <c r="D1399" s="10">
        <v>3.4000001000000002</v>
      </c>
      <c r="E1399" s="10">
        <v>2</v>
      </c>
      <c r="F1399" s="10">
        <v>1.4</v>
      </c>
      <c r="G1399" s="10">
        <v>2</v>
      </c>
      <c r="H1399" s="10">
        <v>1.4</v>
      </c>
      <c r="I1399" s="10">
        <v>0</v>
      </c>
      <c r="J1399" s="10">
        <v>0</v>
      </c>
      <c r="K1399" s="10">
        <v>2</v>
      </c>
      <c r="L1399" s="10">
        <v>0.40000001000000002</v>
      </c>
      <c r="M1399" s="10">
        <v>0</v>
      </c>
      <c r="N1399" s="10">
        <v>0.40000001000000002</v>
      </c>
      <c r="O1399" s="8" t="s">
        <v>57</v>
      </c>
      <c r="P1399" s="8" t="s">
        <v>31</v>
      </c>
      <c r="Q1399" s="8" t="s">
        <v>31</v>
      </c>
      <c r="R1399" s="8" t="s">
        <v>31</v>
      </c>
      <c r="S1399" s="8" t="s">
        <v>31</v>
      </c>
      <c r="T1399" s="8" t="s">
        <v>31</v>
      </c>
      <c r="U1399" s="8" t="s">
        <v>31</v>
      </c>
      <c r="V1399" s="8" t="s">
        <v>31</v>
      </c>
      <c r="W1399" s="8" t="str">
        <f>_xlfn.IFNA(VLOOKUP(A1399,[1]Sheet1!$A$1:$B$101,1,FALSE),"na")</f>
        <v>na</v>
      </c>
      <c r="X1399" s="8" t="s">
        <v>434</v>
      </c>
      <c r="Y1399" s="9">
        <v>705</v>
      </c>
      <c r="Z1399" s="9">
        <v>207.35293999999999</v>
      </c>
      <c r="AA1399" s="9">
        <v>352.5</v>
      </c>
      <c r="AB1399" s="9">
        <v>503.57144</v>
      </c>
    </row>
    <row r="1400" spans="1:28" x14ac:dyDescent="0.25">
      <c r="A1400" s="8" t="s">
        <v>2898</v>
      </c>
      <c r="B1400" s="8" t="s">
        <v>2899</v>
      </c>
      <c r="C1400" s="8" t="s">
        <v>30</v>
      </c>
      <c r="D1400" s="10">
        <v>3.4000001000000002</v>
      </c>
      <c r="E1400" s="10">
        <v>2</v>
      </c>
      <c r="F1400" s="10">
        <v>1.4</v>
      </c>
      <c r="G1400" s="10">
        <v>2</v>
      </c>
      <c r="H1400" s="10">
        <v>1.4</v>
      </c>
      <c r="I1400" s="10">
        <v>0</v>
      </c>
      <c r="J1400" s="10">
        <v>0</v>
      </c>
      <c r="K1400" s="10">
        <v>2</v>
      </c>
      <c r="L1400" s="10">
        <v>0.40000001000000002</v>
      </c>
      <c r="M1400" s="10">
        <v>0</v>
      </c>
      <c r="N1400" s="10">
        <v>0.40000001000000002</v>
      </c>
      <c r="O1400" s="8" t="s">
        <v>57</v>
      </c>
      <c r="P1400" s="8" t="s">
        <v>31</v>
      </c>
      <c r="Q1400" s="8" t="s">
        <v>31</v>
      </c>
      <c r="R1400" s="8" t="s">
        <v>31</v>
      </c>
      <c r="S1400" s="8" t="s">
        <v>31</v>
      </c>
      <c r="T1400" s="8" t="s">
        <v>31</v>
      </c>
      <c r="U1400" s="8" t="s">
        <v>31</v>
      </c>
      <c r="V1400" s="8" t="s">
        <v>31</v>
      </c>
      <c r="W1400" s="8" t="str">
        <f>_xlfn.IFNA(VLOOKUP(A1400,[1]Sheet1!$A$1:$B$101,1,FALSE),"na")</f>
        <v>na</v>
      </c>
      <c r="X1400" s="8" t="s">
        <v>35</v>
      </c>
      <c r="Y1400" s="9">
        <v>657</v>
      </c>
      <c r="Z1400" s="9">
        <v>193.23528999999999</v>
      </c>
      <c r="AA1400" s="9">
        <v>328.5</v>
      </c>
      <c r="AB1400" s="9">
        <v>469.28573999999998</v>
      </c>
    </row>
    <row r="1401" spans="1:28" x14ac:dyDescent="0.25">
      <c r="A1401" s="8" t="s">
        <v>2900</v>
      </c>
      <c r="B1401" s="8" t="s">
        <v>2901</v>
      </c>
      <c r="C1401" s="8" t="s">
        <v>30</v>
      </c>
      <c r="D1401" s="10">
        <v>1.6</v>
      </c>
      <c r="E1401" s="10">
        <v>1</v>
      </c>
      <c r="F1401" s="10">
        <v>0.60000001999999997</v>
      </c>
      <c r="G1401" s="10">
        <v>1</v>
      </c>
      <c r="H1401" s="10">
        <v>0.60000001999999997</v>
      </c>
      <c r="I1401" s="10">
        <v>0</v>
      </c>
      <c r="J1401" s="10">
        <v>0</v>
      </c>
      <c r="K1401" s="10">
        <v>0</v>
      </c>
      <c r="L1401" s="10">
        <v>0.60000001999999997</v>
      </c>
      <c r="M1401" s="10">
        <v>0</v>
      </c>
      <c r="N1401" s="10">
        <v>0.60000001999999997</v>
      </c>
      <c r="O1401" s="8" t="s">
        <v>31</v>
      </c>
      <c r="P1401" s="8" t="s">
        <v>31</v>
      </c>
      <c r="Q1401" s="8" t="s">
        <v>31</v>
      </c>
      <c r="R1401" s="8" t="s">
        <v>31</v>
      </c>
      <c r="S1401" s="8" t="s">
        <v>31</v>
      </c>
      <c r="T1401" s="8" t="s">
        <v>31</v>
      </c>
      <c r="U1401" s="8" t="s">
        <v>31</v>
      </c>
      <c r="V1401" s="8" t="s">
        <v>31</v>
      </c>
      <c r="W1401" s="8" t="str">
        <f>_xlfn.IFNA(VLOOKUP(A1401,[1]Sheet1!$A$1:$B$101,1,FALSE),"na")</f>
        <v>na</v>
      </c>
      <c r="X1401" s="8" t="s">
        <v>35</v>
      </c>
      <c r="Y1401" s="9">
        <v>333</v>
      </c>
      <c r="Z1401" s="9">
        <v>208.125</v>
      </c>
      <c r="AA1401" s="9">
        <v>333</v>
      </c>
      <c r="AB1401" s="9">
        <v>333</v>
      </c>
    </row>
    <row r="1402" spans="1:28" x14ac:dyDescent="0.25">
      <c r="A1402" s="8" t="s">
        <v>2902</v>
      </c>
      <c r="B1402" s="8" t="s">
        <v>2903</v>
      </c>
      <c r="C1402" s="8" t="s">
        <v>30</v>
      </c>
      <c r="D1402" s="10">
        <v>1.4</v>
      </c>
      <c r="E1402" s="10">
        <v>1</v>
      </c>
      <c r="F1402" s="10">
        <v>0.40000001000000002</v>
      </c>
      <c r="G1402" s="10">
        <v>1</v>
      </c>
      <c r="H1402" s="10">
        <v>0.40000001000000002</v>
      </c>
      <c r="I1402" s="10">
        <v>0</v>
      </c>
      <c r="J1402" s="10">
        <v>0</v>
      </c>
      <c r="K1402" s="10">
        <v>0</v>
      </c>
      <c r="L1402" s="10">
        <v>0.40000001000000002</v>
      </c>
      <c r="M1402" s="10">
        <v>0</v>
      </c>
      <c r="N1402" s="10">
        <v>0.40000001000000002</v>
      </c>
      <c r="O1402" s="8" t="s">
        <v>57</v>
      </c>
      <c r="P1402" s="8" t="s">
        <v>31</v>
      </c>
      <c r="Q1402" s="8" t="s">
        <v>31</v>
      </c>
      <c r="R1402" s="8" t="s">
        <v>31</v>
      </c>
      <c r="S1402" s="8" t="s">
        <v>31</v>
      </c>
      <c r="T1402" s="8" t="s">
        <v>31</v>
      </c>
      <c r="U1402" s="8" t="s">
        <v>31</v>
      </c>
      <c r="V1402" s="8" t="s">
        <v>31</v>
      </c>
      <c r="W1402" s="8" t="str">
        <f>_xlfn.IFNA(VLOOKUP(A1402,[1]Sheet1!$A$1:$B$101,1,FALSE),"na")</f>
        <v>na</v>
      </c>
      <c r="X1402" s="8" t="s">
        <v>35</v>
      </c>
      <c r="Y1402" s="9">
        <v>630</v>
      </c>
      <c r="Z1402" s="9">
        <v>450</v>
      </c>
      <c r="AA1402" s="9">
        <v>630</v>
      </c>
      <c r="AB1402" s="9">
        <v>630</v>
      </c>
    </row>
    <row r="1403" spans="1:28" x14ac:dyDescent="0.25">
      <c r="A1403" s="8" t="s">
        <v>2904</v>
      </c>
      <c r="B1403" s="8" t="s">
        <v>2905</v>
      </c>
      <c r="C1403" s="8" t="s">
        <v>30</v>
      </c>
      <c r="D1403" s="10">
        <v>1.6</v>
      </c>
      <c r="E1403" s="10">
        <v>1</v>
      </c>
      <c r="F1403" s="10">
        <v>0.60000001999999997</v>
      </c>
      <c r="G1403" s="10">
        <v>1</v>
      </c>
      <c r="H1403" s="10">
        <v>0.60000001999999997</v>
      </c>
      <c r="I1403" s="10">
        <v>0</v>
      </c>
      <c r="J1403" s="10">
        <v>0</v>
      </c>
      <c r="K1403" s="10">
        <v>0</v>
      </c>
      <c r="L1403" s="10">
        <v>0.60000001999999997</v>
      </c>
      <c r="M1403" s="10">
        <v>0</v>
      </c>
      <c r="N1403" s="10">
        <v>0.60000001999999997</v>
      </c>
      <c r="O1403" s="8" t="s">
        <v>31</v>
      </c>
      <c r="P1403" s="8" t="s">
        <v>31</v>
      </c>
      <c r="Q1403" s="8" t="s">
        <v>31</v>
      </c>
      <c r="R1403" s="8" t="s">
        <v>31</v>
      </c>
      <c r="S1403" s="8" t="s">
        <v>31</v>
      </c>
      <c r="T1403" s="8" t="s">
        <v>31</v>
      </c>
      <c r="U1403" s="8" t="s">
        <v>31</v>
      </c>
      <c r="V1403" s="8" t="s">
        <v>31</v>
      </c>
      <c r="W1403" s="8" t="str">
        <f>_xlfn.IFNA(VLOOKUP(A1403,[1]Sheet1!$A$1:$B$101,1,FALSE),"na")</f>
        <v>na</v>
      </c>
      <c r="X1403" s="8" t="s">
        <v>35</v>
      </c>
      <c r="Y1403" s="9">
        <v>823</v>
      </c>
      <c r="Z1403" s="9">
        <v>514.375</v>
      </c>
      <c r="AA1403" s="9">
        <v>823</v>
      </c>
      <c r="AB1403" s="9">
        <v>823</v>
      </c>
    </row>
    <row r="1404" spans="1:28" x14ac:dyDescent="0.25">
      <c r="A1404" s="8" t="s">
        <v>2906</v>
      </c>
      <c r="B1404" s="8" t="s">
        <v>2907</v>
      </c>
      <c r="C1404" s="8" t="s">
        <v>30</v>
      </c>
      <c r="D1404" s="10">
        <v>3.5999998999999998</v>
      </c>
      <c r="E1404" s="10">
        <v>2</v>
      </c>
      <c r="F1404" s="10">
        <v>1.6</v>
      </c>
      <c r="G1404" s="10">
        <v>2</v>
      </c>
      <c r="H1404" s="10">
        <v>1.6</v>
      </c>
      <c r="I1404" s="10">
        <v>0</v>
      </c>
      <c r="J1404" s="10">
        <v>0</v>
      </c>
      <c r="K1404" s="10">
        <v>0</v>
      </c>
      <c r="L1404" s="10">
        <v>0.60000001999999997</v>
      </c>
      <c r="M1404" s="10">
        <v>0</v>
      </c>
      <c r="N1404" s="10">
        <v>0.60000001999999997</v>
      </c>
      <c r="O1404" s="8" t="s">
        <v>31</v>
      </c>
      <c r="P1404" s="8" t="s">
        <v>31</v>
      </c>
      <c r="Q1404" s="8" t="s">
        <v>31</v>
      </c>
      <c r="R1404" s="8" t="s">
        <v>31</v>
      </c>
      <c r="S1404" s="8" t="s">
        <v>31</v>
      </c>
      <c r="T1404" s="8" t="s">
        <v>31</v>
      </c>
      <c r="U1404" s="8" t="s">
        <v>31</v>
      </c>
      <c r="V1404" s="8" t="s">
        <v>31</v>
      </c>
      <c r="W1404" s="8" t="str">
        <f>_xlfn.IFNA(VLOOKUP(A1404,[1]Sheet1!$A$1:$B$101,1,FALSE),"na")</f>
        <v>na</v>
      </c>
      <c r="X1404" s="8" t="s">
        <v>35</v>
      </c>
      <c r="Y1404" s="9">
        <v>412</v>
      </c>
      <c r="Z1404" s="9">
        <v>114.44445</v>
      </c>
      <c r="AA1404" s="9">
        <v>206</v>
      </c>
      <c r="AB1404" s="9">
        <v>257.5</v>
      </c>
    </row>
    <row r="1405" spans="1:28" x14ac:dyDescent="0.25">
      <c r="A1405" s="8" t="s">
        <v>2908</v>
      </c>
      <c r="B1405" s="8" t="s">
        <v>2909</v>
      </c>
      <c r="C1405" s="8" t="s">
        <v>67</v>
      </c>
      <c r="D1405" s="10">
        <v>2.2000000000000002</v>
      </c>
      <c r="E1405" s="10">
        <v>2</v>
      </c>
      <c r="F1405" s="10">
        <v>0.2</v>
      </c>
      <c r="G1405" s="10">
        <v>2</v>
      </c>
      <c r="H1405" s="10">
        <v>0.2</v>
      </c>
      <c r="I1405" s="10">
        <v>0</v>
      </c>
      <c r="J1405" s="10">
        <v>0</v>
      </c>
      <c r="K1405" s="10">
        <v>0</v>
      </c>
      <c r="L1405" s="10">
        <v>0.2</v>
      </c>
      <c r="M1405" s="10">
        <v>0</v>
      </c>
      <c r="N1405" s="10">
        <v>0.2</v>
      </c>
      <c r="O1405" s="8" t="s">
        <v>31</v>
      </c>
      <c r="P1405" s="8" t="s">
        <v>31</v>
      </c>
      <c r="Q1405" s="8" t="s">
        <v>31</v>
      </c>
      <c r="R1405" s="8" t="s">
        <v>31</v>
      </c>
      <c r="S1405" s="8" t="s">
        <v>31</v>
      </c>
      <c r="T1405" s="8" t="s">
        <v>31</v>
      </c>
      <c r="U1405" s="8" t="s">
        <v>31</v>
      </c>
      <c r="V1405" s="8" t="s">
        <v>31</v>
      </c>
      <c r="W1405" s="8" t="str">
        <f>_xlfn.IFNA(VLOOKUP(A1405,[1]Sheet1!$A$1:$B$101,1,FALSE),"na")</f>
        <v>na</v>
      </c>
      <c r="X1405" s="8" t="s">
        <v>35</v>
      </c>
      <c r="Y1405" s="9">
        <v>382</v>
      </c>
      <c r="Z1405" s="9">
        <v>173.63634999999999</v>
      </c>
      <c r="AA1405" s="9">
        <v>191</v>
      </c>
      <c r="AB1405" s="9">
        <v>382</v>
      </c>
    </row>
    <row r="1406" spans="1:28" x14ac:dyDescent="0.25">
      <c r="A1406" s="8" t="s">
        <v>2910</v>
      </c>
      <c r="B1406" s="8" t="s">
        <v>2911</v>
      </c>
      <c r="C1406" s="8" t="s">
        <v>30</v>
      </c>
      <c r="D1406" s="10">
        <v>2.4000001000000002</v>
      </c>
      <c r="E1406" s="10">
        <v>1</v>
      </c>
      <c r="F1406" s="10">
        <v>1.4</v>
      </c>
      <c r="G1406" s="10">
        <v>1</v>
      </c>
      <c r="H1406" s="10">
        <v>1.4</v>
      </c>
      <c r="I1406" s="10">
        <v>0</v>
      </c>
      <c r="J1406" s="10">
        <v>0</v>
      </c>
      <c r="K1406" s="10">
        <v>1</v>
      </c>
      <c r="L1406" s="10">
        <v>0.40000001000000002</v>
      </c>
      <c r="M1406" s="10">
        <v>0</v>
      </c>
      <c r="N1406" s="10">
        <v>0.40000001000000002</v>
      </c>
      <c r="O1406" s="8" t="s">
        <v>57</v>
      </c>
      <c r="P1406" s="8" t="s">
        <v>31</v>
      </c>
      <c r="Q1406" s="8" t="s">
        <v>31</v>
      </c>
      <c r="R1406" s="8" t="s">
        <v>31</v>
      </c>
      <c r="S1406" s="8" t="s">
        <v>31</v>
      </c>
      <c r="T1406" s="8" t="s">
        <v>31</v>
      </c>
      <c r="U1406" s="8" t="s">
        <v>31</v>
      </c>
      <c r="V1406" s="8" t="s">
        <v>31</v>
      </c>
      <c r="W1406" s="8" t="str">
        <f>_xlfn.IFNA(VLOOKUP(A1406,[1]Sheet1!$A$1:$B$101,1,FALSE),"na")</f>
        <v>na</v>
      </c>
      <c r="X1406" s="8" t="s">
        <v>35</v>
      </c>
      <c r="Y1406" s="9">
        <v>563</v>
      </c>
      <c r="Z1406" s="9">
        <v>234.58332999999999</v>
      </c>
      <c r="AA1406" s="9">
        <v>563</v>
      </c>
      <c r="AB1406" s="9">
        <v>402.14285000000001</v>
      </c>
    </row>
    <row r="1407" spans="1:28" x14ac:dyDescent="0.25">
      <c r="A1407" s="8" t="s">
        <v>2912</v>
      </c>
      <c r="B1407" s="8" t="s">
        <v>2913</v>
      </c>
      <c r="C1407" s="8" t="s">
        <v>444</v>
      </c>
      <c r="D1407" s="10">
        <v>2.2000000000000002</v>
      </c>
      <c r="E1407" s="10">
        <v>1</v>
      </c>
      <c r="F1407" s="10">
        <v>1.2</v>
      </c>
      <c r="G1407" s="10">
        <v>1</v>
      </c>
      <c r="H1407" s="10">
        <v>1.2</v>
      </c>
      <c r="I1407" s="10">
        <v>0</v>
      </c>
      <c r="J1407" s="10">
        <v>0</v>
      </c>
      <c r="K1407" s="10">
        <v>0</v>
      </c>
      <c r="L1407" s="10">
        <v>0.2</v>
      </c>
      <c r="M1407" s="10">
        <v>0</v>
      </c>
      <c r="N1407" s="10">
        <v>0.2</v>
      </c>
      <c r="O1407" s="8" t="s">
        <v>57</v>
      </c>
      <c r="P1407" s="8" t="s">
        <v>57</v>
      </c>
      <c r="Q1407" s="8" t="s">
        <v>31</v>
      </c>
      <c r="R1407" s="8" t="s">
        <v>31</v>
      </c>
      <c r="S1407" s="8" t="s">
        <v>31</v>
      </c>
      <c r="T1407" s="8" t="s">
        <v>31</v>
      </c>
      <c r="U1407" s="8" t="s">
        <v>31</v>
      </c>
      <c r="V1407" s="8" t="s">
        <v>31</v>
      </c>
      <c r="W1407" s="8" t="str">
        <f>_xlfn.IFNA(VLOOKUP(A1407,[1]Sheet1!$A$1:$B$101,1,FALSE),"na")</f>
        <v>na</v>
      </c>
      <c r="X1407" s="8" t="s">
        <v>35</v>
      </c>
      <c r="Y1407" s="9">
        <v>201</v>
      </c>
      <c r="Z1407" s="9">
        <v>91.363631999999996</v>
      </c>
      <c r="AA1407" s="9">
        <v>201</v>
      </c>
      <c r="AB1407" s="9">
        <v>167.5</v>
      </c>
    </row>
    <row r="1408" spans="1:28" x14ac:dyDescent="0.25">
      <c r="A1408" s="8" t="s">
        <v>2914</v>
      </c>
      <c r="B1408" s="8" t="s">
        <v>2915</v>
      </c>
      <c r="C1408" s="8" t="s">
        <v>67</v>
      </c>
      <c r="D1408" s="10">
        <v>6.0999999000000003</v>
      </c>
      <c r="E1408" s="10">
        <v>3</v>
      </c>
      <c r="F1408" s="10">
        <v>3.0999998999999998</v>
      </c>
      <c r="G1408" s="10">
        <v>3</v>
      </c>
      <c r="H1408" s="10">
        <v>3.0999998999999998</v>
      </c>
      <c r="I1408" s="10">
        <v>0</v>
      </c>
      <c r="J1408" s="10">
        <v>0</v>
      </c>
      <c r="K1408" s="10">
        <v>1</v>
      </c>
      <c r="L1408" s="10">
        <v>0.1</v>
      </c>
      <c r="M1408" s="10">
        <v>0</v>
      </c>
      <c r="N1408" s="10">
        <v>0.1</v>
      </c>
      <c r="O1408" s="8" t="s">
        <v>57</v>
      </c>
      <c r="P1408" s="8" t="s">
        <v>31</v>
      </c>
      <c r="Q1408" s="8" t="s">
        <v>31</v>
      </c>
      <c r="R1408" s="8" t="s">
        <v>31</v>
      </c>
      <c r="S1408" s="8" t="s">
        <v>31</v>
      </c>
      <c r="T1408" s="8" t="s">
        <v>31</v>
      </c>
      <c r="U1408" s="8" t="s">
        <v>31</v>
      </c>
      <c r="V1408" s="8" t="s">
        <v>31</v>
      </c>
      <c r="W1408" s="8" t="str">
        <f>_xlfn.IFNA(VLOOKUP(A1408,[1]Sheet1!$A$1:$B$101,1,FALSE),"na")</f>
        <v>na</v>
      </c>
      <c r="X1408" s="8" t="s">
        <v>35</v>
      </c>
      <c r="Y1408" s="9">
        <v>1554</v>
      </c>
      <c r="Z1408" s="9">
        <v>254.75409999999999</v>
      </c>
      <c r="AA1408" s="9">
        <v>518</v>
      </c>
      <c r="AB1408" s="9">
        <v>501.29034000000001</v>
      </c>
    </row>
    <row r="1409" spans="1:28" x14ac:dyDescent="0.25">
      <c r="A1409" s="8" t="s">
        <v>2916</v>
      </c>
      <c r="B1409" s="8" t="s">
        <v>2917</v>
      </c>
      <c r="C1409" s="8" t="s">
        <v>444</v>
      </c>
      <c r="D1409" s="10">
        <v>2.2000000000000002</v>
      </c>
      <c r="E1409" s="10">
        <v>1</v>
      </c>
      <c r="F1409" s="10">
        <v>1.2</v>
      </c>
      <c r="G1409" s="10">
        <v>1</v>
      </c>
      <c r="H1409" s="10">
        <v>1.2</v>
      </c>
      <c r="I1409" s="10">
        <v>0</v>
      </c>
      <c r="J1409" s="10">
        <v>0</v>
      </c>
      <c r="K1409" s="10">
        <v>1</v>
      </c>
      <c r="L1409" s="10">
        <v>0.2</v>
      </c>
      <c r="M1409" s="10">
        <v>0</v>
      </c>
      <c r="N1409" s="10">
        <v>0.2</v>
      </c>
      <c r="O1409" s="8" t="s">
        <v>57</v>
      </c>
      <c r="P1409" s="8" t="s">
        <v>57</v>
      </c>
      <c r="Q1409" s="8" t="s">
        <v>31</v>
      </c>
      <c r="R1409" s="8" t="s">
        <v>31</v>
      </c>
      <c r="S1409" s="8" t="s">
        <v>31</v>
      </c>
      <c r="T1409" s="8" t="s">
        <v>31</v>
      </c>
      <c r="U1409" s="8" t="s">
        <v>31</v>
      </c>
      <c r="V1409" s="8" t="s">
        <v>31</v>
      </c>
      <c r="W1409" s="8" t="str">
        <f>_xlfn.IFNA(VLOOKUP(A1409,[1]Sheet1!$A$1:$B$101,1,FALSE),"na")</f>
        <v>na</v>
      </c>
      <c r="X1409" s="8" t="s">
        <v>35</v>
      </c>
      <c r="Y1409" s="9">
        <v>222</v>
      </c>
      <c r="Z1409" s="9">
        <v>100.90909000000001</v>
      </c>
      <c r="AA1409" s="9">
        <v>222</v>
      </c>
      <c r="AB1409" s="9">
        <v>185</v>
      </c>
    </row>
    <row r="1410" spans="1:28" x14ac:dyDescent="0.25">
      <c r="A1410" s="8" t="s">
        <v>2918</v>
      </c>
      <c r="B1410" s="8" t="s">
        <v>2919</v>
      </c>
      <c r="C1410" s="8" t="s">
        <v>67</v>
      </c>
      <c r="D1410" s="10">
        <v>3</v>
      </c>
      <c r="E1410" s="10">
        <v>3</v>
      </c>
      <c r="F1410" s="10">
        <v>0</v>
      </c>
      <c r="G1410" s="10">
        <v>3</v>
      </c>
      <c r="H1410" s="10">
        <v>0</v>
      </c>
      <c r="I1410" s="10">
        <v>0</v>
      </c>
      <c r="J1410" s="10">
        <v>0</v>
      </c>
      <c r="K1410" s="10">
        <v>0</v>
      </c>
      <c r="L1410" s="10">
        <v>0</v>
      </c>
      <c r="M1410" s="10">
        <v>0</v>
      </c>
      <c r="N1410" s="10">
        <v>0</v>
      </c>
      <c r="O1410" s="8" t="s">
        <v>57</v>
      </c>
      <c r="P1410" s="8" t="s">
        <v>31</v>
      </c>
      <c r="Q1410" s="8" t="s">
        <v>31</v>
      </c>
      <c r="R1410" s="8" t="s">
        <v>31</v>
      </c>
      <c r="S1410" s="8" t="s">
        <v>31</v>
      </c>
      <c r="T1410" s="8" t="s">
        <v>31</v>
      </c>
      <c r="U1410" s="8" t="s">
        <v>31</v>
      </c>
      <c r="V1410" s="8" t="s">
        <v>31</v>
      </c>
      <c r="W1410" s="8" t="str">
        <f>_xlfn.IFNA(VLOOKUP(A1410,[1]Sheet1!$A$1:$B$101,1,FALSE),"na")</f>
        <v>na</v>
      </c>
      <c r="X1410" s="8" t="s">
        <v>35</v>
      </c>
      <c r="Y1410" s="9">
        <v>956</v>
      </c>
      <c r="Z1410" s="9">
        <v>318.66665999999998</v>
      </c>
      <c r="AA1410" s="9">
        <v>318.66665999999998</v>
      </c>
      <c r="AB1410" s="9">
        <v>956</v>
      </c>
    </row>
    <row r="1411" spans="1:28" x14ac:dyDescent="0.25">
      <c r="A1411" s="8" t="s">
        <v>2920</v>
      </c>
      <c r="B1411" s="8" t="s">
        <v>2921</v>
      </c>
      <c r="C1411" s="8" t="s">
        <v>30</v>
      </c>
      <c r="D1411" s="10">
        <v>2.4000001000000002</v>
      </c>
      <c r="E1411" s="10">
        <v>1</v>
      </c>
      <c r="F1411" s="10">
        <v>1.4</v>
      </c>
      <c r="G1411" s="10">
        <v>1</v>
      </c>
      <c r="H1411" s="10">
        <v>1.4</v>
      </c>
      <c r="I1411" s="10">
        <v>0</v>
      </c>
      <c r="J1411" s="10">
        <v>0</v>
      </c>
      <c r="K1411" s="10">
        <v>0</v>
      </c>
      <c r="L1411" s="10">
        <v>0.40000001000000002</v>
      </c>
      <c r="M1411" s="10">
        <v>0</v>
      </c>
      <c r="N1411" s="10">
        <v>0.40000001000000002</v>
      </c>
      <c r="O1411" s="8" t="s">
        <v>57</v>
      </c>
      <c r="P1411" s="8" t="s">
        <v>31</v>
      </c>
      <c r="Q1411" s="8" t="s">
        <v>31</v>
      </c>
      <c r="R1411" s="8" t="s">
        <v>31</v>
      </c>
      <c r="S1411" s="8" t="s">
        <v>31</v>
      </c>
      <c r="T1411" s="8" t="s">
        <v>31</v>
      </c>
      <c r="U1411" s="8" t="s">
        <v>31</v>
      </c>
      <c r="V1411" s="8" t="s">
        <v>31</v>
      </c>
      <c r="W1411" s="8" t="str">
        <f>_xlfn.IFNA(VLOOKUP(A1411,[1]Sheet1!$A$1:$B$101,1,FALSE),"na")</f>
        <v>na</v>
      </c>
      <c r="X1411" s="8" t="s">
        <v>35</v>
      </c>
      <c r="Y1411" s="9">
        <v>462</v>
      </c>
      <c r="Z1411" s="9">
        <v>192.49997999999999</v>
      </c>
      <c r="AA1411" s="9">
        <v>462</v>
      </c>
      <c r="AB1411" s="9">
        <v>330</v>
      </c>
    </row>
    <row r="1412" spans="1:28" x14ac:dyDescent="0.25">
      <c r="A1412" s="8" t="s">
        <v>2922</v>
      </c>
      <c r="B1412" s="8" t="s">
        <v>2923</v>
      </c>
      <c r="C1412" s="8" t="s">
        <v>67</v>
      </c>
      <c r="D1412" s="10">
        <v>2</v>
      </c>
      <c r="E1412" s="10">
        <v>1</v>
      </c>
      <c r="F1412" s="10">
        <v>1</v>
      </c>
      <c r="G1412" s="10">
        <v>1</v>
      </c>
      <c r="H1412" s="10">
        <v>1</v>
      </c>
      <c r="I1412" s="10">
        <v>0</v>
      </c>
      <c r="J1412" s="10">
        <v>0</v>
      </c>
      <c r="K1412" s="10">
        <v>0</v>
      </c>
      <c r="L1412" s="10">
        <v>0</v>
      </c>
      <c r="M1412" s="10">
        <v>0</v>
      </c>
      <c r="N1412" s="10">
        <v>0</v>
      </c>
      <c r="O1412" s="8" t="s">
        <v>57</v>
      </c>
      <c r="P1412" s="8" t="s">
        <v>31</v>
      </c>
      <c r="Q1412" s="8" t="s">
        <v>31</v>
      </c>
      <c r="R1412" s="8" t="s">
        <v>31</v>
      </c>
      <c r="S1412" s="8" t="s">
        <v>31</v>
      </c>
      <c r="T1412" s="8" t="s">
        <v>31</v>
      </c>
      <c r="U1412" s="8" t="s">
        <v>31</v>
      </c>
      <c r="V1412" s="8" t="s">
        <v>31</v>
      </c>
      <c r="W1412" s="8" t="str">
        <f>_xlfn.IFNA(VLOOKUP(A1412,[1]Sheet1!$A$1:$B$101,1,FALSE),"na")</f>
        <v>na</v>
      </c>
      <c r="X1412" s="8" t="s">
        <v>35</v>
      </c>
      <c r="Y1412" s="9">
        <v>57</v>
      </c>
      <c r="Z1412" s="9">
        <v>28.5</v>
      </c>
      <c r="AA1412" s="9">
        <v>57</v>
      </c>
      <c r="AB1412" s="9">
        <v>57</v>
      </c>
    </row>
    <row r="1413" spans="1:28" x14ac:dyDescent="0.25">
      <c r="A1413" s="8" t="s">
        <v>2924</v>
      </c>
      <c r="B1413" s="8" t="s">
        <v>2925</v>
      </c>
      <c r="C1413" s="8" t="s">
        <v>62</v>
      </c>
      <c r="D1413" s="10">
        <v>4</v>
      </c>
      <c r="E1413" s="10">
        <v>2</v>
      </c>
      <c r="F1413" s="10">
        <v>2</v>
      </c>
      <c r="G1413" s="10">
        <v>2</v>
      </c>
      <c r="H1413" s="10">
        <v>2</v>
      </c>
      <c r="I1413" s="10">
        <v>0</v>
      </c>
      <c r="J1413" s="10">
        <v>0</v>
      </c>
      <c r="K1413" s="10">
        <v>0</v>
      </c>
      <c r="L1413" s="10">
        <v>0</v>
      </c>
      <c r="M1413" s="10">
        <v>0</v>
      </c>
      <c r="N1413" s="10">
        <v>0</v>
      </c>
      <c r="O1413" s="8" t="s">
        <v>31</v>
      </c>
      <c r="P1413" s="8" t="s">
        <v>31</v>
      </c>
      <c r="Q1413" s="8" t="s">
        <v>31</v>
      </c>
      <c r="R1413" s="8" t="s">
        <v>31</v>
      </c>
      <c r="S1413" s="8" t="s">
        <v>31</v>
      </c>
      <c r="T1413" s="8" t="s">
        <v>57</v>
      </c>
      <c r="U1413" s="8" t="s">
        <v>31</v>
      </c>
      <c r="V1413" s="8" t="s">
        <v>31</v>
      </c>
      <c r="W1413" s="8" t="str">
        <f>_xlfn.IFNA(VLOOKUP(A1413,[1]Sheet1!$A$1:$B$101,1,FALSE),"na")</f>
        <v>na</v>
      </c>
      <c r="X1413" s="8" t="s">
        <v>35</v>
      </c>
      <c r="Y1413" s="9">
        <v>490</v>
      </c>
      <c r="Z1413" s="9">
        <v>122.5</v>
      </c>
      <c r="AA1413" s="9">
        <v>245</v>
      </c>
      <c r="AB1413" s="9">
        <v>245</v>
      </c>
    </row>
    <row r="1414" spans="1:28" x14ac:dyDescent="0.25">
      <c r="A1414" s="8" t="s">
        <v>2926</v>
      </c>
      <c r="B1414" s="8" t="s">
        <v>2927</v>
      </c>
      <c r="C1414" s="8" t="s">
        <v>30</v>
      </c>
      <c r="D1414" s="10">
        <v>1.2</v>
      </c>
      <c r="E1414" s="10">
        <v>1</v>
      </c>
      <c r="F1414" s="10">
        <v>0.2</v>
      </c>
      <c r="G1414" s="10">
        <v>1</v>
      </c>
      <c r="H1414" s="10">
        <v>0.2</v>
      </c>
      <c r="I1414" s="10">
        <v>0</v>
      </c>
      <c r="J1414" s="10">
        <v>0</v>
      </c>
      <c r="K1414" s="10">
        <v>1</v>
      </c>
      <c r="L1414" s="10">
        <v>0.2</v>
      </c>
      <c r="M1414" s="10">
        <v>0</v>
      </c>
      <c r="N1414" s="10">
        <v>0.2</v>
      </c>
      <c r="O1414" s="8" t="s">
        <v>57</v>
      </c>
      <c r="P1414" s="8" t="s">
        <v>31</v>
      </c>
      <c r="Q1414" s="8" t="s">
        <v>31</v>
      </c>
      <c r="R1414" s="8" t="s">
        <v>31</v>
      </c>
      <c r="S1414" s="8" t="s">
        <v>31</v>
      </c>
      <c r="T1414" s="8" t="s">
        <v>31</v>
      </c>
      <c r="U1414" s="8" t="s">
        <v>31</v>
      </c>
      <c r="V1414" s="8" t="s">
        <v>31</v>
      </c>
      <c r="W1414" s="8" t="str">
        <f>_xlfn.IFNA(VLOOKUP(A1414,[1]Sheet1!$A$1:$B$101,1,FALSE),"na")</f>
        <v>na</v>
      </c>
      <c r="X1414" s="8" t="s">
        <v>35</v>
      </c>
      <c r="Y1414" s="9">
        <v>447</v>
      </c>
      <c r="Z1414" s="9">
        <v>372.5</v>
      </c>
      <c r="AA1414" s="9">
        <v>447</v>
      </c>
      <c r="AB1414" s="9">
        <v>447</v>
      </c>
    </row>
    <row r="1415" spans="1:28" x14ac:dyDescent="0.25">
      <c r="A1415" s="8" t="s">
        <v>2928</v>
      </c>
      <c r="B1415" s="8" t="s">
        <v>2929</v>
      </c>
      <c r="C1415" s="8" t="s">
        <v>80</v>
      </c>
      <c r="D1415" s="10">
        <v>4</v>
      </c>
      <c r="E1415" s="10">
        <v>3</v>
      </c>
      <c r="F1415" s="10">
        <v>1</v>
      </c>
      <c r="G1415" s="10">
        <v>3</v>
      </c>
      <c r="H1415" s="10">
        <v>1</v>
      </c>
      <c r="I1415" s="10">
        <v>0</v>
      </c>
      <c r="J1415" s="10">
        <v>0</v>
      </c>
      <c r="K1415" s="10">
        <v>1</v>
      </c>
      <c r="L1415" s="10">
        <v>0</v>
      </c>
      <c r="M1415" s="10">
        <v>0</v>
      </c>
      <c r="N1415" s="10">
        <v>0</v>
      </c>
      <c r="O1415" s="8" t="s">
        <v>57</v>
      </c>
      <c r="P1415" s="8" t="s">
        <v>31</v>
      </c>
      <c r="Q1415" s="8" t="s">
        <v>31</v>
      </c>
      <c r="R1415" s="8" t="s">
        <v>31</v>
      </c>
      <c r="S1415" s="8" t="s">
        <v>31</v>
      </c>
      <c r="T1415" s="8" t="s">
        <v>31</v>
      </c>
      <c r="U1415" s="8" t="s">
        <v>31</v>
      </c>
      <c r="V1415" s="8" t="s">
        <v>31</v>
      </c>
      <c r="W1415" s="8" t="str">
        <f>_xlfn.IFNA(VLOOKUP(A1415,[1]Sheet1!$A$1:$B$101,1,FALSE),"na")</f>
        <v>na</v>
      </c>
      <c r="X1415" s="8" t="s">
        <v>35</v>
      </c>
      <c r="Y1415" s="9">
        <v>577</v>
      </c>
      <c r="Z1415" s="9">
        <v>144.25</v>
      </c>
      <c r="AA1415" s="9">
        <v>192.33332999999999</v>
      </c>
      <c r="AB1415" s="9">
        <v>577</v>
      </c>
    </row>
    <row r="1416" spans="1:28" x14ac:dyDescent="0.25">
      <c r="A1416" s="8" t="s">
        <v>2930</v>
      </c>
      <c r="B1416" s="8" t="s">
        <v>2931</v>
      </c>
      <c r="C1416" s="8" t="s">
        <v>67</v>
      </c>
      <c r="D1416" s="10">
        <v>2.0999998999999998</v>
      </c>
      <c r="E1416" s="10">
        <v>1</v>
      </c>
      <c r="F1416" s="10">
        <v>1.1000000000000001</v>
      </c>
      <c r="G1416" s="10">
        <v>1</v>
      </c>
      <c r="H1416" s="10">
        <v>1.1000000000000001</v>
      </c>
      <c r="I1416" s="10">
        <v>0</v>
      </c>
      <c r="J1416" s="10">
        <v>0</v>
      </c>
      <c r="K1416" s="10">
        <v>0</v>
      </c>
      <c r="L1416" s="10">
        <v>0.1</v>
      </c>
      <c r="M1416" s="10">
        <v>0</v>
      </c>
      <c r="N1416" s="10">
        <v>0.1</v>
      </c>
      <c r="O1416" s="8" t="s">
        <v>31</v>
      </c>
      <c r="P1416" s="8" t="s">
        <v>31</v>
      </c>
      <c r="Q1416" s="8" t="s">
        <v>31</v>
      </c>
      <c r="R1416" s="8" t="s">
        <v>31</v>
      </c>
      <c r="S1416" s="8" t="s">
        <v>31</v>
      </c>
      <c r="T1416" s="8" t="s">
        <v>31</v>
      </c>
      <c r="U1416" s="8" t="s">
        <v>31</v>
      </c>
      <c r="V1416" s="8" t="s">
        <v>31</v>
      </c>
      <c r="W1416" s="8" t="str">
        <f>_xlfn.IFNA(VLOOKUP(A1416,[1]Sheet1!$A$1:$B$101,1,FALSE),"na")</f>
        <v>na</v>
      </c>
      <c r="X1416" s="8" t="s">
        <v>35</v>
      </c>
      <c r="Y1416" s="9">
        <v>403</v>
      </c>
      <c r="Z1416" s="9">
        <v>191.90477000000001</v>
      </c>
      <c r="AA1416" s="9">
        <v>403</v>
      </c>
      <c r="AB1416" s="9">
        <v>366.36362000000003</v>
      </c>
    </row>
    <row r="1417" spans="1:28" x14ac:dyDescent="0.25">
      <c r="A1417" s="8" t="s">
        <v>2932</v>
      </c>
      <c r="B1417" s="8" t="s">
        <v>2933</v>
      </c>
      <c r="C1417" s="8" t="s">
        <v>38</v>
      </c>
      <c r="D1417" s="10">
        <v>2.2999999999999998</v>
      </c>
      <c r="E1417" s="10">
        <v>1</v>
      </c>
      <c r="F1417" s="10">
        <v>1.3</v>
      </c>
      <c r="G1417" s="10">
        <v>1</v>
      </c>
      <c r="H1417" s="10">
        <v>1.3</v>
      </c>
      <c r="I1417" s="10">
        <v>0</v>
      </c>
      <c r="J1417" s="10">
        <v>0</v>
      </c>
      <c r="K1417" s="10">
        <v>0</v>
      </c>
      <c r="L1417" s="10">
        <v>0.30000000999999998</v>
      </c>
      <c r="M1417" s="10">
        <v>0</v>
      </c>
      <c r="N1417" s="10">
        <v>0.30000000999999998</v>
      </c>
      <c r="O1417" s="8" t="s">
        <v>31</v>
      </c>
      <c r="P1417" s="8" t="s">
        <v>31</v>
      </c>
      <c r="Q1417" s="8" t="s">
        <v>31</v>
      </c>
      <c r="R1417" s="8" t="s">
        <v>31</v>
      </c>
      <c r="S1417" s="8" t="s">
        <v>31</v>
      </c>
      <c r="T1417" s="8" t="s">
        <v>31</v>
      </c>
      <c r="U1417" s="8" t="s">
        <v>31</v>
      </c>
      <c r="V1417" s="8" t="s">
        <v>31</v>
      </c>
      <c r="W1417" s="8" t="str">
        <f>_xlfn.IFNA(VLOOKUP(A1417,[1]Sheet1!$A$1:$B$101,1,FALSE),"na")</f>
        <v>na</v>
      </c>
      <c r="X1417" s="8" t="s">
        <v>35</v>
      </c>
      <c r="Y1417" s="9">
        <v>525</v>
      </c>
      <c r="Z1417" s="9">
        <v>228.26087999999999</v>
      </c>
      <c r="AA1417" s="9">
        <v>525</v>
      </c>
      <c r="AB1417" s="9">
        <v>403.84616</v>
      </c>
    </row>
    <row r="1418" spans="1:28" x14ac:dyDescent="0.25">
      <c r="A1418" s="8" t="s">
        <v>2934</v>
      </c>
      <c r="B1418" s="8" t="s">
        <v>2935</v>
      </c>
      <c r="C1418" s="8" t="s">
        <v>62</v>
      </c>
      <c r="D1418" s="10">
        <v>5.1999997999999996</v>
      </c>
      <c r="E1418" s="10">
        <v>2</v>
      </c>
      <c r="F1418" s="10">
        <v>3.2</v>
      </c>
      <c r="G1418" s="10">
        <v>2</v>
      </c>
      <c r="H1418" s="10">
        <v>3.2</v>
      </c>
      <c r="I1418" s="10">
        <v>0</v>
      </c>
      <c r="J1418" s="10">
        <v>0</v>
      </c>
      <c r="K1418" s="10">
        <v>0</v>
      </c>
      <c r="L1418" s="10">
        <v>0</v>
      </c>
      <c r="M1418" s="10">
        <v>0</v>
      </c>
      <c r="N1418" s="10">
        <v>0.2</v>
      </c>
      <c r="O1418" s="8" t="s">
        <v>31</v>
      </c>
      <c r="P1418" s="8" t="s">
        <v>31</v>
      </c>
      <c r="Q1418" s="8" t="s">
        <v>31</v>
      </c>
      <c r="R1418" s="8" t="s">
        <v>31</v>
      </c>
      <c r="S1418" s="8" t="s">
        <v>31</v>
      </c>
      <c r="T1418" s="8" t="s">
        <v>31</v>
      </c>
      <c r="U1418" s="8" t="s">
        <v>31</v>
      </c>
      <c r="V1418" s="8" t="s">
        <v>31</v>
      </c>
      <c r="W1418" s="8" t="str">
        <f>_xlfn.IFNA(VLOOKUP(A1418,[1]Sheet1!$A$1:$B$101,1,FALSE),"na")</f>
        <v>na</v>
      </c>
      <c r="X1418" s="8" t="s">
        <v>35</v>
      </c>
      <c r="Y1418" s="9">
        <v>548</v>
      </c>
      <c r="Z1418" s="9">
        <v>105.38462</v>
      </c>
      <c r="AA1418" s="9">
        <v>274</v>
      </c>
      <c r="AB1418" s="9">
        <v>171.25</v>
      </c>
    </row>
    <row r="1419" spans="1:28" x14ac:dyDescent="0.25">
      <c r="A1419" s="8" t="s">
        <v>2936</v>
      </c>
      <c r="B1419" s="8" t="s">
        <v>2937</v>
      </c>
      <c r="C1419" s="8" t="s">
        <v>30</v>
      </c>
      <c r="D1419" s="10">
        <v>2.4000001000000002</v>
      </c>
      <c r="E1419" s="10">
        <v>1</v>
      </c>
      <c r="F1419" s="10">
        <v>1.4</v>
      </c>
      <c r="G1419" s="10">
        <v>1</v>
      </c>
      <c r="H1419" s="10">
        <v>1.4</v>
      </c>
      <c r="I1419" s="10">
        <v>0</v>
      </c>
      <c r="J1419" s="10">
        <v>0</v>
      </c>
      <c r="K1419" s="10">
        <v>0</v>
      </c>
      <c r="L1419" s="10">
        <v>0.40000001000000002</v>
      </c>
      <c r="M1419" s="10">
        <v>0</v>
      </c>
      <c r="N1419" s="10">
        <v>0.40000001000000002</v>
      </c>
      <c r="O1419" s="8" t="s">
        <v>57</v>
      </c>
      <c r="P1419" s="8" t="s">
        <v>31</v>
      </c>
      <c r="Q1419" s="8" t="s">
        <v>31</v>
      </c>
      <c r="R1419" s="8" t="s">
        <v>31</v>
      </c>
      <c r="S1419" s="8" t="s">
        <v>31</v>
      </c>
      <c r="T1419" s="8" t="s">
        <v>31</v>
      </c>
      <c r="U1419" s="8" t="s">
        <v>31</v>
      </c>
      <c r="V1419" s="8" t="s">
        <v>31</v>
      </c>
      <c r="W1419" s="8" t="str">
        <f>_xlfn.IFNA(VLOOKUP(A1419,[1]Sheet1!$A$1:$B$101,1,FALSE),"na")</f>
        <v>na</v>
      </c>
      <c r="X1419" s="8" t="s">
        <v>35</v>
      </c>
      <c r="Y1419" s="9">
        <v>437</v>
      </c>
      <c r="Z1419" s="9">
        <v>182.08332999999999</v>
      </c>
      <c r="AA1419" s="9">
        <v>437</v>
      </c>
      <c r="AB1419" s="9">
        <v>312.14285000000001</v>
      </c>
    </row>
    <row r="1420" spans="1:28" x14ac:dyDescent="0.25">
      <c r="A1420" s="8" t="s">
        <v>2938</v>
      </c>
      <c r="B1420" s="8" t="s">
        <v>2939</v>
      </c>
      <c r="C1420" s="8" t="s">
        <v>30</v>
      </c>
      <c r="D1420" s="10">
        <v>1.7</v>
      </c>
      <c r="E1420" s="10">
        <v>0.5</v>
      </c>
      <c r="F1420" s="10">
        <v>1.2</v>
      </c>
      <c r="G1420" s="10">
        <v>0</v>
      </c>
      <c r="H1420" s="10">
        <v>1.2</v>
      </c>
      <c r="I1420" s="10">
        <v>0.5</v>
      </c>
      <c r="J1420" s="10">
        <v>0</v>
      </c>
      <c r="K1420" s="10">
        <v>0</v>
      </c>
      <c r="L1420" s="10">
        <v>0.2</v>
      </c>
      <c r="M1420" s="10">
        <v>1</v>
      </c>
      <c r="N1420" s="10">
        <v>0.2</v>
      </c>
      <c r="O1420" s="8" t="s">
        <v>57</v>
      </c>
      <c r="P1420" s="8" t="s">
        <v>31</v>
      </c>
      <c r="Q1420" s="8" t="s">
        <v>31</v>
      </c>
      <c r="R1420" s="8" t="s">
        <v>31</v>
      </c>
      <c r="S1420" s="8" t="s">
        <v>31</v>
      </c>
      <c r="T1420" s="8" t="s">
        <v>31</v>
      </c>
      <c r="U1420" s="8" t="s">
        <v>31</v>
      </c>
      <c r="V1420" s="8" t="s">
        <v>31</v>
      </c>
      <c r="W1420" s="8" t="str">
        <f>_xlfn.IFNA(VLOOKUP(A1420,[1]Sheet1!$A$1:$B$101,1,FALSE),"na")</f>
        <v>na</v>
      </c>
      <c r="X1420" s="8" t="s">
        <v>35</v>
      </c>
      <c r="Y1420" s="9">
        <v>506</v>
      </c>
      <c r="Z1420" s="9">
        <v>297.64706000000001</v>
      </c>
      <c r="AA1420" s="9">
        <v>506</v>
      </c>
      <c r="AB1420" s="9">
        <v>421.66665999999998</v>
      </c>
    </row>
    <row r="1421" spans="1:28" x14ac:dyDescent="0.25">
      <c r="A1421" s="8" t="s">
        <v>2940</v>
      </c>
      <c r="B1421" s="8" t="s">
        <v>2941</v>
      </c>
      <c r="C1421" s="8" t="s">
        <v>62</v>
      </c>
      <c r="D1421" s="10">
        <v>2</v>
      </c>
      <c r="E1421" s="10">
        <v>2</v>
      </c>
      <c r="F1421" s="10">
        <v>0</v>
      </c>
      <c r="G1421" s="10">
        <v>2</v>
      </c>
      <c r="H1421" s="10">
        <v>0</v>
      </c>
      <c r="I1421" s="10">
        <v>0</v>
      </c>
      <c r="J1421" s="10">
        <v>0</v>
      </c>
      <c r="K1421" s="10">
        <v>0</v>
      </c>
      <c r="L1421" s="10">
        <v>0</v>
      </c>
      <c r="M1421" s="10">
        <v>0</v>
      </c>
      <c r="N1421" s="10">
        <v>0</v>
      </c>
      <c r="O1421" s="8" t="s">
        <v>31</v>
      </c>
      <c r="P1421" s="8" t="s">
        <v>31</v>
      </c>
      <c r="Q1421" s="8" t="s">
        <v>31</v>
      </c>
      <c r="R1421" s="8" t="s">
        <v>31</v>
      </c>
      <c r="S1421" s="8" t="s">
        <v>31</v>
      </c>
      <c r="T1421" s="8" t="s">
        <v>31</v>
      </c>
      <c r="U1421" s="8" t="s">
        <v>31</v>
      </c>
      <c r="V1421" s="8" t="s">
        <v>31</v>
      </c>
      <c r="W1421" s="8" t="str">
        <f>_xlfn.IFNA(VLOOKUP(A1421,[1]Sheet1!$A$1:$B$101,1,FALSE),"na")</f>
        <v>na</v>
      </c>
      <c r="X1421" s="8" t="s">
        <v>35</v>
      </c>
      <c r="Y1421" s="9">
        <v>182</v>
      </c>
      <c r="Z1421" s="9">
        <v>91</v>
      </c>
      <c r="AA1421" s="9">
        <v>91</v>
      </c>
      <c r="AB1421" s="9">
        <v>182</v>
      </c>
    </row>
    <row r="1422" spans="1:28" x14ac:dyDescent="0.25">
      <c r="A1422" s="8" t="s">
        <v>2942</v>
      </c>
      <c r="B1422" s="8" t="s">
        <v>2943</v>
      </c>
      <c r="C1422" s="8" t="s">
        <v>30</v>
      </c>
      <c r="D1422" s="10">
        <v>1.6</v>
      </c>
      <c r="E1422" s="10">
        <v>0.40000001000000002</v>
      </c>
      <c r="F1422" s="10">
        <v>1.2</v>
      </c>
      <c r="G1422" s="10">
        <v>0</v>
      </c>
      <c r="H1422" s="10">
        <v>1.2</v>
      </c>
      <c r="I1422" s="10">
        <v>0.40000001000000002</v>
      </c>
      <c r="J1422" s="10">
        <v>0</v>
      </c>
      <c r="K1422" s="10">
        <v>0</v>
      </c>
      <c r="L1422" s="10">
        <v>0.2</v>
      </c>
      <c r="M1422" s="10">
        <v>1</v>
      </c>
      <c r="N1422" s="10">
        <v>0.2</v>
      </c>
      <c r="O1422" s="8" t="s">
        <v>57</v>
      </c>
      <c r="P1422" s="8" t="s">
        <v>57</v>
      </c>
      <c r="Q1422" s="8" t="s">
        <v>31</v>
      </c>
      <c r="R1422" s="8" t="s">
        <v>31</v>
      </c>
      <c r="S1422" s="8" t="s">
        <v>31</v>
      </c>
      <c r="T1422" s="8" t="s">
        <v>31</v>
      </c>
      <c r="U1422" s="8" t="s">
        <v>31</v>
      </c>
      <c r="V1422" s="8" t="s">
        <v>31</v>
      </c>
      <c r="W1422" s="8" t="str">
        <f>_xlfn.IFNA(VLOOKUP(A1422,[1]Sheet1!$A$1:$B$101,1,FALSE),"na")</f>
        <v>na</v>
      </c>
      <c r="X1422" s="8" t="s">
        <v>35</v>
      </c>
      <c r="Y1422" s="9">
        <v>488</v>
      </c>
      <c r="Z1422" s="9">
        <v>305</v>
      </c>
      <c r="AA1422" s="9">
        <v>488</v>
      </c>
      <c r="AB1422" s="9">
        <v>406.66665999999998</v>
      </c>
    </row>
    <row r="1423" spans="1:28" x14ac:dyDescent="0.25">
      <c r="A1423" s="8" t="s">
        <v>2944</v>
      </c>
      <c r="B1423" s="8" t="s">
        <v>2945</v>
      </c>
      <c r="C1423" s="8" t="s">
        <v>30</v>
      </c>
      <c r="D1423" s="10">
        <v>2.4000001000000002</v>
      </c>
      <c r="E1423" s="10">
        <v>0</v>
      </c>
      <c r="F1423" s="10">
        <v>2.4000001000000002</v>
      </c>
      <c r="G1423" s="10">
        <v>0</v>
      </c>
      <c r="H1423" s="10">
        <v>2.4000001000000002</v>
      </c>
      <c r="I1423" s="10">
        <v>0</v>
      </c>
      <c r="J1423" s="10">
        <v>0</v>
      </c>
      <c r="K1423" s="10">
        <v>0</v>
      </c>
      <c r="L1423" s="10">
        <v>1.4</v>
      </c>
      <c r="M1423" s="10">
        <v>0</v>
      </c>
      <c r="N1423" s="10">
        <v>0.40000001000000002</v>
      </c>
      <c r="O1423" s="8" t="s">
        <v>57</v>
      </c>
      <c r="P1423" s="8" t="s">
        <v>31</v>
      </c>
      <c r="Q1423" s="8" t="s">
        <v>31</v>
      </c>
      <c r="R1423" s="8" t="s">
        <v>31</v>
      </c>
      <c r="S1423" s="8" t="s">
        <v>31</v>
      </c>
      <c r="T1423" s="8" t="s">
        <v>31</v>
      </c>
      <c r="U1423" s="8" t="s">
        <v>31</v>
      </c>
      <c r="V1423" s="8" t="s">
        <v>31</v>
      </c>
      <c r="W1423" s="8" t="str">
        <f>_xlfn.IFNA(VLOOKUP(A1423,[1]Sheet1!$A$1:$B$101,1,FALSE),"na")</f>
        <v>na</v>
      </c>
      <c r="X1423" s="8" t="s">
        <v>35</v>
      </c>
      <c r="Y1423" s="9">
        <v>468</v>
      </c>
      <c r="Z1423" s="9">
        <v>194.99997999999999</v>
      </c>
      <c r="AA1423" s="9">
        <v>468</v>
      </c>
      <c r="AB1423" s="9">
        <v>194.99997999999999</v>
      </c>
    </row>
    <row r="1424" spans="1:28" x14ac:dyDescent="0.25">
      <c r="A1424" s="8" t="s">
        <v>2946</v>
      </c>
      <c r="B1424" s="8" t="s">
        <v>2947</v>
      </c>
      <c r="C1424" s="8" t="s">
        <v>62</v>
      </c>
      <c r="D1424" s="10">
        <v>2</v>
      </c>
      <c r="E1424" s="10">
        <v>2</v>
      </c>
      <c r="F1424" s="10">
        <v>0</v>
      </c>
      <c r="G1424" s="10">
        <v>2</v>
      </c>
      <c r="H1424" s="10">
        <v>0</v>
      </c>
      <c r="I1424" s="10">
        <v>0</v>
      </c>
      <c r="J1424" s="10">
        <v>0</v>
      </c>
      <c r="K1424" s="10">
        <v>0</v>
      </c>
      <c r="L1424" s="10">
        <v>0</v>
      </c>
      <c r="M1424" s="10">
        <v>0</v>
      </c>
      <c r="N1424" s="10">
        <v>0</v>
      </c>
      <c r="O1424" s="8" t="s">
        <v>31</v>
      </c>
      <c r="P1424" s="8" t="s">
        <v>31</v>
      </c>
      <c r="Q1424" s="8" t="s">
        <v>31</v>
      </c>
      <c r="R1424" s="8" t="s">
        <v>31</v>
      </c>
      <c r="S1424" s="8" t="s">
        <v>31</v>
      </c>
      <c r="T1424" s="8" t="s">
        <v>31</v>
      </c>
      <c r="U1424" s="8" t="s">
        <v>31</v>
      </c>
      <c r="V1424" s="8" t="s">
        <v>31</v>
      </c>
      <c r="W1424" s="8" t="str">
        <f>_xlfn.IFNA(VLOOKUP(A1424,[1]Sheet1!$A$1:$B$101,1,FALSE),"na")</f>
        <v>na</v>
      </c>
      <c r="X1424" s="8" t="s">
        <v>35</v>
      </c>
      <c r="Y1424" s="9">
        <v>271</v>
      </c>
      <c r="Z1424" s="9">
        <v>135.5</v>
      </c>
      <c r="AA1424" s="9">
        <v>135.5</v>
      </c>
      <c r="AB1424" s="9">
        <v>271</v>
      </c>
    </row>
    <row r="1425" spans="1:28" x14ac:dyDescent="0.25">
      <c r="A1425" s="8" t="s">
        <v>2948</v>
      </c>
      <c r="B1425" s="8" t="s">
        <v>2949</v>
      </c>
      <c r="C1425" s="8" t="s">
        <v>67</v>
      </c>
      <c r="D1425" s="10">
        <v>1.8</v>
      </c>
      <c r="E1425" s="10">
        <v>1.8</v>
      </c>
      <c r="F1425" s="10">
        <v>0</v>
      </c>
      <c r="G1425" s="10">
        <v>1</v>
      </c>
      <c r="H1425" s="10">
        <v>0</v>
      </c>
      <c r="I1425" s="10">
        <v>0.80000000999999998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8" t="s">
        <v>31</v>
      </c>
      <c r="P1425" s="8" t="s">
        <v>31</v>
      </c>
      <c r="Q1425" s="8" t="s">
        <v>31</v>
      </c>
      <c r="R1425" s="8" t="s">
        <v>31</v>
      </c>
      <c r="S1425" s="8" t="s">
        <v>31</v>
      </c>
      <c r="T1425" s="8" t="s">
        <v>31</v>
      </c>
      <c r="U1425" s="8" t="s">
        <v>31</v>
      </c>
      <c r="V1425" s="8" t="s">
        <v>31</v>
      </c>
      <c r="W1425" s="8" t="str">
        <f>_xlfn.IFNA(VLOOKUP(A1425,[1]Sheet1!$A$1:$B$101,1,FALSE),"na")</f>
        <v>na</v>
      </c>
      <c r="X1425" s="8" t="s">
        <v>35</v>
      </c>
      <c r="Y1425" s="9">
        <v>250</v>
      </c>
      <c r="Z1425" s="9">
        <v>138.88889</v>
      </c>
      <c r="AA1425" s="9">
        <v>138.88889</v>
      </c>
      <c r="AB1425" s="9">
        <v>250</v>
      </c>
    </row>
    <row r="1426" spans="1:28" x14ac:dyDescent="0.25">
      <c r="A1426" s="8" t="s">
        <v>2950</v>
      </c>
      <c r="B1426" s="8" t="s">
        <v>2951</v>
      </c>
      <c r="C1426" s="8" t="s">
        <v>62</v>
      </c>
      <c r="D1426" s="10">
        <v>12.8</v>
      </c>
      <c r="E1426" s="10">
        <v>11</v>
      </c>
      <c r="F1426" s="10">
        <v>1.8</v>
      </c>
      <c r="G1426" s="10">
        <v>11</v>
      </c>
      <c r="H1426" s="10">
        <v>1.8</v>
      </c>
      <c r="I1426" s="10">
        <v>0</v>
      </c>
      <c r="J1426" s="10">
        <v>0</v>
      </c>
      <c r="K1426" s="10">
        <v>0</v>
      </c>
      <c r="L1426" s="10">
        <v>0.80000000999999998</v>
      </c>
      <c r="M1426" s="10">
        <v>0</v>
      </c>
      <c r="N1426" s="10">
        <v>0.80000000999999998</v>
      </c>
      <c r="O1426" s="8" t="s">
        <v>31</v>
      </c>
      <c r="P1426" s="8" t="s">
        <v>31</v>
      </c>
      <c r="Q1426" s="8" t="s">
        <v>31</v>
      </c>
      <c r="R1426" s="8" t="s">
        <v>31</v>
      </c>
      <c r="S1426" s="8" t="s">
        <v>31</v>
      </c>
      <c r="T1426" s="8" t="s">
        <v>57</v>
      </c>
      <c r="U1426" s="8" t="s">
        <v>57</v>
      </c>
      <c r="V1426" s="8" t="s">
        <v>31</v>
      </c>
      <c r="W1426" s="8" t="str">
        <f>_xlfn.IFNA(VLOOKUP(A1426,[1]Sheet1!$A$1:$B$101,1,FALSE),"na")</f>
        <v>na</v>
      </c>
      <c r="X1426" s="8" t="s">
        <v>437</v>
      </c>
      <c r="Y1426" s="9">
        <v>1979</v>
      </c>
      <c r="Z1426" s="9">
        <v>154.60937999999999</v>
      </c>
      <c r="AA1426" s="9">
        <v>179.90908999999999</v>
      </c>
      <c r="AB1426" s="9">
        <v>1099.4445000000001</v>
      </c>
    </row>
    <row r="1427" spans="1:28" x14ac:dyDescent="0.25">
      <c r="A1427" s="8" t="s">
        <v>2952</v>
      </c>
      <c r="B1427" s="8" t="s">
        <v>2953</v>
      </c>
      <c r="C1427" s="8" t="s">
        <v>62</v>
      </c>
      <c r="D1427" s="10">
        <v>15.3</v>
      </c>
      <c r="E1427" s="10">
        <v>9</v>
      </c>
      <c r="F1427" s="10">
        <v>6.3000002000000004</v>
      </c>
      <c r="G1427" s="10">
        <v>9</v>
      </c>
      <c r="H1427" s="10">
        <v>6.3000002000000004</v>
      </c>
      <c r="I1427" s="10">
        <v>0</v>
      </c>
      <c r="J1427" s="10">
        <v>0</v>
      </c>
      <c r="K1427" s="10">
        <v>4</v>
      </c>
      <c r="L1427" s="10">
        <v>0.30000000999999998</v>
      </c>
      <c r="M1427" s="10">
        <v>0</v>
      </c>
      <c r="N1427" s="10">
        <v>0.30000000999999998</v>
      </c>
      <c r="O1427" s="8" t="s">
        <v>31</v>
      </c>
      <c r="P1427" s="8" t="s">
        <v>31</v>
      </c>
      <c r="Q1427" s="8" t="s">
        <v>57</v>
      </c>
      <c r="R1427" s="8" t="s">
        <v>31</v>
      </c>
      <c r="S1427" s="8" t="s">
        <v>31</v>
      </c>
      <c r="T1427" s="8" t="s">
        <v>57</v>
      </c>
      <c r="U1427" s="8" t="s">
        <v>31</v>
      </c>
      <c r="V1427" s="8" t="s">
        <v>31</v>
      </c>
      <c r="W1427" s="8" t="str">
        <f>_xlfn.IFNA(VLOOKUP(A1427,[1]Sheet1!$A$1:$B$101,1,FALSE),"na")</f>
        <v>na</v>
      </c>
      <c r="X1427" s="8" t="s">
        <v>2954</v>
      </c>
      <c r="Y1427" s="9">
        <v>1632</v>
      </c>
      <c r="Z1427" s="9">
        <v>106.66665999999999</v>
      </c>
      <c r="AA1427" s="9">
        <v>181.33332999999999</v>
      </c>
      <c r="AB1427" s="9">
        <v>259.04761000000002</v>
      </c>
    </row>
    <row r="1428" spans="1:28" x14ac:dyDescent="0.25">
      <c r="A1428" s="8" t="s">
        <v>2955</v>
      </c>
      <c r="B1428" s="8" t="s">
        <v>2956</v>
      </c>
      <c r="C1428" s="8" t="s">
        <v>62</v>
      </c>
      <c r="D1428" s="10">
        <v>2</v>
      </c>
      <c r="E1428" s="10">
        <v>1</v>
      </c>
      <c r="F1428" s="10">
        <v>1</v>
      </c>
      <c r="G1428" s="10">
        <v>1</v>
      </c>
      <c r="H1428" s="10">
        <v>1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8" t="s">
        <v>57</v>
      </c>
      <c r="P1428" s="8" t="s">
        <v>31</v>
      </c>
      <c r="Q1428" s="8" t="s">
        <v>31</v>
      </c>
      <c r="R1428" s="8" t="s">
        <v>31</v>
      </c>
      <c r="S1428" s="8" t="s">
        <v>31</v>
      </c>
      <c r="T1428" s="8" t="s">
        <v>57</v>
      </c>
      <c r="U1428" s="8" t="s">
        <v>31</v>
      </c>
      <c r="V1428" s="8" t="s">
        <v>31</v>
      </c>
      <c r="W1428" s="8" t="str">
        <f>_xlfn.IFNA(VLOOKUP(A1428,[1]Sheet1!$A$1:$B$101,1,FALSE),"na")</f>
        <v>na</v>
      </c>
      <c r="X1428" s="8" t="s">
        <v>35</v>
      </c>
      <c r="Y1428" s="9">
        <v>213</v>
      </c>
      <c r="Z1428" s="9">
        <v>106.5</v>
      </c>
      <c r="AA1428" s="9">
        <v>213</v>
      </c>
      <c r="AB1428" s="9">
        <v>213</v>
      </c>
    </row>
    <row r="1429" spans="1:28" x14ac:dyDescent="0.25">
      <c r="A1429" s="8" t="s">
        <v>2957</v>
      </c>
      <c r="B1429" s="8" t="s">
        <v>2958</v>
      </c>
      <c r="C1429" s="8" t="s">
        <v>62</v>
      </c>
      <c r="D1429" s="10">
        <v>7.0999999000000003</v>
      </c>
      <c r="E1429" s="10">
        <v>7</v>
      </c>
      <c r="F1429" s="10">
        <v>0.1</v>
      </c>
      <c r="G1429" s="10">
        <v>7</v>
      </c>
      <c r="H1429" s="10">
        <v>0.1</v>
      </c>
      <c r="I1429" s="10">
        <v>0</v>
      </c>
      <c r="J1429" s="10">
        <v>0</v>
      </c>
      <c r="K1429" s="10">
        <v>0</v>
      </c>
      <c r="L1429" s="10">
        <v>0.1</v>
      </c>
      <c r="M1429" s="10">
        <v>0</v>
      </c>
      <c r="N1429" s="10">
        <v>0.1</v>
      </c>
      <c r="O1429" s="8" t="s">
        <v>31</v>
      </c>
      <c r="P1429" s="8" t="s">
        <v>31</v>
      </c>
      <c r="Q1429" s="8" t="s">
        <v>31</v>
      </c>
      <c r="R1429" s="8" t="s">
        <v>31</v>
      </c>
      <c r="S1429" s="8" t="s">
        <v>31</v>
      </c>
      <c r="T1429" s="8" t="s">
        <v>31</v>
      </c>
      <c r="U1429" s="8" t="s">
        <v>31</v>
      </c>
      <c r="V1429" s="8" t="s">
        <v>31</v>
      </c>
      <c r="W1429" s="8" t="str">
        <f>_xlfn.IFNA(VLOOKUP(A1429,[1]Sheet1!$A$1:$B$101,1,FALSE),"na")</f>
        <v>na</v>
      </c>
      <c r="X1429" s="8" t="s">
        <v>35</v>
      </c>
      <c r="Y1429" s="9">
        <v>849</v>
      </c>
      <c r="Z1429" s="9">
        <v>119.57747000000001</v>
      </c>
      <c r="AA1429" s="9">
        <v>121.28570999999999</v>
      </c>
      <c r="AB1429" s="9">
        <v>849</v>
      </c>
    </row>
    <row r="1430" spans="1:28" x14ac:dyDescent="0.25">
      <c r="A1430" s="8" t="s">
        <v>2959</v>
      </c>
      <c r="B1430" s="8" t="s">
        <v>2960</v>
      </c>
      <c r="C1430" s="8" t="s">
        <v>62</v>
      </c>
      <c r="D1430" s="10">
        <v>5.1999997999999996</v>
      </c>
      <c r="E1430" s="10">
        <v>4</v>
      </c>
      <c r="F1430" s="10">
        <v>1.2</v>
      </c>
      <c r="G1430" s="10">
        <v>4</v>
      </c>
      <c r="H1430" s="10">
        <v>1.2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0.2</v>
      </c>
      <c r="O1430" s="8" t="s">
        <v>57</v>
      </c>
      <c r="P1430" s="8" t="s">
        <v>31</v>
      </c>
      <c r="Q1430" s="8" t="s">
        <v>31</v>
      </c>
      <c r="R1430" s="8" t="s">
        <v>31</v>
      </c>
      <c r="S1430" s="8" t="s">
        <v>31</v>
      </c>
      <c r="T1430" s="8" t="s">
        <v>57</v>
      </c>
      <c r="U1430" s="8" t="s">
        <v>31</v>
      </c>
      <c r="V1430" s="8" t="s">
        <v>31</v>
      </c>
      <c r="W1430" s="8" t="str">
        <f>_xlfn.IFNA(VLOOKUP(A1430,[1]Sheet1!$A$1:$B$101,1,FALSE),"na")</f>
        <v>na</v>
      </c>
      <c r="X1430" s="8" t="s">
        <v>35</v>
      </c>
      <c r="Y1430" s="9">
        <v>781</v>
      </c>
      <c r="Z1430" s="9">
        <v>150.19230999999999</v>
      </c>
      <c r="AA1430" s="9">
        <v>195.25</v>
      </c>
      <c r="AB1430" s="9">
        <v>650.83330999999998</v>
      </c>
    </row>
    <row r="1431" spans="1:28" x14ac:dyDescent="0.25">
      <c r="A1431" s="8" t="s">
        <v>2961</v>
      </c>
      <c r="B1431" s="8" t="s">
        <v>2962</v>
      </c>
      <c r="C1431" s="8" t="s">
        <v>62</v>
      </c>
      <c r="D1431" s="10">
        <v>10.199999999999999</v>
      </c>
      <c r="E1431" s="10">
        <v>9</v>
      </c>
      <c r="F1431" s="10">
        <v>1.2</v>
      </c>
      <c r="G1431" s="10">
        <v>9</v>
      </c>
      <c r="H1431" s="10">
        <v>1.2</v>
      </c>
      <c r="I1431" s="10">
        <v>0</v>
      </c>
      <c r="J1431" s="10">
        <v>0</v>
      </c>
      <c r="K1431" s="10">
        <v>4</v>
      </c>
      <c r="L1431" s="10">
        <v>0.2</v>
      </c>
      <c r="M1431" s="10">
        <v>0</v>
      </c>
      <c r="N1431" s="10">
        <v>0.2</v>
      </c>
      <c r="O1431" s="8" t="s">
        <v>57</v>
      </c>
      <c r="P1431" s="8" t="s">
        <v>31</v>
      </c>
      <c r="Q1431" s="8" t="s">
        <v>31</v>
      </c>
      <c r="R1431" s="8" t="s">
        <v>31</v>
      </c>
      <c r="S1431" s="8" t="s">
        <v>31</v>
      </c>
      <c r="T1431" s="8" t="s">
        <v>57</v>
      </c>
      <c r="U1431" s="8" t="s">
        <v>31</v>
      </c>
      <c r="V1431" s="8" t="s">
        <v>31</v>
      </c>
      <c r="W1431" s="8" t="str">
        <f>_xlfn.IFNA(VLOOKUP(A1431,[1]Sheet1!$A$1:$B$101,1,FALSE),"na")</f>
        <v>na</v>
      </c>
      <c r="X1431" s="8" t="s">
        <v>844</v>
      </c>
      <c r="Y1431" s="9">
        <v>1161</v>
      </c>
      <c r="Z1431" s="9">
        <v>113.82353000000001</v>
      </c>
      <c r="AA1431" s="9">
        <v>129</v>
      </c>
      <c r="AB1431" s="9">
        <v>967.49994000000004</v>
      </c>
    </row>
    <row r="1432" spans="1:28" x14ac:dyDescent="0.25">
      <c r="A1432" s="8" t="s">
        <v>2963</v>
      </c>
      <c r="B1432" s="8" t="s">
        <v>2964</v>
      </c>
      <c r="C1432" s="8" t="s">
        <v>62</v>
      </c>
      <c r="D1432" s="10">
        <v>7.1999997999999996</v>
      </c>
      <c r="E1432" s="10">
        <v>6</v>
      </c>
      <c r="F1432" s="10">
        <v>1.2</v>
      </c>
      <c r="G1432" s="10">
        <v>6</v>
      </c>
      <c r="H1432" s="10">
        <v>1.2</v>
      </c>
      <c r="I1432" s="10">
        <v>0</v>
      </c>
      <c r="J1432" s="10">
        <v>0</v>
      </c>
      <c r="K1432" s="10">
        <v>0</v>
      </c>
      <c r="L1432" s="10">
        <v>0.2</v>
      </c>
      <c r="M1432" s="10">
        <v>0</v>
      </c>
      <c r="N1432" s="10">
        <v>0.2</v>
      </c>
      <c r="O1432" s="8" t="s">
        <v>57</v>
      </c>
      <c r="P1432" s="8" t="s">
        <v>31</v>
      </c>
      <c r="Q1432" s="8" t="s">
        <v>31</v>
      </c>
      <c r="R1432" s="8" t="s">
        <v>31</v>
      </c>
      <c r="S1432" s="8" t="s">
        <v>31</v>
      </c>
      <c r="T1432" s="8" t="s">
        <v>31</v>
      </c>
      <c r="U1432" s="8" t="s">
        <v>31</v>
      </c>
      <c r="V1432" s="8" t="s">
        <v>31</v>
      </c>
      <c r="W1432" s="8" t="str">
        <f>_xlfn.IFNA(VLOOKUP(A1432,[1]Sheet1!$A$1:$B$101,1,FALSE),"na")</f>
        <v>na</v>
      </c>
      <c r="X1432" s="8" t="s">
        <v>35</v>
      </c>
      <c r="Y1432" s="9">
        <v>1213</v>
      </c>
      <c r="Z1432" s="9">
        <v>168.47223</v>
      </c>
      <c r="AA1432" s="9">
        <v>202.16667000000001</v>
      </c>
      <c r="AB1432" s="9">
        <v>1010.8333</v>
      </c>
    </row>
    <row r="1433" spans="1:28" x14ac:dyDescent="0.25">
      <c r="A1433" s="8" t="s">
        <v>2965</v>
      </c>
      <c r="B1433" s="8" t="s">
        <v>2966</v>
      </c>
      <c r="C1433" s="8" t="s">
        <v>80</v>
      </c>
      <c r="D1433" s="10">
        <v>3</v>
      </c>
      <c r="E1433" s="10">
        <v>2</v>
      </c>
      <c r="F1433" s="10">
        <v>1</v>
      </c>
      <c r="G1433" s="10">
        <v>2</v>
      </c>
      <c r="H1433" s="10">
        <v>1</v>
      </c>
      <c r="I1433" s="10">
        <v>0</v>
      </c>
      <c r="J1433" s="10">
        <v>0</v>
      </c>
      <c r="K1433" s="10">
        <v>0</v>
      </c>
      <c r="L1433" s="10">
        <v>0</v>
      </c>
      <c r="M1433" s="10">
        <v>0</v>
      </c>
      <c r="N1433" s="10">
        <v>0</v>
      </c>
      <c r="O1433" s="8" t="s">
        <v>57</v>
      </c>
      <c r="P1433" s="8" t="s">
        <v>31</v>
      </c>
      <c r="Q1433" s="8" t="s">
        <v>31</v>
      </c>
      <c r="R1433" s="8" t="s">
        <v>31</v>
      </c>
      <c r="S1433" s="8" t="s">
        <v>31</v>
      </c>
      <c r="T1433" s="8" t="s">
        <v>31</v>
      </c>
      <c r="U1433" s="8" t="s">
        <v>31</v>
      </c>
      <c r="V1433" s="8" t="s">
        <v>31</v>
      </c>
      <c r="W1433" s="8" t="str">
        <f>_xlfn.IFNA(VLOOKUP(A1433,[1]Sheet1!$A$1:$B$101,1,FALSE),"na")</f>
        <v>na</v>
      </c>
      <c r="X1433" s="8" t="s">
        <v>35</v>
      </c>
      <c r="Y1433" s="9">
        <v>530</v>
      </c>
      <c r="Z1433" s="9">
        <v>176.66667000000001</v>
      </c>
      <c r="AA1433" s="9">
        <v>265</v>
      </c>
      <c r="AB1433" s="9">
        <v>530</v>
      </c>
    </row>
    <row r="1434" spans="1:28" x14ac:dyDescent="0.25">
      <c r="A1434" s="8" t="s">
        <v>2967</v>
      </c>
      <c r="B1434" s="8" t="s">
        <v>2968</v>
      </c>
      <c r="C1434" s="8" t="s">
        <v>30</v>
      </c>
      <c r="D1434" s="10">
        <v>1.2</v>
      </c>
      <c r="E1434" s="10">
        <v>0.80000000999999998</v>
      </c>
      <c r="F1434" s="10">
        <v>0.40000001000000002</v>
      </c>
      <c r="G1434" s="10">
        <v>0</v>
      </c>
      <c r="H1434" s="10">
        <v>0.40000001000000002</v>
      </c>
      <c r="I1434" s="10">
        <v>0.80000000999999998</v>
      </c>
      <c r="J1434" s="10">
        <v>0</v>
      </c>
      <c r="K1434" s="10">
        <v>0</v>
      </c>
      <c r="L1434" s="10">
        <v>0</v>
      </c>
      <c r="M1434" s="10">
        <v>0</v>
      </c>
      <c r="N1434" s="10">
        <v>0.40000001000000002</v>
      </c>
      <c r="O1434" s="8" t="s">
        <v>31</v>
      </c>
      <c r="P1434" s="8" t="s">
        <v>31</v>
      </c>
      <c r="Q1434" s="8" t="s">
        <v>31</v>
      </c>
      <c r="R1434" s="8" t="s">
        <v>31</v>
      </c>
      <c r="S1434" s="8" t="s">
        <v>31</v>
      </c>
      <c r="T1434" s="8" t="s">
        <v>31</v>
      </c>
      <c r="U1434" s="8" t="s">
        <v>31</v>
      </c>
      <c r="V1434" s="8" t="s">
        <v>31</v>
      </c>
      <c r="W1434" s="8" t="str">
        <f>_xlfn.IFNA(VLOOKUP(A1434,[1]Sheet1!$A$1:$B$101,1,FALSE),"na")</f>
        <v>na</v>
      </c>
      <c r="X1434" s="8" t="s">
        <v>35</v>
      </c>
      <c r="Y1434" s="9">
        <v>457</v>
      </c>
      <c r="Z1434" s="9">
        <v>380.83330999999998</v>
      </c>
      <c r="AA1434" s="9">
        <v>457</v>
      </c>
      <c r="AB1434" s="9">
        <v>457</v>
      </c>
    </row>
    <row r="1435" spans="1:28" x14ac:dyDescent="0.25">
      <c r="A1435" s="8" t="s">
        <v>2969</v>
      </c>
      <c r="B1435" s="8" t="s">
        <v>2970</v>
      </c>
      <c r="C1435" s="8" t="s">
        <v>67</v>
      </c>
      <c r="D1435" s="10">
        <v>4.6999997999999996</v>
      </c>
      <c r="E1435" s="10">
        <v>3</v>
      </c>
      <c r="F1435" s="10">
        <v>1.7</v>
      </c>
      <c r="G1435" s="10">
        <v>3</v>
      </c>
      <c r="H1435" s="10">
        <v>1.2</v>
      </c>
      <c r="I1435" s="10">
        <v>0</v>
      </c>
      <c r="J1435" s="10">
        <v>0.5</v>
      </c>
      <c r="K1435" s="10">
        <v>0</v>
      </c>
      <c r="L1435" s="10">
        <v>0</v>
      </c>
      <c r="M1435" s="10">
        <v>0</v>
      </c>
      <c r="N1435" s="10">
        <v>1.2</v>
      </c>
      <c r="O1435" s="8" t="s">
        <v>31</v>
      </c>
      <c r="P1435" s="8" t="s">
        <v>31</v>
      </c>
      <c r="Q1435" s="8" t="s">
        <v>31</v>
      </c>
      <c r="R1435" s="8" t="s">
        <v>31</v>
      </c>
      <c r="S1435" s="8" t="s">
        <v>31</v>
      </c>
      <c r="T1435" s="8" t="s">
        <v>31</v>
      </c>
      <c r="U1435" s="8" t="s">
        <v>31</v>
      </c>
      <c r="V1435" s="8" t="s">
        <v>31</v>
      </c>
      <c r="W1435" s="8" t="str">
        <f>_xlfn.IFNA(VLOOKUP(A1435,[1]Sheet1!$A$1:$B$101,1,FALSE),"na")</f>
        <v>na</v>
      </c>
      <c r="X1435" s="8" t="s">
        <v>35</v>
      </c>
      <c r="Y1435" s="9">
        <v>976</v>
      </c>
      <c r="Z1435" s="9">
        <v>207.65958000000001</v>
      </c>
      <c r="AA1435" s="9">
        <v>325.33334000000002</v>
      </c>
      <c r="AB1435" s="9">
        <v>574.11761000000001</v>
      </c>
    </row>
    <row r="1436" spans="1:28" x14ac:dyDescent="0.25">
      <c r="A1436" s="8" t="s">
        <v>2971</v>
      </c>
      <c r="B1436" s="8" t="s">
        <v>2972</v>
      </c>
      <c r="C1436" s="8" t="s">
        <v>30</v>
      </c>
      <c r="D1436" s="10">
        <v>2.8</v>
      </c>
      <c r="E1436" s="10">
        <v>2</v>
      </c>
      <c r="F1436" s="10">
        <v>0.80000000999999998</v>
      </c>
      <c r="G1436" s="10">
        <v>2</v>
      </c>
      <c r="H1436" s="10">
        <v>0.80000000999999998</v>
      </c>
      <c r="I1436" s="10">
        <v>0</v>
      </c>
      <c r="J1436" s="10">
        <v>0</v>
      </c>
      <c r="K1436" s="10">
        <v>0</v>
      </c>
      <c r="L1436" s="10">
        <v>0</v>
      </c>
      <c r="M1436" s="10">
        <v>0</v>
      </c>
      <c r="N1436" s="10">
        <v>0.80000000999999998</v>
      </c>
      <c r="O1436" s="8" t="s">
        <v>31</v>
      </c>
      <c r="P1436" s="8" t="s">
        <v>31</v>
      </c>
      <c r="Q1436" s="8" t="s">
        <v>31</v>
      </c>
      <c r="R1436" s="8" t="s">
        <v>31</v>
      </c>
      <c r="S1436" s="8" t="s">
        <v>31</v>
      </c>
      <c r="T1436" s="8" t="s">
        <v>31</v>
      </c>
      <c r="U1436" s="8" t="s">
        <v>31</v>
      </c>
      <c r="V1436" s="8" t="s">
        <v>31</v>
      </c>
      <c r="W1436" s="8" t="str">
        <f>_xlfn.IFNA(VLOOKUP(A1436,[1]Sheet1!$A$1:$B$101,1,FALSE),"na")</f>
        <v>na</v>
      </c>
      <c r="X1436" s="8" t="s">
        <v>35</v>
      </c>
      <c r="Y1436" s="9">
        <v>671</v>
      </c>
      <c r="Z1436" s="9">
        <v>239.64286999999999</v>
      </c>
      <c r="AA1436" s="9">
        <v>335.5</v>
      </c>
      <c r="AB1436" s="9">
        <v>671</v>
      </c>
    </row>
    <row r="1437" spans="1:28" x14ac:dyDescent="0.25">
      <c r="A1437" s="8" t="s">
        <v>2973</v>
      </c>
      <c r="B1437" s="8" t="s">
        <v>2974</v>
      </c>
      <c r="C1437" s="8" t="s">
        <v>30</v>
      </c>
      <c r="D1437" s="10">
        <v>2.4000001000000002</v>
      </c>
      <c r="E1437" s="10">
        <v>1</v>
      </c>
      <c r="F1437" s="10">
        <v>1.4</v>
      </c>
      <c r="G1437" s="10">
        <v>1</v>
      </c>
      <c r="H1437" s="10">
        <v>1.4</v>
      </c>
      <c r="I1437" s="10">
        <v>0</v>
      </c>
      <c r="J1437" s="10">
        <v>0</v>
      </c>
      <c r="K1437" s="10">
        <v>0</v>
      </c>
      <c r="L1437" s="10">
        <v>0</v>
      </c>
      <c r="M1437" s="10">
        <v>0</v>
      </c>
      <c r="N1437" s="10">
        <v>0.40000001000000002</v>
      </c>
      <c r="O1437" s="8" t="s">
        <v>31</v>
      </c>
      <c r="P1437" s="8" t="s">
        <v>31</v>
      </c>
      <c r="Q1437" s="8" t="s">
        <v>31</v>
      </c>
      <c r="R1437" s="8" t="s">
        <v>31</v>
      </c>
      <c r="S1437" s="8" t="s">
        <v>31</v>
      </c>
      <c r="T1437" s="8" t="s">
        <v>31</v>
      </c>
      <c r="U1437" s="8" t="s">
        <v>31</v>
      </c>
      <c r="V1437" s="8" t="s">
        <v>31</v>
      </c>
      <c r="W1437" s="8" t="str">
        <f>_xlfn.IFNA(VLOOKUP(A1437,[1]Sheet1!$A$1:$B$101,1,FALSE),"na")</f>
        <v>na</v>
      </c>
      <c r="X1437" s="8" t="s">
        <v>35</v>
      </c>
      <c r="Y1437" s="9">
        <v>869</v>
      </c>
      <c r="Z1437" s="9">
        <v>362.08330999999998</v>
      </c>
      <c r="AA1437" s="9">
        <v>869</v>
      </c>
      <c r="AB1437" s="9">
        <v>620.71429000000001</v>
      </c>
    </row>
    <row r="1438" spans="1:28" x14ac:dyDescent="0.25">
      <c r="A1438" s="8" t="s">
        <v>2975</v>
      </c>
      <c r="B1438" s="8" t="s">
        <v>2976</v>
      </c>
      <c r="C1438" s="8" t="s">
        <v>30</v>
      </c>
      <c r="D1438" s="10">
        <v>2.5</v>
      </c>
      <c r="E1438" s="10">
        <v>1.3</v>
      </c>
      <c r="F1438" s="10">
        <v>1.2</v>
      </c>
      <c r="G1438" s="10">
        <v>1</v>
      </c>
      <c r="H1438" s="10">
        <v>1.2</v>
      </c>
      <c r="I1438" s="10">
        <v>0.30000000999999998</v>
      </c>
      <c r="J1438" s="10">
        <v>0</v>
      </c>
      <c r="K1438" s="10">
        <v>0</v>
      </c>
      <c r="L1438" s="10">
        <v>0</v>
      </c>
      <c r="M1438" s="10">
        <v>1</v>
      </c>
      <c r="N1438" s="10">
        <v>0.2</v>
      </c>
      <c r="O1438" s="8" t="s">
        <v>57</v>
      </c>
      <c r="P1438" s="8" t="s">
        <v>57</v>
      </c>
      <c r="Q1438" s="8" t="s">
        <v>31</v>
      </c>
      <c r="R1438" s="8" t="s">
        <v>31</v>
      </c>
      <c r="S1438" s="8" t="s">
        <v>31</v>
      </c>
      <c r="T1438" s="8" t="s">
        <v>31</v>
      </c>
      <c r="U1438" s="8" t="s">
        <v>31</v>
      </c>
      <c r="V1438" s="8" t="s">
        <v>31</v>
      </c>
      <c r="W1438" s="8" t="str">
        <f>_xlfn.IFNA(VLOOKUP(A1438,[1]Sheet1!$A$1:$B$101,1,FALSE),"na")</f>
        <v>na</v>
      </c>
      <c r="X1438" s="8" t="s">
        <v>35</v>
      </c>
      <c r="Y1438" s="9">
        <v>319</v>
      </c>
      <c r="Z1438" s="9">
        <v>127.6</v>
      </c>
      <c r="AA1438" s="9">
        <v>245.38462999999999</v>
      </c>
      <c r="AB1438" s="9">
        <v>265.83330999999998</v>
      </c>
    </row>
    <row r="1439" spans="1:28" x14ac:dyDescent="0.25">
      <c r="A1439" s="8" t="s">
        <v>2977</v>
      </c>
      <c r="B1439" s="8" t="s">
        <v>2978</v>
      </c>
      <c r="C1439" s="8" t="s">
        <v>30</v>
      </c>
      <c r="D1439" s="10">
        <v>1.4</v>
      </c>
      <c r="E1439" s="10">
        <v>1</v>
      </c>
      <c r="F1439" s="10">
        <v>0.40000001000000002</v>
      </c>
      <c r="G1439" s="10">
        <v>1</v>
      </c>
      <c r="H1439" s="10">
        <v>0.40000001000000002</v>
      </c>
      <c r="I1439" s="10">
        <v>0</v>
      </c>
      <c r="J1439" s="10">
        <v>0</v>
      </c>
      <c r="K1439" s="10">
        <v>0</v>
      </c>
      <c r="L1439" s="10">
        <v>0</v>
      </c>
      <c r="M1439" s="10">
        <v>0</v>
      </c>
      <c r="N1439" s="10">
        <v>0.40000001000000002</v>
      </c>
      <c r="O1439" s="8" t="s">
        <v>31</v>
      </c>
      <c r="P1439" s="8" t="s">
        <v>31</v>
      </c>
      <c r="Q1439" s="8" t="s">
        <v>31</v>
      </c>
      <c r="R1439" s="8" t="s">
        <v>31</v>
      </c>
      <c r="S1439" s="8" t="s">
        <v>31</v>
      </c>
      <c r="T1439" s="8" t="s">
        <v>31</v>
      </c>
      <c r="U1439" s="8" t="s">
        <v>31</v>
      </c>
      <c r="V1439" s="8" t="s">
        <v>31</v>
      </c>
      <c r="W1439" s="8" t="str">
        <f>_xlfn.IFNA(VLOOKUP(A1439,[1]Sheet1!$A$1:$B$101,1,FALSE),"na")</f>
        <v>na</v>
      </c>
      <c r="X1439" s="8" t="s">
        <v>35</v>
      </c>
      <c r="Y1439" s="9">
        <v>535</v>
      </c>
      <c r="Z1439" s="9">
        <v>382.14285000000001</v>
      </c>
      <c r="AA1439" s="9">
        <v>535</v>
      </c>
      <c r="AB1439" s="9">
        <v>535</v>
      </c>
    </row>
    <row r="1440" spans="1:28" x14ac:dyDescent="0.25">
      <c r="A1440" s="8" t="s">
        <v>2979</v>
      </c>
      <c r="B1440" s="8" t="s">
        <v>2980</v>
      </c>
      <c r="C1440" s="8" t="s">
        <v>67</v>
      </c>
      <c r="D1440" s="10">
        <v>3.0999998999999998</v>
      </c>
      <c r="E1440" s="10">
        <v>2</v>
      </c>
      <c r="F1440" s="10">
        <v>1.1000000000000001</v>
      </c>
      <c r="G1440" s="10">
        <v>2</v>
      </c>
      <c r="H1440" s="10">
        <v>1.1000000000000001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0.1</v>
      </c>
      <c r="O1440" s="8" t="s">
        <v>31</v>
      </c>
      <c r="P1440" s="8" t="s">
        <v>31</v>
      </c>
      <c r="Q1440" s="8" t="s">
        <v>31</v>
      </c>
      <c r="R1440" s="8" t="s">
        <v>31</v>
      </c>
      <c r="S1440" s="8" t="s">
        <v>31</v>
      </c>
      <c r="T1440" s="8" t="s">
        <v>31</v>
      </c>
      <c r="U1440" s="8" t="s">
        <v>31</v>
      </c>
      <c r="V1440" s="8" t="s">
        <v>31</v>
      </c>
      <c r="W1440" s="8" t="str">
        <f>_xlfn.IFNA(VLOOKUP(A1440,[1]Sheet1!$A$1:$B$101,1,FALSE),"na")</f>
        <v>na</v>
      </c>
      <c r="X1440" s="8" t="s">
        <v>35</v>
      </c>
      <c r="Y1440" s="9">
        <v>1179</v>
      </c>
      <c r="Z1440" s="9">
        <v>380.32260000000002</v>
      </c>
      <c r="AA1440" s="9">
        <v>589.5</v>
      </c>
      <c r="AB1440" s="9">
        <v>1071.8181</v>
      </c>
    </row>
    <row r="1441" spans="1:28" x14ac:dyDescent="0.25">
      <c r="A1441" s="8" t="s">
        <v>2981</v>
      </c>
      <c r="B1441" s="8" t="s">
        <v>2982</v>
      </c>
      <c r="C1441" s="8" t="s">
        <v>30</v>
      </c>
      <c r="D1441" s="10">
        <v>1.6</v>
      </c>
      <c r="E1441" s="10">
        <v>0</v>
      </c>
      <c r="F1441" s="10">
        <v>1.6</v>
      </c>
      <c r="G1441" s="10">
        <v>0</v>
      </c>
      <c r="H1441" s="10">
        <v>1.6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0.60000001999999997</v>
      </c>
      <c r="O1441" s="8" t="s">
        <v>57</v>
      </c>
      <c r="P1441" s="8" t="s">
        <v>31</v>
      </c>
      <c r="Q1441" s="8" t="s">
        <v>31</v>
      </c>
      <c r="R1441" s="8" t="s">
        <v>31</v>
      </c>
      <c r="S1441" s="8" t="s">
        <v>31</v>
      </c>
      <c r="T1441" s="8" t="s">
        <v>31</v>
      </c>
      <c r="U1441" s="8" t="s">
        <v>31</v>
      </c>
      <c r="V1441" s="8" t="s">
        <v>31</v>
      </c>
      <c r="W1441" s="8" t="str">
        <f>_xlfn.IFNA(VLOOKUP(A1441,[1]Sheet1!$A$1:$B$101,1,FALSE),"na")</f>
        <v>na</v>
      </c>
      <c r="X1441" s="8" t="s">
        <v>35</v>
      </c>
      <c r="Y1441" s="9">
        <v>541</v>
      </c>
      <c r="Z1441" s="9">
        <v>338.125</v>
      </c>
      <c r="AA1441" s="9">
        <v>541</v>
      </c>
      <c r="AB1441" s="9">
        <v>338.125</v>
      </c>
    </row>
    <row r="1442" spans="1:28" x14ac:dyDescent="0.25">
      <c r="A1442" s="8" t="s">
        <v>2983</v>
      </c>
      <c r="B1442" s="8" t="s">
        <v>2984</v>
      </c>
      <c r="C1442" s="8" t="s">
        <v>30</v>
      </c>
      <c r="D1442" s="10">
        <v>3.5999998999999998</v>
      </c>
      <c r="E1442" s="10">
        <v>1.4</v>
      </c>
      <c r="F1442" s="10">
        <v>2.2000000000000002</v>
      </c>
      <c r="G1442" s="10">
        <v>1</v>
      </c>
      <c r="H1442" s="10">
        <v>2.2000000000000002</v>
      </c>
      <c r="I1442" s="10">
        <v>0.40000001000000002</v>
      </c>
      <c r="J1442" s="10">
        <v>0</v>
      </c>
      <c r="K1442" s="10">
        <v>0</v>
      </c>
      <c r="L1442" s="10">
        <v>0</v>
      </c>
      <c r="M1442" s="10">
        <v>0</v>
      </c>
      <c r="N1442" s="10">
        <v>0.2</v>
      </c>
      <c r="O1442" s="8" t="s">
        <v>57</v>
      </c>
      <c r="P1442" s="8" t="s">
        <v>31</v>
      </c>
      <c r="Q1442" s="8" t="s">
        <v>31</v>
      </c>
      <c r="R1442" s="8" t="s">
        <v>31</v>
      </c>
      <c r="S1442" s="8" t="s">
        <v>31</v>
      </c>
      <c r="T1442" s="8" t="s">
        <v>31</v>
      </c>
      <c r="U1442" s="8" t="s">
        <v>31</v>
      </c>
      <c r="V1442" s="8" t="s">
        <v>31</v>
      </c>
      <c r="W1442" s="8" t="str">
        <f>_xlfn.IFNA(VLOOKUP(A1442,[1]Sheet1!$A$1:$B$101,1,FALSE),"na")</f>
        <v>na</v>
      </c>
      <c r="X1442" s="8" t="s">
        <v>35</v>
      </c>
      <c r="Y1442" s="9">
        <v>312</v>
      </c>
      <c r="Z1442" s="9">
        <v>86.666672000000005</v>
      </c>
      <c r="AA1442" s="9">
        <v>222.85714999999999</v>
      </c>
      <c r="AB1442" s="9">
        <v>141.81818000000001</v>
      </c>
    </row>
    <row r="1443" spans="1:28" x14ac:dyDescent="0.25">
      <c r="A1443" s="8" t="s">
        <v>2985</v>
      </c>
      <c r="B1443" s="8" t="s">
        <v>2986</v>
      </c>
      <c r="C1443" s="8" t="s">
        <v>30</v>
      </c>
      <c r="D1443" s="10">
        <v>2.5999998999999998</v>
      </c>
      <c r="E1443" s="10">
        <v>1</v>
      </c>
      <c r="F1443" s="10">
        <v>1.6</v>
      </c>
      <c r="G1443" s="10">
        <v>1</v>
      </c>
      <c r="H1443" s="10">
        <v>1.6</v>
      </c>
      <c r="I1443" s="10">
        <v>0</v>
      </c>
      <c r="J1443" s="10">
        <v>0</v>
      </c>
      <c r="K1443" s="10">
        <v>0</v>
      </c>
      <c r="L1443" s="10">
        <v>0.60000001999999997</v>
      </c>
      <c r="M1443" s="10">
        <v>0</v>
      </c>
      <c r="N1443" s="10">
        <v>0.60000001999999997</v>
      </c>
      <c r="O1443" s="8" t="s">
        <v>57</v>
      </c>
      <c r="P1443" s="8" t="s">
        <v>31</v>
      </c>
      <c r="Q1443" s="8" t="s">
        <v>31</v>
      </c>
      <c r="R1443" s="8" t="s">
        <v>31</v>
      </c>
      <c r="S1443" s="8" t="s">
        <v>31</v>
      </c>
      <c r="T1443" s="8" t="s">
        <v>31</v>
      </c>
      <c r="U1443" s="8" t="s">
        <v>31</v>
      </c>
      <c r="V1443" s="8" t="s">
        <v>31</v>
      </c>
      <c r="W1443" s="8" t="str">
        <f>_xlfn.IFNA(VLOOKUP(A1443,[1]Sheet1!$A$1:$B$101,1,FALSE),"na")</f>
        <v>na</v>
      </c>
      <c r="X1443" s="8" t="s">
        <v>806</v>
      </c>
      <c r="Y1443" s="9">
        <v>187</v>
      </c>
      <c r="Z1443" s="9">
        <v>71.923079999999999</v>
      </c>
      <c r="AA1443" s="9">
        <v>187</v>
      </c>
      <c r="AB1443" s="9">
        <v>116.875</v>
      </c>
    </row>
    <row r="1444" spans="1:28" x14ac:dyDescent="0.25">
      <c r="A1444" s="8" t="s">
        <v>2987</v>
      </c>
      <c r="B1444" s="8" t="s">
        <v>2988</v>
      </c>
      <c r="C1444" s="8" t="s">
        <v>30</v>
      </c>
      <c r="D1444" s="10">
        <v>1.4</v>
      </c>
      <c r="E1444" s="10">
        <v>0</v>
      </c>
      <c r="F1444" s="10">
        <v>1.4</v>
      </c>
      <c r="G1444" s="10">
        <v>0</v>
      </c>
      <c r="H1444" s="10">
        <v>1.4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0.40000001000000002</v>
      </c>
      <c r="O1444" s="8" t="s">
        <v>57</v>
      </c>
      <c r="P1444" s="8" t="s">
        <v>31</v>
      </c>
      <c r="Q1444" s="8" t="s">
        <v>31</v>
      </c>
      <c r="R1444" s="8" t="s">
        <v>31</v>
      </c>
      <c r="S1444" s="8" t="s">
        <v>31</v>
      </c>
      <c r="T1444" s="8" t="s">
        <v>31</v>
      </c>
      <c r="U1444" s="8" t="s">
        <v>31</v>
      </c>
      <c r="V1444" s="8" t="s">
        <v>31</v>
      </c>
      <c r="W1444" s="8" t="str">
        <f>_xlfn.IFNA(VLOOKUP(A1444,[1]Sheet1!$A$1:$B$101,1,FALSE),"na")</f>
        <v>na</v>
      </c>
      <c r="X1444" s="8" t="s">
        <v>35</v>
      </c>
      <c r="Y1444" s="9">
        <v>284</v>
      </c>
      <c r="Z1444" s="9">
        <v>202.85714999999999</v>
      </c>
      <c r="AA1444" s="9">
        <v>284</v>
      </c>
      <c r="AB1444" s="9">
        <v>202.85714999999999</v>
      </c>
    </row>
    <row r="1445" spans="1:28" x14ac:dyDescent="0.25">
      <c r="A1445" s="8" t="s">
        <v>2989</v>
      </c>
      <c r="B1445" s="8" t="s">
        <v>2990</v>
      </c>
      <c r="C1445" s="8" t="s">
        <v>30</v>
      </c>
      <c r="D1445" s="10">
        <v>3</v>
      </c>
      <c r="E1445" s="10">
        <v>2</v>
      </c>
      <c r="F1445" s="10">
        <v>1</v>
      </c>
      <c r="G1445" s="10">
        <v>2</v>
      </c>
      <c r="H1445" s="10">
        <v>1</v>
      </c>
      <c r="I1445" s="10">
        <v>0</v>
      </c>
      <c r="J1445" s="10">
        <v>0</v>
      </c>
      <c r="K1445" s="10">
        <v>0</v>
      </c>
      <c r="L1445" s="10">
        <v>0.40000001000000002</v>
      </c>
      <c r="M1445" s="10">
        <v>0</v>
      </c>
      <c r="N1445" s="10">
        <v>1</v>
      </c>
      <c r="O1445" s="8" t="s">
        <v>31</v>
      </c>
      <c r="P1445" s="8" t="s">
        <v>31</v>
      </c>
      <c r="Q1445" s="8" t="s">
        <v>31</v>
      </c>
      <c r="R1445" s="8" t="s">
        <v>31</v>
      </c>
      <c r="S1445" s="8" t="s">
        <v>31</v>
      </c>
      <c r="T1445" s="8" t="s">
        <v>31</v>
      </c>
      <c r="U1445" s="8" t="s">
        <v>31</v>
      </c>
      <c r="V1445" s="8" t="s">
        <v>31</v>
      </c>
      <c r="W1445" s="8" t="str">
        <f>_xlfn.IFNA(VLOOKUP(A1445,[1]Sheet1!$A$1:$B$101,1,FALSE),"na")</f>
        <v>na</v>
      </c>
      <c r="X1445" s="8" t="s">
        <v>35</v>
      </c>
      <c r="Y1445" s="9">
        <v>773</v>
      </c>
      <c r="Z1445" s="9">
        <v>257.66665999999998</v>
      </c>
      <c r="AA1445" s="9">
        <v>386.5</v>
      </c>
      <c r="AB1445" s="9">
        <v>773</v>
      </c>
    </row>
    <row r="1446" spans="1:28" x14ac:dyDescent="0.25">
      <c r="A1446" s="8" t="s">
        <v>2991</v>
      </c>
      <c r="B1446" s="8" t="s">
        <v>2992</v>
      </c>
      <c r="C1446" s="8" t="s">
        <v>30</v>
      </c>
      <c r="D1446" s="10">
        <v>3.8</v>
      </c>
      <c r="E1446" s="10">
        <v>1</v>
      </c>
      <c r="F1446" s="10">
        <v>2.8</v>
      </c>
      <c r="G1446" s="10">
        <v>1</v>
      </c>
      <c r="H1446" s="10">
        <v>2.8</v>
      </c>
      <c r="I1446" s="10">
        <v>0</v>
      </c>
      <c r="J1446" s="10">
        <v>0</v>
      </c>
      <c r="K1446" s="10">
        <v>0</v>
      </c>
      <c r="L1446" s="10">
        <v>0.40000001000000002</v>
      </c>
      <c r="M1446" s="10">
        <v>0</v>
      </c>
      <c r="N1446" s="10">
        <v>0.80000000999999998</v>
      </c>
      <c r="O1446" s="8" t="s">
        <v>31</v>
      </c>
      <c r="P1446" s="8" t="s">
        <v>31</v>
      </c>
      <c r="Q1446" s="8" t="s">
        <v>57</v>
      </c>
      <c r="R1446" s="8" t="s">
        <v>31</v>
      </c>
      <c r="S1446" s="8" t="s">
        <v>31</v>
      </c>
      <c r="T1446" s="8" t="s">
        <v>31</v>
      </c>
      <c r="U1446" s="8" t="s">
        <v>31</v>
      </c>
      <c r="V1446" s="8" t="s">
        <v>31</v>
      </c>
      <c r="W1446" s="8" t="str">
        <f>_xlfn.IFNA(VLOOKUP(A1446,[1]Sheet1!$A$1:$B$101,1,FALSE),"na")</f>
        <v>na</v>
      </c>
      <c r="X1446" s="8" t="s">
        <v>806</v>
      </c>
      <c r="Y1446" s="9">
        <v>381</v>
      </c>
      <c r="Z1446" s="9">
        <v>100.26316</v>
      </c>
      <c r="AA1446" s="9">
        <v>381</v>
      </c>
      <c r="AB1446" s="9">
        <v>136.07142999999999</v>
      </c>
    </row>
    <row r="1447" spans="1:28" x14ac:dyDescent="0.25">
      <c r="A1447" s="8" t="s">
        <v>2993</v>
      </c>
      <c r="B1447" s="8" t="s">
        <v>2994</v>
      </c>
      <c r="C1447" s="8" t="s">
        <v>30</v>
      </c>
      <c r="D1447" s="10">
        <v>2.5999998999999998</v>
      </c>
      <c r="E1447" s="10">
        <v>2</v>
      </c>
      <c r="F1447" s="10">
        <v>0.60000001999999997</v>
      </c>
      <c r="G1447" s="10">
        <v>2</v>
      </c>
      <c r="H1447" s="10">
        <v>0.60000001999999997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0.60000001999999997</v>
      </c>
      <c r="O1447" s="8" t="s">
        <v>31</v>
      </c>
      <c r="P1447" s="8" t="s">
        <v>31</v>
      </c>
      <c r="Q1447" s="8" t="s">
        <v>31</v>
      </c>
      <c r="R1447" s="8" t="s">
        <v>31</v>
      </c>
      <c r="S1447" s="8" t="s">
        <v>31</v>
      </c>
      <c r="T1447" s="8" t="s">
        <v>31</v>
      </c>
      <c r="U1447" s="8" t="s">
        <v>31</v>
      </c>
      <c r="V1447" s="8" t="s">
        <v>31</v>
      </c>
      <c r="W1447" s="8" t="str">
        <f>_xlfn.IFNA(VLOOKUP(A1447,[1]Sheet1!$A$1:$B$101,1,FALSE),"na")</f>
        <v>na</v>
      </c>
      <c r="X1447" s="8" t="s">
        <v>2995</v>
      </c>
      <c r="Y1447" s="9">
        <v>313</v>
      </c>
      <c r="Z1447" s="9">
        <v>120.38462</v>
      </c>
      <c r="AA1447" s="9">
        <v>156.5</v>
      </c>
      <c r="AB1447" s="9">
        <v>313</v>
      </c>
    </row>
    <row r="1448" spans="1:28" x14ac:dyDescent="0.25">
      <c r="A1448" s="8" t="s">
        <v>2996</v>
      </c>
      <c r="B1448" s="8" t="s">
        <v>2997</v>
      </c>
      <c r="C1448" s="8" t="s">
        <v>30</v>
      </c>
      <c r="D1448" s="10">
        <v>1.6</v>
      </c>
      <c r="E1448" s="10">
        <v>1</v>
      </c>
      <c r="F1448" s="10">
        <v>0.60000001999999997</v>
      </c>
      <c r="G1448" s="10">
        <v>1</v>
      </c>
      <c r="H1448" s="10">
        <v>0.60000001999999997</v>
      </c>
      <c r="I1448" s="10">
        <v>0</v>
      </c>
      <c r="J1448" s="10">
        <v>0</v>
      </c>
      <c r="K1448" s="10">
        <v>0</v>
      </c>
      <c r="L1448" s="10">
        <v>0.60000001999999997</v>
      </c>
      <c r="M1448" s="10">
        <v>0</v>
      </c>
      <c r="N1448" s="10">
        <v>0.60000001999999997</v>
      </c>
      <c r="O1448" s="8" t="s">
        <v>31</v>
      </c>
      <c r="P1448" s="8" t="s">
        <v>31</v>
      </c>
      <c r="Q1448" s="8" t="s">
        <v>31</v>
      </c>
      <c r="R1448" s="8" t="s">
        <v>31</v>
      </c>
      <c r="S1448" s="8" t="s">
        <v>31</v>
      </c>
      <c r="T1448" s="8" t="s">
        <v>31</v>
      </c>
      <c r="U1448" s="8" t="s">
        <v>31</v>
      </c>
      <c r="V1448" s="8" t="s">
        <v>31</v>
      </c>
      <c r="W1448" s="8" t="str">
        <f>_xlfn.IFNA(VLOOKUP(A1448,[1]Sheet1!$A$1:$B$101,1,FALSE),"na")</f>
        <v>na</v>
      </c>
      <c r="X1448" s="8" t="s">
        <v>35</v>
      </c>
      <c r="Y1448" s="9">
        <v>462</v>
      </c>
      <c r="Z1448" s="9">
        <v>288.75</v>
      </c>
      <c r="AA1448" s="9">
        <v>462</v>
      </c>
      <c r="AB1448" s="9">
        <v>462</v>
      </c>
    </row>
    <row r="1449" spans="1:28" x14ac:dyDescent="0.25">
      <c r="A1449" s="8" t="s">
        <v>2998</v>
      </c>
      <c r="B1449" s="8" t="s">
        <v>2999</v>
      </c>
      <c r="C1449" s="8" t="s">
        <v>30</v>
      </c>
      <c r="D1449" s="10">
        <v>1.4</v>
      </c>
      <c r="E1449" s="10">
        <v>1</v>
      </c>
      <c r="F1449" s="10">
        <v>0.40000001000000002</v>
      </c>
      <c r="G1449" s="10">
        <v>1</v>
      </c>
      <c r="H1449" s="10">
        <v>0.40000001000000002</v>
      </c>
      <c r="I1449" s="10">
        <v>0</v>
      </c>
      <c r="J1449" s="10">
        <v>0</v>
      </c>
      <c r="K1449" s="10">
        <v>1</v>
      </c>
      <c r="L1449" s="10">
        <v>0.40000001000000002</v>
      </c>
      <c r="M1449" s="10">
        <v>0</v>
      </c>
      <c r="N1449" s="10">
        <v>0.40000001000000002</v>
      </c>
      <c r="O1449" s="8" t="s">
        <v>31</v>
      </c>
      <c r="P1449" s="8" t="s">
        <v>31</v>
      </c>
      <c r="Q1449" s="8" t="s">
        <v>31</v>
      </c>
      <c r="R1449" s="8" t="s">
        <v>31</v>
      </c>
      <c r="S1449" s="8" t="s">
        <v>31</v>
      </c>
      <c r="T1449" s="8" t="s">
        <v>31</v>
      </c>
      <c r="U1449" s="8" t="s">
        <v>31</v>
      </c>
      <c r="V1449" s="8" t="s">
        <v>31</v>
      </c>
      <c r="W1449" s="8" t="str">
        <f>_xlfn.IFNA(VLOOKUP(A1449,[1]Sheet1!$A$1:$B$101,1,FALSE),"na")</f>
        <v>na</v>
      </c>
      <c r="X1449" s="8" t="s">
        <v>35</v>
      </c>
      <c r="Y1449" s="9">
        <v>279</v>
      </c>
      <c r="Z1449" s="9">
        <v>199.28572</v>
      </c>
      <c r="AA1449" s="9">
        <v>279</v>
      </c>
      <c r="AB1449" s="9">
        <v>279</v>
      </c>
    </row>
    <row r="1450" spans="1:28" x14ac:dyDescent="0.25">
      <c r="A1450" s="8" t="s">
        <v>3000</v>
      </c>
      <c r="B1450" s="8" t="s">
        <v>3001</v>
      </c>
      <c r="C1450" s="8" t="s">
        <v>30</v>
      </c>
      <c r="D1450" s="10">
        <v>1.6</v>
      </c>
      <c r="E1450" s="10">
        <v>1</v>
      </c>
      <c r="F1450" s="10">
        <v>0.60000001999999997</v>
      </c>
      <c r="G1450" s="10">
        <v>1</v>
      </c>
      <c r="H1450" s="10">
        <v>0.60000001999999997</v>
      </c>
      <c r="I1450" s="10">
        <v>0</v>
      </c>
      <c r="J1450" s="10">
        <v>0</v>
      </c>
      <c r="K1450" s="10">
        <v>0</v>
      </c>
      <c r="L1450" s="10">
        <v>0.60000001999999997</v>
      </c>
      <c r="M1450" s="10">
        <v>0</v>
      </c>
      <c r="N1450" s="10">
        <v>0.60000001999999997</v>
      </c>
      <c r="O1450" s="8" t="s">
        <v>31</v>
      </c>
      <c r="P1450" s="8" t="s">
        <v>31</v>
      </c>
      <c r="Q1450" s="8" t="s">
        <v>31</v>
      </c>
      <c r="R1450" s="8" t="s">
        <v>31</v>
      </c>
      <c r="S1450" s="8" t="s">
        <v>31</v>
      </c>
      <c r="T1450" s="8" t="s">
        <v>31</v>
      </c>
      <c r="U1450" s="8" t="s">
        <v>31</v>
      </c>
      <c r="V1450" s="8" t="s">
        <v>31</v>
      </c>
      <c r="W1450" s="8" t="str">
        <f>_xlfn.IFNA(VLOOKUP(A1450,[1]Sheet1!$A$1:$B$101,1,FALSE),"na")</f>
        <v>na</v>
      </c>
      <c r="X1450" s="8" t="s">
        <v>35</v>
      </c>
      <c r="Y1450" s="9">
        <v>383</v>
      </c>
      <c r="Z1450" s="9">
        <v>239.375</v>
      </c>
      <c r="AA1450" s="9">
        <v>383</v>
      </c>
      <c r="AB1450" s="9">
        <v>383</v>
      </c>
    </row>
    <row r="1451" spans="1:28" x14ac:dyDescent="0.25">
      <c r="A1451" s="8" t="s">
        <v>3002</v>
      </c>
      <c r="B1451" s="8" t="s">
        <v>3003</v>
      </c>
      <c r="C1451" s="8" t="s">
        <v>30</v>
      </c>
      <c r="D1451" s="10">
        <v>3.4000001000000002</v>
      </c>
      <c r="E1451" s="10">
        <v>2</v>
      </c>
      <c r="F1451" s="10">
        <v>1.4</v>
      </c>
      <c r="G1451" s="10">
        <v>2</v>
      </c>
      <c r="H1451" s="10">
        <v>1.4</v>
      </c>
      <c r="I1451" s="10">
        <v>0</v>
      </c>
      <c r="J1451" s="10">
        <v>0</v>
      </c>
      <c r="K1451" s="10">
        <v>0</v>
      </c>
      <c r="L1451" s="10">
        <v>0.80000000999999998</v>
      </c>
      <c r="M1451" s="10">
        <v>0</v>
      </c>
      <c r="N1451" s="10">
        <v>1.4</v>
      </c>
      <c r="O1451" s="8" t="s">
        <v>31</v>
      </c>
      <c r="P1451" s="8" t="s">
        <v>31</v>
      </c>
      <c r="Q1451" s="8" t="s">
        <v>31</v>
      </c>
      <c r="R1451" s="8" t="s">
        <v>31</v>
      </c>
      <c r="S1451" s="8" t="s">
        <v>31</v>
      </c>
      <c r="T1451" s="8" t="s">
        <v>31</v>
      </c>
      <c r="U1451" s="8" t="s">
        <v>31</v>
      </c>
      <c r="V1451" s="8" t="s">
        <v>31</v>
      </c>
      <c r="W1451" s="8" t="str">
        <f>_xlfn.IFNA(VLOOKUP(A1451,[1]Sheet1!$A$1:$B$101,1,FALSE),"na")</f>
        <v>na</v>
      </c>
      <c r="X1451" s="8" t="s">
        <v>35</v>
      </c>
      <c r="Y1451" s="9">
        <v>724</v>
      </c>
      <c r="Z1451" s="9">
        <v>212.94118</v>
      </c>
      <c r="AA1451" s="9">
        <v>362</v>
      </c>
      <c r="AB1451" s="9">
        <v>517.14287999999999</v>
      </c>
    </row>
    <row r="1452" spans="1:28" x14ac:dyDescent="0.25">
      <c r="A1452" s="8" t="s">
        <v>3004</v>
      </c>
      <c r="B1452" s="8" t="s">
        <v>3005</v>
      </c>
      <c r="C1452" s="8" t="s">
        <v>30</v>
      </c>
      <c r="D1452" s="10">
        <v>2.5999998999999998</v>
      </c>
      <c r="E1452" s="10">
        <v>1</v>
      </c>
      <c r="F1452" s="10">
        <v>1.6</v>
      </c>
      <c r="G1452" s="10">
        <v>1</v>
      </c>
      <c r="H1452" s="10">
        <v>1.6</v>
      </c>
      <c r="I1452" s="10">
        <v>0</v>
      </c>
      <c r="J1452" s="10">
        <v>0</v>
      </c>
      <c r="K1452" s="10">
        <v>0</v>
      </c>
      <c r="L1452" s="10">
        <v>0</v>
      </c>
      <c r="M1452" s="10">
        <v>0</v>
      </c>
      <c r="N1452" s="10">
        <v>0.60000001999999997</v>
      </c>
      <c r="O1452" s="8" t="s">
        <v>57</v>
      </c>
      <c r="P1452" s="8" t="s">
        <v>31</v>
      </c>
      <c r="Q1452" s="8" t="s">
        <v>31</v>
      </c>
      <c r="R1452" s="8" t="s">
        <v>31</v>
      </c>
      <c r="S1452" s="8" t="s">
        <v>31</v>
      </c>
      <c r="T1452" s="8" t="s">
        <v>31</v>
      </c>
      <c r="U1452" s="8" t="s">
        <v>31</v>
      </c>
      <c r="V1452" s="8" t="s">
        <v>31</v>
      </c>
      <c r="W1452" s="8" t="str">
        <f>_xlfn.IFNA(VLOOKUP(A1452,[1]Sheet1!$A$1:$B$101,1,FALSE),"na")</f>
        <v>na</v>
      </c>
      <c r="X1452" s="8" t="s">
        <v>35</v>
      </c>
      <c r="Y1452" s="9">
        <v>610</v>
      </c>
      <c r="Z1452" s="9">
        <v>234.61538999999999</v>
      </c>
      <c r="AA1452" s="9">
        <v>610</v>
      </c>
      <c r="AB1452" s="9">
        <v>381.25</v>
      </c>
    </row>
    <row r="1453" spans="1:28" x14ac:dyDescent="0.25">
      <c r="A1453" s="8" t="s">
        <v>3006</v>
      </c>
      <c r="B1453" s="8" t="s">
        <v>3007</v>
      </c>
      <c r="C1453" s="8" t="s">
        <v>67</v>
      </c>
      <c r="D1453" s="10">
        <v>3.3</v>
      </c>
      <c r="E1453" s="10">
        <v>3</v>
      </c>
      <c r="F1453" s="10">
        <v>0.30000000999999998</v>
      </c>
      <c r="G1453" s="10">
        <v>3</v>
      </c>
      <c r="H1453" s="10">
        <v>0.30000000999999998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0.30000000999999998</v>
      </c>
      <c r="O1453" s="8" t="s">
        <v>31</v>
      </c>
      <c r="P1453" s="8" t="s">
        <v>31</v>
      </c>
      <c r="Q1453" s="8" t="s">
        <v>31</v>
      </c>
      <c r="R1453" s="8" t="s">
        <v>31</v>
      </c>
      <c r="S1453" s="8" t="s">
        <v>31</v>
      </c>
      <c r="T1453" s="8" t="s">
        <v>31</v>
      </c>
      <c r="U1453" s="8" t="s">
        <v>31</v>
      </c>
      <c r="V1453" s="8" t="s">
        <v>31</v>
      </c>
      <c r="W1453" s="8" t="str">
        <f>_xlfn.IFNA(VLOOKUP(A1453,[1]Sheet1!$A$1:$B$101,1,FALSE),"na")</f>
        <v>na</v>
      </c>
      <c r="X1453" s="8" t="s">
        <v>35</v>
      </c>
      <c r="Y1453" s="9">
        <v>1320</v>
      </c>
      <c r="Z1453" s="9">
        <v>400</v>
      </c>
      <c r="AA1453" s="9">
        <v>440</v>
      </c>
      <c r="AB1453" s="9">
        <v>1320</v>
      </c>
    </row>
    <row r="1454" spans="1:28" x14ac:dyDescent="0.25">
      <c r="A1454" s="8" t="s">
        <v>3008</v>
      </c>
      <c r="B1454" s="8" t="s">
        <v>3009</v>
      </c>
      <c r="C1454" s="8" t="s">
        <v>30</v>
      </c>
      <c r="D1454" s="10">
        <v>1.2</v>
      </c>
      <c r="E1454" s="10">
        <v>0</v>
      </c>
      <c r="F1454" s="10">
        <v>1.2</v>
      </c>
      <c r="G1454" s="10">
        <v>0</v>
      </c>
      <c r="H1454" s="10">
        <v>1.2</v>
      </c>
      <c r="I1454" s="10">
        <v>0</v>
      </c>
      <c r="J1454" s="10">
        <v>0</v>
      </c>
      <c r="K1454" s="10">
        <v>0</v>
      </c>
      <c r="L1454" s="10">
        <v>0</v>
      </c>
      <c r="M1454" s="10">
        <v>0</v>
      </c>
      <c r="N1454" s="10">
        <v>0.2</v>
      </c>
      <c r="O1454" s="8" t="s">
        <v>57</v>
      </c>
      <c r="P1454" s="8" t="s">
        <v>31</v>
      </c>
      <c r="Q1454" s="8" t="s">
        <v>31</v>
      </c>
      <c r="R1454" s="8" t="s">
        <v>31</v>
      </c>
      <c r="S1454" s="8" t="s">
        <v>31</v>
      </c>
      <c r="T1454" s="8" t="s">
        <v>31</v>
      </c>
      <c r="U1454" s="8" t="s">
        <v>31</v>
      </c>
      <c r="V1454" s="8" t="s">
        <v>31</v>
      </c>
      <c r="W1454" s="8" t="str">
        <f>_xlfn.IFNA(VLOOKUP(A1454,[1]Sheet1!$A$1:$B$101,1,FALSE),"na")</f>
        <v>na</v>
      </c>
      <c r="X1454" s="8" t="s">
        <v>35</v>
      </c>
      <c r="Y1454" s="9">
        <v>273</v>
      </c>
      <c r="Z1454" s="9">
        <v>227.49997999999999</v>
      </c>
      <c r="AA1454" s="9">
        <v>273</v>
      </c>
      <c r="AB1454" s="9">
        <v>227.49997999999999</v>
      </c>
    </row>
    <row r="1455" spans="1:28" x14ac:dyDescent="0.25">
      <c r="A1455" s="8" t="s">
        <v>3010</v>
      </c>
      <c r="B1455" s="8" t="s">
        <v>3011</v>
      </c>
      <c r="C1455" s="8" t="s">
        <v>67</v>
      </c>
      <c r="D1455" s="10">
        <v>3.4000001000000002</v>
      </c>
      <c r="E1455" s="10">
        <v>3</v>
      </c>
      <c r="F1455" s="10">
        <v>0.40000001000000002</v>
      </c>
      <c r="G1455" s="10">
        <v>3</v>
      </c>
      <c r="H1455" s="10">
        <v>0.40000001000000002</v>
      </c>
      <c r="I1455" s="10">
        <v>0</v>
      </c>
      <c r="J1455" s="10">
        <v>0</v>
      </c>
      <c r="K1455" s="10">
        <v>0</v>
      </c>
      <c r="L1455" s="10">
        <v>0.40000001000000002</v>
      </c>
      <c r="M1455" s="10">
        <v>0</v>
      </c>
      <c r="N1455" s="10">
        <v>0.40000001000000002</v>
      </c>
      <c r="O1455" s="8" t="s">
        <v>31</v>
      </c>
      <c r="P1455" s="8" t="s">
        <v>31</v>
      </c>
      <c r="Q1455" s="8" t="s">
        <v>31</v>
      </c>
      <c r="R1455" s="8" t="s">
        <v>31</v>
      </c>
      <c r="S1455" s="8" t="s">
        <v>31</v>
      </c>
      <c r="T1455" s="8" t="s">
        <v>31</v>
      </c>
      <c r="U1455" s="8" t="s">
        <v>31</v>
      </c>
      <c r="V1455" s="8" t="s">
        <v>31</v>
      </c>
      <c r="W1455" s="8" t="str">
        <f>_xlfn.IFNA(VLOOKUP(A1455,[1]Sheet1!$A$1:$B$101,1,FALSE),"na")</f>
        <v>na</v>
      </c>
      <c r="X1455" s="8" t="s">
        <v>35</v>
      </c>
      <c r="Y1455" s="9">
        <v>837</v>
      </c>
      <c r="Z1455" s="9">
        <v>246.17646999999999</v>
      </c>
      <c r="AA1455" s="9">
        <v>279</v>
      </c>
      <c r="AB1455" s="9">
        <v>837</v>
      </c>
    </row>
    <row r="1456" spans="1:28" x14ac:dyDescent="0.25">
      <c r="A1456" s="8" t="s">
        <v>3012</v>
      </c>
      <c r="B1456" s="8" t="s">
        <v>3013</v>
      </c>
      <c r="C1456" s="8" t="s">
        <v>80</v>
      </c>
      <c r="D1456" s="10">
        <v>2.2000000000000002</v>
      </c>
      <c r="E1456" s="10">
        <v>2</v>
      </c>
      <c r="F1456" s="10">
        <v>0.2</v>
      </c>
      <c r="G1456" s="10">
        <v>2</v>
      </c>
      <c r="H1456" s="10">
        <v>0.2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0.2</v>
      </c>
      <c r="O1456" s="8" t="s">
        <v>31</v>
      </c>
      <c r="P1456" s="8" t="s">
        <v>31</v>
      </c>
      <c r="Q1456" s="8" t="s">
        <v>31</v>
      </c>
      <c r="R1456" s="8" t="s">
        <v>31</v>
      </c>
      <c r="S1456" s="8" t="s">
        <v>31</v>
      </c>
      <c r="T1456" s="8" t="s">
        <v>57</v>
      </c>
      <c r="U1456" s="8" t="s">
        <v>31</v>
      </c>
      <c r="V1456" s="8" t="s">
        <v>31</v>
      </c>
      <c r="W1456" s="8" t="str">
        <f>_xlfn.IFNA(VLOOKUP(A1456,[1]Sheet1!$A$1:$B$101,1,FALSE),"na")</f>
        <v>na</v>
      </c>
      <c r="X1456" s="8" t="s">
        <v>35</v>
      </c>
      <c r="Y1456" s="9">
        <v>284</v>
      </c>
      <c r="Z1456" s="9">
        <v>129.09091000000001</v>
      </c>
      <c r="AA1456" s="9">
        <v>142</v>
      </c>
      <c r="AB1456" s="9">
        <v>284</v>
      </c>
    </row>
    <row r="1457" spans="1:28" x14ac:dyDescent="0.25">
      <c r="A1457" s="8" t="s">
        <v>3014</v>
      </c>
      <c r="B1457" s="8" t="s">
        <v>3015</v>
      </c>
      <c r="C1457" s="8" t="s">
        <v>30</v>
      </c>
      <c r="D1457" s="10">
        <v>2.5999998999999998</v>
      </c>
      <c r="E1457" s="10">
        <v>1</v>
      </c>
      <c r="F1457" s="10">
        <v>1.6</v>
      </c>
      <c r="G1457" s="10">
        <v>1</v>
      </c>
      <c r="H1457" s="10">
        <v>1.6</v>
      </c>
      <c r="I1457" s="10">
        <v>0</v>
      </c>
      <c r="J1457" s="10">
        <v>0</v>
      </c>
      <c r="K1457" s="10">
        <v>0</v>
      </c>
      <c r="L1457" s="10">
        <v>0</v>
      </c>
      <c r="M1457" s="10">
        <v>0</v>
      </c>
      <c r="N1457" s="10">
        <v>0.60000001999999997</v>
      </c>
      <c r="O1457" s="8" t="s">
        <v>57</v>
      </c>
      <c r="P1457" s="8" t="s">
        <v>31</v>
      </c>
      <c r="Q1457" s="8" t="s">
        <v>31</v>
      </c>
      <c r="R1457" s="8" t="s">
        <v>31</v>
      </c>
      <c r="S1457" s="8" t="s">
        <v>31</v>
      </c>
      <c r="T1457" s="8" t="s">
        <v>31</v>
      </c>
      <c r="U1457" s="8" t="s">
        <v>31</v>
      </c>
      <c r="V1457" s="8" t="s">
        <v>31</v>
      </c>
      <c r="W1457" s="8" t="str">
        <f>_xlfn.IFNA(VLOOKUP(A1457,[1]Sheet1!$A$1:$B$101,1,FALSE),"na")</f>
        <v>na</v>
      </c>
      <c r="X1457" s="8" t="s">
        <v>35</v>
      </c>
      <c r="Y1457" s="9">
        <v>588</v>
      </c>
      <c r="Z1457" s="9">
        <v>226.15385000000001</v>
      </c>
      <c r="AA1457" s="9">
        <v>588</v>
      </c>
      <c r="AB1457" s="9">
        <v>367.5</v>
      </c>
    </row>
    <row r="1458" spans="1:28" x14ac:dyDescent="0.25">
      <c r="A1458" s="8" t="s">
        <v>3016</v>
      </c>
      <c r="B1458" s="8" t="s">
        <v>3017</v>
      </c>
      <c r="C1458" s="8" t="s">
        <v>30</v>
      </c>
      <c r="D1458" s="10">
        <v>1.4</v>
      </c>
      <c r="E1458" s="10">
        <v>1</v>
      </c>
      <c r="F1458" s="10">
        <v>0.40000001000000002</v>
      </c>
      <c r="G1458" s="10">
        <v>1</v>
      </c>
      <c r="H1458" s="10">
        <v>0.40000001000000002</v>
      </c>
      <c r="I1458" s="10">
        <v>0</v>
      </c>
      <c r="J1458" s="10">
        <v>0</v>
      </c>
      <c r="K1458" s="10">
        <v>0</v>
      </c>
      <c r="L1458" s="10">
        <v>0</v>
      </c>
      <c r="M1458" s="10">
        <v>0</v>
      </c>
      <c r="N1458" s="10">
        <v>0.40000001000000002</v>
      </c>
      <c r="O1458" s="8" t="s">
        <v>31</v>
      </c>
      <c r="P1458" s="8" t="s">
        <v>31</v>
      </c>
      <c r="Q1458" s="8" t="s">
        <v>31</v>
      </c>
      <c r="R1458" s="8" t="s">
        <v>31</v>
      </c>
      <c r="S1458" s="8" t="s">
        <v>31</v>
      </c>
      <c r="T1458" s="8" t="s">
        <v>31</v>
      </c>
      <c r="U1458" s="8" t="s">
        <v>31</v>
      </c>
      <c r="V1458" s="8" t="s">
        <v>31</v>
      </c>
      <c r="W1458" s="8" t="str">
        <f>_xlfn.IFNA(VLOOKUP(A1458,[1]Sheet1!$A$1:$B$101,1,FALSE),"na")</f>
        <v>na</v>
      </c>
      <c r="X1458" s="8" t="s">
        <v>35</v>
      </c>
      <c r="Y1458" s="9">
        <v>691</v>
      </c>
      <c r="Z1458" s="9">
        <v>493.57144</v>
      </c>
      <c r="AA1458" s="9">
        <v>691</v>
      </c>
      <c r="AB1458" s="9">
        <v>691</v>
      </c>
    </row>
    <row r="1459" spans="1:28" x14ac:dyDescent="0.25">
      <c r="A1459" s="8" t="s">
        <v>3018</v>
      </c>
      <c r="B1459" s="8" t="s">
        <v>3019</v>
      </c>
      <c r="C1459" s="8" t="s">
        <v>30</v>
      </c>
      <c r="D1459" s="10">
        <v>1.6</v>
      </c>
      <c r="E1459" s="10">
        <v>1.2</v>
      </c>
      <c r="F1459" s="10">
        <v>0.40000001000000002</v>
      </c>
      <c r="G1459" s="10">
        <v>1</v>
      </c>
      <c r="H1459" s="10">
        <v>0.40000001000000002</v>
      </c>
      <c r="I1459" s="10">
        <v>0.2</v>
      </c>
      <c r="J1459" s="10">
        <v>0</v>
      </c>
      <c r="K1459" s="10">
        <v>0</v>
      </c>
      <c r="L1459" s="10">
        <v>0</v>
      </c>
      <c r="M1459" s="10">
        <v>1</v>
      </c>
      <c r="N1459" s="10">
        <v>0.40000001000000002</v>
      </c>
      <c r="O1459" s="8" t="s">
        <v>31</v>
      </c>
      <c r="P1459" s="8" t="s">
        <v>31</v>
      </c>
      <c r="Q1459" s="8" t="s">
        <v>31</v>
      </c>
      <c r="R1459" s="8" t="s">
        <v>31</v>
      </c>
      <c r="S1459" s="8" t="s">
        <v>31</v>
      </c>
      <c r="T1459" s="8" t="s">
        <v>31</v>
      </c>
      <c r="U1459" s="8" t="s">
        <v>31</v>
      </c>
      <c r="V1459" s="8" t="s">
        <v>31</v>
      </c>
      <c r="W1459" s="8" t="str">
        <f>_xlfn.IFNA(VLOOKUP(A1459,[1]Sheet1!$A$1:$B$101,1,FALSE),"na")</f>
        <v>na</v>
      </c>
      <c r="X1459" s="8" t="s">
        <v>799</v>
      </c>
      <c r="Y1459" s="9">
        <v>347</v>
      </c>
      <c r="Z1459" s="9">
        <v>216.875</v>
      </c>
      <c r="AA1459" s="9">
        <v>289.16665999999998</v>
      </c>
      <c r="AB1459" s="9">
        <v>347</v>
      </c>
    </row>
    <row r="1460" spans="1:28" x14ac:dyDescent="0.25">
      <c r="A1460" s="8" t="s">
        <v>3020</v>
      </c>
      <c r="B1460" s="8" t="s">
        <v>3021</v>
      </c>
      <c r="C1460" s="8" t="s">
        <v>30</v>
      </c>
      <c r="D1460" s="10">
        <v>0.30000000999999998</v>
      </c>
      <c r="E1460" s="10">
        <v>0</v>
      </c>
      <c r="F1460" s="10">
        <v>0.30000000999999998</v>
      </c>
      <c r="G1460" s="10">
        <v>0</v>
      </c>
      <c r="H1460" s="10">
        <v>0.30000000999999998</v>
      </c>
      <c r="I1460" s="10">
        <v>0</v>
      </c>
      <c r="J1460" s="10">
        <v>0</v>
      </c>
      <c r="K1460" s="10">
        <v>0</v>
      </c>
      <c r="L1460" s="10">
        <v>0</v>
      </c>
      <c r="M1460" s="10">
        <v>0</v>
      </c>
      <c r="N1460" s="10">
        <v>0.30000000999999998</v>
      </c>
      <c r="O1460" s="8" t="s">
        <v>31</v>
      </c>
      <c r="P1460" s="8" t="s">
        <v>31</v>
      </c>
      <c r="Q1460" s="8" t="s">
        <v>31</v>
      </c>
      <c r="R1460" s="8" t="s">
        <v>31</v>
      </c>
      <c r="S1460" s="8" t="s">
        <v>31</v>
      </c>
      <c r="T1460" s="8" t="s">
        <v>31</v>
      </c>
      <c r="U1460" s="8" t="s">
        <v>31</v>
      </c>
      <c r="V1460" s="8" t="s">
        <v>31</v>
      </c>
      <c r="W1460" s="8" t="str">
        <f>_xlfn.IFNA(VLOOKUP(A1460,[1]Sheet1!$A$1:$B$101,1,FALSE),"na")</f>
        <v>na</v>
      </c>
      <c r="X1460" s="8" t="s">
        <v>35</v>
      </c>
      <c r="Y1460" s="9">
        <v>694</v>
      </c>
      <c r="Z1460" s="9">
        <v>694</v>
      </c>
      <c r="AA1460" s="9">
        <v>694</v>
      </c>
      <c r="AB1460" s="9">
        <v>694</v>
      </c>
    </row>
    <row r="1461" spans="1:28" x14ac:dyDescent="0.25">
      <c r="A1461" s="8" t="s">
        <v>3022</v>
      </c>
      <c r="B1461" s="8" t="s">
        <v>3023</v>
      </c>
      <c r="C1461" s="8" t="s">
        <v>67</v>
      </c>
      <c r="D1461" s="10">
        <v>3.3</v>
      </c>
      <c r="E1461" s="10">
        <v>3</v>
      </c>
      <c r="F1461" s="10">
        <v>0.30000000999999998</v>
      </c>
      <c r="G1461" s="10">
        <v>3</v>
      </c>
      <c r="H1461" s="10">
        <v>0.30000000999999998</v>
      </c>
      <c r="I1461" s="10">
        <v>0</v>
      </c>
      <c r="J1461" s="10">
        <v>0</v>
      </c>
      <c r="K1461" s="10">
        <v>0</v>
      </c>
      <c r="L1461" s="10">
        <v>0</v>
      </c>
      <c r="M1461" s="10">
        <v>0</v>
      </c>
      <c r="N1461" s="10">
        <v>0.30000000999999998</v>
      </c>
      <c r="O1461" s="8" t="s">
        <v>31</v>
      </c>
      <c r="P1461" s="8" t="s">
        <v>31</v>
      </c>
      <c r="Q1461" s="8" t="s">
        <v>31</v>
      </c>
      <c r="R1461" s="8" t="s">
        <v>31</v>
      </c>
      <c r="S1461" s="8" t="s">
        <v>31</v>
      </c>
      <c r="T1461" s="8" t="s">
        <v>31</v>
      </c>
      <c r="U1461" s="8" t="s">
        <v>31</v>
      </c>
      <c r="V1461" s="8" t="s">
        <v>31</v>
      </c>
      <c r="W1461" s="8" t="str">
        <f>_xlfn.IFNA(VLOOKUP(A1461,[1]Sheet1!$A$1:$B$101,1,FALSE),"na")</f>
        <v>na</v>
      </c>
      <c r="X1461" s="8" t="s">
        <v>35</v>
      </c>
      <c r="Y1461" s="9">
        <v>1227</v>
      </c>
      <c r="Z1461" s="9">
        <v>371.81817999999998</v>
      </c>
      <c r="AA1461" s="9">
        <v>409</v>
      </c>
      <c r="AB1461" s="9">
        <v>1227</v>
      </c>
    </row>
    <row r="1462" spans="1:28" x14ac:dyDescent="0.25">
      <c r="A1462" s="8" t="s">
        <v>3024</v>
      </c>
      <c r="B1462" s="8" t="s">
        <v>3025</v>
      </c>
      <c r="C1462" s="8" t="s">
        <v>30</v>
      </c>
      <c r="D1462" s="10">
        <v>2.2000000000000002</v>
      </c>
      <c r="E1462" s="10">
        <v>1</v>
      </c>
      <c r="F1462" s="10">
        <v>1.2</v>
      </c>
      <c r="G1462" s="10">
        <v>1</v>
      </c>
      <c r="H1462" s="10">
        <v>1.2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0.2</v>
      </c>
      <c r="O1462" s="8" t="s">
        <v>57</v>
      </c>
      <c r="P1462" s="8" t="s">
        <v>31</v>
      </c>
      <c r="Q1462" s="8" t="s">
        <v>31</v>
      </c>
      <c r="R1462" s="8" t="s">
        <v>31</v>
      </c>
      <c r="S1462" s="8" t="s">
        <v>31</v>
      </c>
      <c r="T1462" s="8" t="s">
        <v>31</v>
      </c>
      <c r="U1462" s="8" t="s">
        <v>31</v>
      </c>
      <c r="V1462" s="8" t="s">
        <v>31</v>
      </c>
      <c r="W1462" s="8" t="str">
        <f>_xlfn.IFNA(VLOOKUP(A1462,[1]Sheet1!$A$1:$B$101,1,FALSE),"na")</f>
        <v>na</v>
      </c>
      <c r="X1462" s="8" t="s">
        <v>35</v>
      </c>
      <c r="Y1462" s="9">
        <v>369</v>
      </c>
      <c r="Z1462" s="9">
        <v>167.72726</v>
      </c>
      <c r="AA1462" s="9">
        <v>369</v>
      </c>
      <c r="AB1462" s="9">
        <v>307.5</v>
      </c>
    </row>
    <row r="1463" spans="1:28" x14ac:dyDescent="0.25">
      <c r="A1463" s="8" t="s">
        <v>3026</v>
      </c>
      <c r="B1463" s="8" t="s">
        <v>3027</v>
      </c>
      <c r="C1463" s="8" t="s">
        <v>30</v>
      </c>
      <c r="D1463" s="10">
        <v>2</v>
      </c>
      <c r="E1463" s="10">
        <v>1</v>
      </c>
      <c r="F1463" s="10">
        <v>1</v>
      </c>
      <c r="G1463" s="10">
        <v>1</v>
      </c>
      <c r="H1463" s="10">
        <v>1</v>
      </c>
      <c r="I1463" s="10">
        <v>0</v>
      </c>
      <c r="J1463" s="10">
        <v>0</v>
      </c>
      <c r="K1463" s="10">
        <v>0</v>
      </c>
      <c r="L1463" s="10">
        <v>0</v>
      </c>
      <c r="M1463" s="10">
        <v>0</v>
      </c>
      <c r="N1463" s="10">
        <v>1</v>
      </c>
      <c r="O1463" s="8" t="s">
        <v>31</v>
      </c>
      <c r="P1463" s="8" t="s">
        <v>31</v>
      </c>
      <c r="Q1463" s="8" t="s">
        <v>31</v>
      </c>
      <c r="R1463" s="8" t="s">
        <v>31</v>
      </c>
      <c r="S1463" s="8" t="s">
        <v>31</v>
      </c>
      <c r="T1463" s="8" t="s">
        <v>31</v>
      </c>
      <c r="U1463" s="8" t="s">
        <v>31</v>
      </c>
      <c r="V1463" s="8" t="s">
        <v>31</v>
      </c>
      <c r="W1463" s="8" t="str">
        <f>_xlfn.IFNA(VLOOKUP(A1463,[1]Sheet1!$A$1:$B$101,1,FALSE),"na")</f>
        <v>na</v>
      </c>
      <c r="X1463" s="8" t="s">
        <v>35</v>
      </c>
      <c r="Y1463" s="9">
        <v>868</v>
      </c>
      <c r="Z1463" s="9">
        <v>434</v>
      </c>
      <c r="AA1463" s="9">
        <v>868</v>
      </c>
      <c r="AB1463" s="9">
        <v>868</v>
      </c>
    </row>
    <row r="1464" spans="1:28" x14ac:dyDescent="0.25">
      <c r="A1464" s="8" t="s">
        <v>3028</v>
      </c>
      <c r="B1464" s="8" t="s">
        <v>3029</v>
      </c>
      <c r="C1464" s="8" t="s">
        <v>30</v>
      </c>
      <c r="D1464" s="10">
        <v>2</v>
      </c>
      <c r="E1464" s="10">
        <v>1</v>
      </c>
      <c r="F1464" s="10">
        <v>1</v>
      </c>
      <c r="G1464" s="10">
        <v>1</v>
      </c>
      <c r="H1464" s="10">
        <v>0.60000001999999997</v>
      </c>
      <c r="I1464" s="10">
        <v>0</v>
      </c>
      <c r="J1464" s="10">
        <v>0.40000001000000002</v>
      </c>
      <c r="K1464" s="10">
        <v>0</v>
      </c>
      <c r="L1464" s="10">
        <v>0</v>
      </c>
      <c r="M1464" s="10">
        <v>0</v>
      </c>
      <c r="N1464" s="10">
        <v>1.6</v>
      </c>
      <c r="O1464" s="8" t="s">
        <v>31</v>
      </c>
      <c r="P1464" s="8" t="s">
        <v>31</v>
      </c>
      <c r="Q1464" s="8" t="s">
        <v>31</v>
      </c>
      <c r="R1464" s="8" t="s">
        <v>31</v>
      </c>
      <c r="S1464" s="8" t="s">
        <v>31</v>
      </c>
      <c r="T1464" s="8" t="s">
        <v>31</v>
      </c>
      <c r="U1464" s="8" t="s">
        <v>31</v>
      </c>
      <c r="V1464" s="8" t="s">
        <v>31</v>
      </c>
      <c r="W1464" s="8" t="str">
        <f>_xlfn.IFNA(VLOOKUP(A1464,[1]Sheet1!$A$1:$B$101,1,FALSE),"na")</f>
        <v>na</v>
      </c>
      <c r="X1464" s="8" t="s">
        <v>35</v>
      </c>
      <c r="Y1464" s="9">
        <v>349</v>
      </c>
      <c r="Z1464" s="9">
        <v>174.5</v>
      </c>
      <c r="AA1464" s="9">
        <v>349</v>
      </c>
      <c r="AB1464" s="9">
        <v>349</v>
      </c>
    </row>
    <row r="1465" spans="1:28" x14ac:dyDescent="0.25">
      <c r="A1465" s="8" t="s">
        <v>3030</v>
      </c>
      <c r="B1465" s="8" t="s">
        <v>3031</v>
      </c>
      <c r="C1465" s="8" t="s">
        <v>30</v>
      </c>
      <c r="D1465" s="10">
        <v>3.2</v>
      </c>
      <c r="E1465" s="10">
        <v>1</v>
      </c>
      <c r="F1465" s="10">
        <v>2.2000000000000002</v>
      </c>
      <c r="G1465" s="10">
        <v>1</v>
      </c>
      <c r="H1465" s="10">
        <v>2.2000000000000002</v>
      </c>
      <c r="I1465" s="10">
        <v>0</v>
      </c>
      <c r="J1465" s="10">
        <v>0</v>
      </c>
      <c r="K1465" s="10">
        <v>0</v>
      </c>
      <c r="L1465" s="10">
        <v>0.2</v>
      </c>
      <c r="M1465" s="10">
        <v>0</v>
      </c>
      <c r="N1465" s="10">
        <v>0.2</v>
      </c>
      <c r="O1465" s="8" t="s">
        <v>57</v>
      </c>
      <c r="P1465" s="8" t="s">
        <v>31</v>
      </c>
      <c r="Q1465" s="8" t="s">
        <v>31</v>
      </c>
      <c r="R1465" s="8" t="s">
        <v>31</v>
      </c>
      <c r="S1465" s="8" t="s">
        <v>31</v>
      </c>
      <c r="T1465" s="8" t="s">
        <v>31</v>
      </c>
      <c r="U1465" s="8" t="s">
        <v>31</v>
      </c>
      <c r="V1465" s="8" t="s">
        <v>31</v>
      </c>
      <c r="W1465" s="8" t="str">
        <f>_xlfn.IFNA(VLOOKUP(A1465,[1]Sheet1!$A$1:$B$101,1,FALSE),"na")</f>
        <v>na</v>
      </c>
      <c r="X1465" s="8" t="s">
        <v>35</v>
      </c>
      <c r="Y1465" s="9">
        <v>492</v>
      </c>
      <c r="Z1465" s="9">
        <v>153.75</v>
      </c>
      <c r="AA1465" s="9">
        <v>492</v>
      </c>
      <c r="AB1465" s="9">
        <v>223.63634999999999</v>
      </c>
    </row>
    <row r="1466" spans="1:28" x14ac:dyDescent="0.25">
      <c r="A1466" s="8" t="s">
        <v>3032</v>
      </c>
      <c r="B1466" s="8" t="s">
        <v>3033</v>
      </c>
      <c r="C1466" s="8" t="s">
        <v>30</v>
      </c>
      <c r="D1466" s="10">
        <v>3</v>
      </c>
      <c r="E1466" s="10">
        <v>1</v>
      </c>
      <c r="F1466" s="10">
        <v>2</v>
      </c>
      <c r="G1466" s="10">
        <v>1</v>
      </c>
      <c r="H1466" s="10">
        <v>2</v>
      </c>
      <c r="I1466" s="10">
        <v>0</v>
      </c>
      <c r="J1466" s="10">
        <v>0</v>
      </c>
      <c r="K1466" s="10">
        <v>0</v>
      </c>
      <c r="L1466" s="10">
        <v>0.40000001000000002</v>
      </c>
      <c r="M1466" s="10">
        <v>0</v>
      </c>
      <c r="N1466" s="10">
        <v>1</v>
      </c>
      <c r="O1466" s="8" t="s">
        <v>57</v>
      </c>
      <c r="P1466" s="8" t="s">
        <v>31</v>
      </c>
      <c r="Q1466" s="8" t="s">
        <v>31</v>
      </c>
      <c r="R1466" s="8" t="s">
        <v>31</v>
      </c>
      <c r="S1466" s="8" t="s">
        <v>31</v>
      </c>
      <c r="T1466" s="8" t="s">
        <v>31</v>
      </c>
      <c r="U1466" s="8" t="s">
        <v>31</v>
      </c>
      <c r="V1466" s="8" t="s">
        <v>31</v>
      </c>
      <c r="W1466" s="8" t="str">
        <f>_xlfn.IFNA(VLOOKUP(A1466,[1]Sheet1!$A$1:$B$101,1,FALSE),"na")</f>
        <v>na</v>
      </c>
      <c r="X1466" s="8" t="s">
        <v>35</v>
      </c>
      <c r="Y1466" s="9">
        <v>694</v>
      </c>
      <c r="Z1466" s="9">
        <v>231.33332999999999</v>
      </c>
      <c r="AA1466" s="9">
        <v>694</v>
      </c>
      <c r="AB1466" s="9">
        <v>347</v>
      </c>
    </row>
    <row r="1467" spans="1:28" x14ac:dyDescent="0.25">
      <c r="A1467" s="8" t="s">
        <v>3034</v>
      </c>
      <c r="B1467" s="8" t="s">
        <v>3035</v>
      </c>
      <c r="C1467" s="8" t="s">
        <v>30</v>
      </c>
      <c r="D1467" s="10">
        <v>2.8</v>
      </c>
      <c r="E1467" s="10">
        <v>2</v>
      </c>
      <c r="F1467" s="10">
        <v>0.80000000999999998</v>
      </c>
      <c r="G1467" s="10">
        <v>2</v>
      </c>
      <c r="H1467" s="10">
        <v>0.80000000999999998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0.80000000999999998</v>
      </c>
      <c r="O1467" s="8" t="s">
        <v>31</v>
      </c>
      <c r="P1467" s="8" t="s">
        <v>31</v>
      </c>
      <c r="Q1467" s="8" t="s">
        <v>31</v>
      </c>
      <c r="R1467" s="8" t="s">
        <v>31</v>
      </c>
      <c r="S1467" s="8" t="s">
        <v>31</v>
      </c>
      <c r="T1467" s="8" t="s">
        <v>31</v>
      </c>
      <c r="U1467" s="8" t="s">
        <v>31</v>
      </c>
      <c r="V1467" s="8" t="s">
        <v>31</v>
      </c>
      <c r="W1467" s="8" t="str">
        <f>_xlfn.IFNA(VLOOKUP(A1467,[1]Sheet1!$A$1:$B$101,1,FALSE),"na")</f>
        <v>na</v>
      </c>
      <c r="X1467" s="8" t="s">
        <v>35</v>
      </c>
      <c r="Y1467" s="9">
        <v>998</v>
      </c>
      <c r="Z1467" s="9">
        <v>356.42858999999999</v>
      </c>
      <c r="AA1467" s="9">
        <v>499</v>
      </c>
      <c r="AB1467" s="9">
        <v>998</v>
      </c>
    </row>
    <row r="1468" spans="1:28" x14ac:dyDescent="0.25">
      <c r="A1468" s="8" t="s">
        <v>3036</v>
      </c>
      <c r="B1468" s="8" t="s">
        <v>3037</v>
      </c>
      <c r="C1468" s="8" t="s">
        <v>30</v>
      </c>
      <c r="D1468" s="10">
        <v>3.2</v>
      </c>
      <c r="E1468" s="10">
        <v>2</v>
      </c>
      <c r="F1468" s="10">
        <v>1.2</v>
      </c>
      <c r="G1468" s="10">
        <v>2</v>
      </c>
      <c r="H1468" s="10">
        <v>1.2</v>
      </c>
      <c r="I1468" s="10">
        <v>0</v>
      </c>
      <c r="J1468" s="10">
        <v>0</v>
      </c>
      <c r="K1468" s="10">
        <v>0</v>
      </c>
      <c r="L1468" s="10">
        <v>0.2</v>
      </c>
      <c r="M1468" s="10">
        <v>0</v>
      </c>
      <c r="N1468" s="10">
        <v>1.2</v>
      </c>
      <c r="O1468" s="8" t="s">
        <v>31</v>
      </c>
      <c r="P1468" s="8" t="s">
        <v>31</v>
      </c>
      <c r="Q1468" s="8" t="s">
        <v>31</v>
      </c>
      <c r="R1468" s="8" t="s">
        <v>31</v>
      </c>
      <c r="S1468" s="8" t="s">
        <v>31</v>
      </c>
      <c r="T1468" s="8" t="s">
        <v>31</v>
      </c>
      <c r="U1468" s="8" t="s">
        <v>31</v>
      </c>
      <c r="V1468" s="8" t="s">
        <v>31</v>
      </c>
      <c r="W1468" s="8" t="str">
        <f>_xlfn.IFNA(VLOOKUP(A1468,[1]Sheet1!$A$1:$B$101,1,FALSE),"na")</f>
        <v>na</v>
      </c>
      <c r="X1468" s="8" t="s">
        <v>806</v>
      </c>
      <c r="Y1468" s="9">
        <v>513</v>
      </c>
      <c r="Z1468" s="9">
        <v>160.3125</v>
      </c>
      <c r="AA1468" s="9">
        <v>256.5</v>
      </c>
      <c r="AB1468" s="9">
        <v>427.49997000000002</v>
      </c>
    </row>
    <row r="1469" spans="1:28" x14ac:dyDescent="0.25">
      <c r="A1469" s="8" t="s">
        <v>3038</v>
      </c>
      <c r="B1469" s="8" t="s">
        <v>3039</v>
      </c>
      <c r="C1469" s="8" t="s">
        <v>30</v>
      </c>
      <c r="D1469" s="10">
        <v>3</v>
      </c>
      <c r="E1469" s="10">
        <v>2</v>
      </c>
      <c r="F1469" s="10">
        <v>1</v>
      </c>
      <c r="G1469" s="10">
        <v>2</v>
      </c>
      <c r="H1469" s="10">
        <v>1</v>
      </c>
      <c r="I1469" s="10">
        <v>0</v>
      </c>
      <c r="J1469" s="10">
        <v>0</v>
      </c>
      <c r="K1469" s="10">
        <v>0</v>
      </c>
      <c r="L1469" s="10">
        <v>0</v>
      </c>
      <c r="M1469" s="10">
        <v>0</v>
      </c>
      <c r="N1469" s="10">
        <v>1</v>
      </c>
      <c r="O1469" s="8" t="s">
        <v>31</v>
      </c>
      <c r="P1469" s="8" t="s">
        <v>31</v>
      </c>
      <c r="Q1469" s="8" t="s">
        <v>31</v>
      </c>
      <c r="R1469" s="8" t="s">
        <v>31</v>
      </c>
      <c r="S1469" s="8" t="s">
        <v>31</v>
      </c>
      <c r="T1469" s="8" t="s">
        <v>31</v>
      </c>
      <c r="U1469" s="8" t="s">
        <v>31</v>
      </c>
      <c r="V1469" s="8" t="s">
        <v>31</v>
      </c>
      <c r="W1469" s="8" t="str">
        <f>_xlfn.IFNA(VLOOKUP(A1469,[1]Sheet1!$A$1:$B$101,1,FALSE),"na")</f>
        <v>na</v>
      </c>
      <c r="X1469" s="8" t="s">
        <v>35</v>
      </c>
      <c r="Y1469" s="9">
        <v>752</v>
      </c>
      <c r="Z1469" s="9">
        <v>250.66667000000001</v>
      </c>
      <c r="AA1469" s="9">
        <v>376</v>
      </c>
      <c r="AB1469" s="9">
        <v>752</v>
      </c>
    </row>
    <row r="1470" spans="1:28" x14ac:dyDescent="0.25">
      <c r="A1470" s="8" t="s">
        <v>3040</v>
      </c>
      <c r="B1470" s="8" t="s">
        <v>3041</v>
      </c>
      <c r="C1470" s="8" t="s">
        <v>30</v>
      </c>
      <c r="D1470" s="10">
        <v>1.4</v>
      </c>
      <c r="E1470" s="10">
        <v>0</v>
      </c>
      <c r="F1470" s="10">
        <v>1.4</v>
      </c>
      <c r="G1470" s="10">
        <v>0</v>
      </c>
      <c r="H1470" s="10">
        <v>1.4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0.40000001000000002</v>
      </c>
      <c r="O1470" s="8" t="s">
        <v>57</v>
      </c>
      <c r="P1470" s="8" t="s">
        <v>31</v>
      </c>
      <c r="Q1470" s="8" t="s">
        <v>31</v>
      </c>
      <c r="R1470" s="8" t="s">
        <v>31</v>
      </c>
      <c r="S1470" s="8" t="s">
        <v>31</v>
      </c>
      <c r="T1470" s="8" t="s">
        <v>31</v>
      </c>
      <c r="U1470" s="8" t="s">
        <v>31</v>
      </c>
      <c r="V1470" s="8" t="s">
        <v>31</v>
      </c>
      <c r="W1470" s="8" t="str">
        <f>_xlfn.IFNA(VLOOKUP(A1470,[1]Sheet1!$A$1:$B$101,1,FALSE),"na")</f>
        <v>na</v>
      </c>
      <c r="X1470" s="8" t="s">
        <v>799</v>
      </c>
      <c r="Y1470" s="9">
        <v>173</v>
      </c>
      <c r="Z1470" s="9">
        <v>123.57143000000001</v>
      </c>
      <c r="AA1470" s="9">
        <v>173</v>
      </c>
      <c r="AB1470" s="9">
        <v>123.57143000000001</v>
      </c>
    </row>
    <row r="1471" spans="1:28" x14ac:dyDescent="0.25">
      <c r="A1471" s="8" t="s">
        <v>3042</v>
      </c>
      <c r="B1471" s="8" t="s">
        <v>3043</v>
      </c>
      <c r="C1471" s="8" t="s">
        <v>62</v>
      </c>
      <c r="D1471" s="10">
        <v>3.7</v>
      </c>
      <c r="E1471" s="10">
        <v>3</v>
      </c>
      <c r="F1471" s="10">
        <v>0.69999999000000002</v>
      </c>
      <c r="G1471" s="10">
        <v>3</v>
      </c>
      <c r="H1471" s="10">
        <v>0</v>
      </c>
      <c r="I1471" s="10">
        <v>0</v>
      </c>
      <c r="J1471" s="10">
        <v>0.69999999000000002</v>
      </c>
      <c r="K1471" s="10">
        <v>0</v>
      </c>
      <c r="L1471" s="10">
        <v>0</v>
      </c>
      <c r="M1471" s="10">
        <v>0</v>
      </c>
      <c r="N1471" s="10">
        <v>1</v>
      </c>
      <c r="O1471" s="8" t="s">
        <v>31</v>
      </c>
      <c r="P1471" s="8" t="s">
        <v>31</v>
      </c>
      <c r="Q1471" s="8" t="s">
        <v>31</v>
      </c>
      <c r="R1471" s="8" t="s">
        <v>31</v>
      </c>
      <c r="S1471" s="8" t="s">
        <v>31</v>
      </c>
      <c r="T1471" s="8" t="s">
        <v>31</v>
      </c>
      <c r="U1471" s="8" t="s">
        <v>31</v>
      </c>
      <c r="V1471" s="8" t="s">
        <v>31</v>
      </c>
      <c r="W1471" s="8" t="str">
        <f>_xlfn.IFNA(VLOOKUP(A1471,[1]Sheet1!$A$1:$B$101,1,FALSE),"na")</f>
        <v>na</v>
      </c>
      <c r="X1471" s="8" t="s">
        <v>35</v>
      </c>
      <c r="Y1471" s="9">
        <v>521</v>
      </c>
      <c r="Z1471" s="9">
        <v>140.81081</v>
      </c>
      <c r="AA1471" s="9">
        <v>173.66667000000001</v>
      </c>
      <c r="AB1471" s="9">
        <v>521</v>
      </c>
    </row>
    <row r="1472" spans="1:28" x14ac:dyDescent="0.25">
      <c r="A1472" s="8" t="s">
        <v>3044</v>
      </c>
      <c r="B1472" s="8" t="s">
        <v>3045</v>
      </c>
      <c r="C1472" s="8" t="s">
        <v>38</v>
      </c>
      <c r="D1472" s="10">
        <v>2.2000000000000002</v>
      </c>
      <c r="E1472" s="10">
        <v>1</v>
      </c>
      <c r="F1472" s="10">
        <v>1.2</v>
      </c>
      <c r="G1472" s="10">
        <v>1</v>
      </c>
      <c r="H1472" s="10">
        <v>1.2</v>
      </c>
      <c r="I1472" s="10">
        <v>0</v>
      </c>
      <c r="J1472" s="10">
        <v>0</v>
      </c>
      <c r="K1472" s="10">
        <v>0</v>
      </c>
      <c r="L1472" s="10">
        <v>0</v>
      </c>
      <c r="M1472" s="10">
        <v>0</v>
      </c>
      <c r="N1472" s="10">
        <v>0.2</v>
      </c>
      <c r="O1472" s="8" t="s">
        <v>57</v>
      </c>
      <c r="P1472" s="8" t="s">
        <v>31</v>
      </c>
      <c r="Q1472" s="8" t="s">
        <v>31</v>
      </c>
      <c r="R1472" s="8" t="s">
        <v>31</v>
      </c>
      <c r="S1472" s="8" t="s">
        <v>31</v>
      </c>
      <c r="T1472" s="8" t="s">
        <v>31</v>
      </c>
      <c r="U1472" s="8" t="s">
        <v>31</v>
      </c>
      <c r="V1472" s="8" t="s">
        <v>31</v>
      </c>
      <c r="W1472" s="8" t="str">
        <f>_xlfn.IFNA(VLOOKUP(A1472,[1]Sheet1!$A$1:$B$101,1,FALSE),"na")</f>
        <v>na</v>
      </c>
      <c r="X1472" s="8" t="s">
        <v>35</v>
      </c>
      <c r="Y1472" s="9">
        <v>962</v>
      </c>
      <c r="Z1472" s="9">
        <v>437.27271000000002</v>
      </c>
      <c r="AA1472" s="9">
        <v>962</v>
      </c>
      <c r="AB1472" s="9">
        <v>801.66663000000005</v>
      </c>
    </row>
    <row r="1473" spans="1:28" x14ac:dyDescent="0.25">
      <c r="A1473" s="8" t="s">
        <v>3046</v>
      </c>
      <c r="B1473" s="8" t="s">
        <v>3047</v>
      </c>
      <c r="C1473" s="8" t="s">
        <v>67</v>
      </c>
      <c r="D1473" s="10">
        <v>3.4000001000000002</v>
      </c>
      <c r="E1473" s="10">
        <v>3</v>
      </c>
      <c r="F1473" s="10">
        <v>0.40000001000000002</v>
      </c>
      <c r="G1473" s="10">
        <v>3</v>
      </c>
      <c r="H1473" s="10">
        <v>0.40000001000000002</v>
      </c>
      <c r="I1473" s="10">
        <v>0</v>
      </c>
      <c r="J1473" s="10">
        <v>0</v>
      </c>
      <c r="K1473" s="10">
        <v>0</v>
      </c>
      <c r="L1473" s="10">
        <v>0</v>
      </c>
      <c r="M1473" s="10">
        <v>0</v>
      </c>
      <c r="N1473" s="10">
        <v>0.40000001000000002</v>
      </c>
      <c r="O1473" s="8" t="s">
        <v>31</v>
      </c>
      <c r="P1473" s="8" t="s">
        <v>31</v>
      </c>
      <c r="Q1473" s="8" t="s">
        <v>31</v>
      </c>
      <c r="R1473" s="8" t="s">
        <v>31</v>
      </c>
      <c r="S1473" s="8" t="s">
        <v>31</v>
      </c>
      <c r="T1473" s="8" t="s">
        <v>31</v>
      </c>
      <c r="U1473" s="8" t="s">
        <v>31</v>
      </c>
      <c r="V1473" s="8" t="s">
        <v>31</v>
      </c>
      <c r="W1473" s="8" t="str">
        <f>_xlfn.IFNA(VLOOKUP(A1473,[1]Sheet1!$A$1:$B$101,1,FALSE),"na")</f>
        <v>na</v>
      </c>
      <c r="X1473" s="8" t="s">
        <v>799</v>
      </c>
      <c r="Y1473" s="9">
        <v>338</v>
      </c>
      <c r="Z1473" s="9">
        <v>99.411758000000006</v>
      </c>
      <c r="AA1473" s="9">
        <v>112.66665999999999</v>
      </c>
      <c r="AB1473" s="9">
        <v>338</v>
      </c>
    </row>
    <row r="1474" spans="1:28" x14ac:dyDescent="0.25">
      <c r="A1474" s="8" t="s">
        <v>3048</v>
      </c>
      <c r="B1474" s="8" t="s">
        <v>3049</v>
      </c>
      <c r="C1474" s="8" t="s">
        <v>30</v>
      </c>
      <c r="D1474" s="10">
        <v>1.6</v>
      </c>
      <c r="E1474" s="10">
        <v>1</v>
      </c>
      <c r="F1474" s="10">
        <v>0.60000001999999997</v>
      </c>
      <c r="G1474" s="10">
        <v>1</v>
      </c>
      <c r="H1474" s="10">
        <v>0.60000001999999997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0.60000001999999997</v>
      </c>
      <c r="O1474" s="8" t="s">
        <v>31</v>
      </c>
      <c r="P1474" s="8" t="s">
        <v>31</v>
      </c>
      <c r="Q1474" s="8" t="s">
        <v>31</v>
      </c>
      <c r="R1474" s="8" t="s">
        <v>31</v>
      </c>
      <c r="S1474" s="8" t="s">
        <v>31</v>
      </c>
      <c r="T1474" s="8" t="s">
        <v>31</v>
      </c>
      <c r="U1474" s="8" t="s">
        <v>31</v>
      </c>
      <c r="V1474" s="8" t="s">
        <v>31</v>
      </c>
      <c r="W1474" s="8" t="str">
        <f>_xlfn.IFNA(VLOOKUP(A1474,[1]Sheet1!$A$1:$B$101,1,FALSE),"na")</f>
        <v>na</v>
      </c>
      <c r="X1474" s="8" t="s">
        <v>35</v>
      </c>
      <c r="Y1474" s="9">
        <v>750</v>
      </c>
      <c r="Z1474" s="9">
        <v>468.75</v>
      </c>
      <c r="AA1474" s="9">
        <v>750</v>
      </c>
      <c r="AB1474" s="9">
        <v>750</v>
      </c>
    </row>
    <row r="1475" spans="1:28" x14ac:dyDescent="0.25">
      <c r="A1475" s="8" t="s">
        <v>3050</v>
      </c>
      <c r="B1475" s="8" t="s">
        <v>3051</v>
      </c>
      <c r="C1475" s="8" t="s">
        <v>67</v>
      </c>
      <c r="D1475" s="10">
        <v>6</v>
      </c>
      <c r="E1475" s="10">
        <v>5.4000000999999997</v>
      </c>
      <c r="F1475" s="10">
        <v>0.60000001999999997</v>
      </c>
      <c r="G1475" s="10">
        <v>5</v>
      </c>
      <c r="H1475" s="10">
        <v>0.60000001999999997</v>
      </c>
      <c r="I1475" s="10">
        <v>0.40000001000000002</v>
      </c>
      <c r="J1475" s="10">
        <v>0</v>
      </c>
      <c r="K1475" s="10">
        <v>0</v>
      </c>
      <c r="L1475" s="10">
        <v>0.60000001999999997</v>
      </c>
      <c r="M1475" s="10">
        <v>0</v>
      </c>
      <c r="N1475" s="10">
        <v>0.60000001999999997</v>
      </c>
      <c r="O1475" s="8" t="s">
        <v>31</v>
      </c>
      <c r="P1475" s="8" t="s">
        <v>31</v>
      </c>
      <c r="Q1475" s="8" t="s">
        <v>31</v>
      </c>
      <c r="R1475" s="8" t="s">
        <v>31</v>
      </c>
      <c r="S1475" s="8" t="s">
        <v>31</v>
      </c>
      <c r="T1475" s="8" t="s">
        <v>31</v>
      </c>
      <c r="U1475" s="8" t="s">
        <v>31</v>
      </c>
      <c r="V1475" s="8" t="s">
        <v>31</v>
      </c>
      <c r="W1475" s="8" t="str">
        <f>_xlfn.IFNA(VLOOKUP(A1475,[1]Sheet1!$A$1:$B$101,1,FALSE),"na")</f>
        <v>na</v>
      </c>
      <c r="X1475" s="8" t="s">
        <v>35</v>
      </c>
      <c r="Y1475" s="9">
        <v>1077</v>
      </c>
      <c r="Z1475" s="9">
        <v>179.5</v>
      </c>
      <c r="AA1475" s="9">
        <v>199.44443999999999</v>
      </c>
      <c r="AB1475" s="9">
        <v>1077</v>
      </c>
    </row>
    <row r="1476" spans="1:28" x14ac:dyDescent="0.25">
      <c r="A1476" s="8" t="s">
        <v>3052</v>
      </c>
      <c r="B1476" s="8" t="s">
        <v>3053</v>
      </c>
      <c r="C1476" s="8" t="s">
        <v>30</v>
      </c>
      <c r="D1476" s="10">
        <v>1.4</v>
      </c>
      <c r="E1476" s="10">
        <v>1</v>
      </c>
      <c r="F1476" s="10">
        <v>0.40000001000000002</v>
      </c>
      <c r="G1476" s="10">
        <v>1</v>
      </c>
      <c r="H1476" s="10">
        <v>0.40000001000000002</v>
      </c>
      <c r="I1476" s="10">
        <v>0</v>
      </c>
      <c r="J1476" s="10">
        <v>0</v>
      </c>
      <c r="K1476" s="10">
        <v>0</v>
      </c>
      <c r="L1476" s="10">
        <v>0</v>
      </c>
      <c r="M1476" s="10">
        <v>0</v>
      </c>
      <c r="N1476" s="10">
        <v>0.40000001000000002</v>
      </c>
      <c r="O1476" s="8" t="s">
        <v>31</v>
      </c>
      <c r="P1476" s="8" t="s">
        <v>31</v>
      </c>
      <c r="Q1476" s="8" t="s">
        <v>31</v>
      </c>
      <c r="R1476" s="8" t="s">
        <v>31</v>
      </c>
      <c r="S1476" s="8" t="s">
        <v>31</v>
      </c>
      <c r="T1476" s="8" t="s">
        <v>31</v>
      </c>
      <c r="U1476" s="8" t="s">
        <v>31</v>
      </c>
      <c r="V1476" s="8" t="s">
        <v>31</v>
      </c>
      <c r="W1476" s="8" t="str">
        <f>_xlfn.IFNA(VLOOKUP(A1476,[1]Sheet1!$A$1:$B$101,1,FALSE),"na")</f>
        <v>na</v>
      </c>
      <c r="X1476" s="8" t="s">
        <v>35</v>
      </c>
      <c r="Y1476" s="9">
        <v>631</v>
      </c>
      <c r="Z1476" s="9">
        <v>450.71429000000001</v>
      </c>
      <c r="AA1476" s="9">
        <v>631</v>
      </c>
      <c r="AB1476" s="9">
        <v>631</v>
      </c>
    </row>
    <row r="1477" spans="1:28" x14ac:dyDescent="0.25">
      <c r="A1477" s="8" t="s">
        <v>3054</v>
      </c>
      <c r="B1477" s="8" t="s">
        <v>3055</v>
      </c>
      <c r="C1477" s="8" t="s">
        <v>30</v>
      </c>
      <c r="D1477" s="10">
        <v>2.5999998999999998</v>
      </c>
      <c r="E1477" s="10">
        <v>1</v>
      </c>
      <c r="F1477" s="10">
        <v>1.6</v>
      </c>
      <c r="G1477" s="10">
        <v>1</v>
      </c>
      <c r="H1477" s="10">
        <v>1.6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0.60000001999999997</v>
      </c>
      <c r="O1477" s="8" t="s">
        <v>57</v>
      </c>
      <c r="P1477" s="8" t="s">
        <v>31</v>
      </c>
      <c r="Q1477" s="8" t="s">
        <v>31</v>
      </c>
      <c r="R1477" s="8" t="s">
        <v>31</v>
      </c>
      <c r="S1477" s="8" t="s">
        <v>31</v>
      </c>
      <c r="T1477" s="8" t="s">
        <v>31</v>
      </c>
      <c r="U1477" s="8" t="s">
        <v>31</v>
      </c>
      <c r="V1477" s="8" t="s">
        <v>31</v>
      </c>
      <c r="W1477" s="8" t="str">
        <f>_xlfn.IFNA(VLOOKUP(A1477,[1]Sheet1!$A$1:$B$101,1,FALSE),"na")</f>
        <v>na</v>
      </c>
      <c r="X1477" s="8" t="s">
        <v>35</v>
      </c>
      <c r="Y1477" s="9">
        <v>811</v>
      </c>
      <c r="Z1477" s="9">
        <v>311.92309999999998</v>
      </c>
      <c r="AA1477" s="9">
        <v>811</v>
      </c>
      <c r="AB1477" s="9">
        <v>506.875</v>
      </c>
    </row>
    <row r="1478" spans="1:28" x14ac:dyDescent="0.25">
      <c r="A1478" s="8" t="s">
        <v>3056</v>
      </c>
      <c r="B1478" s="8" t="s">
        <v>3057</v>
      </c>
      <c r="C1478" s="8" t="s">
        <v>30</v>
      </c>
      <c r="D1478" s="10">
        <v>2</v>
      </c>
      <c r="E1478" s="10">
        <v>0</v>
      </c>
      <c r="F1478" s="10">
        <v>2</v>
      </c>
      <c r="G1478" s="10">
        <v>0</v>
      </c>
      <c r="H1478" s="10">
        <v>2</v>
      </c>
      <c r="I1478" s="10">
        <v>0</v>
      </c>
      <c r="J1478" s="10">
        <v>0</v>
      </c>
      <c r="K1478" s="10">
        <v>0</v>
      </c>
      <c r="L1478" s="10">
        <v>0.60000001999999997</v>
      </c>
      <c r="M1478" s="10">
        <v>0</v>
      </c>
      <c r="N1478" s="10">
        <v>1</v>
      </c>
      <c r="O1478" s="8" t="s">
        <v>57</v>
      </c>
      <c r="P1478" s="8" t="s">
        <v>31</v>
      </c>
      <c r="Q1478" s="8" t="s">
        <v>31</v>
      </c>
      <c r="R1478" s="8" t="s">
        <v>31</v>
      </c>
      <c r="S1478" s="8" t="s">
        <v>31</v>
      </c>
      <c r="T1478" s="8" t="s">
        <v>31</v>
      </c>
      <c r="U1478" s="8" t="s">
        <v>31</v>
      </c>
      <c r="V1478" s="8" t="s">
        <v>31</v>
      </c>
      <c r="W1478" s="8" t="str">
        <f>_xlfn.IFNA(VLOOKUP(A1478,[1]Sheet1!$A$1:$B$101,1,FALSE),"na")</f>
        <v>na</v>
      </c>
      <c r="X1478" s="8" t="s">
        <v>35</v>
      </c>
      <c r="Y1478" s="9">
        <v>793</v>
      </c>
      <c r="Z1478" s="9">
        <v>396.5</v>
      </c>
      <c r="AA1478" s="9">
        <v>793</v>
      </c>
      <c r="AB1478" s="9">
        <v>396.5</v>
      </c>
    </row>
    <row r="1479" spans="1:28" x14ac:dyDescent="0.25">
      <c r="A1479" s="8" t="s">
        <v>3058</v>
      </c>
      <c r="B1479" s="8" t="s">
        <v>3059</v>
      </c>
      <c r="C1479" s="8" t="s">
        <v>30</v>
      </c>
      <c r="D1479" s="10">
        <v>2.2000000000000002</v>
      </c>
      <c r="E1479" s="10">
        <v>1.8</v>
      </c>
      <c r="F1479" s="10">
        <v>0.40000001000000002</v>
      </c>
      <c r="G1479" s="10">
        <v>1</v>
      </c>
      <c r="H1479" s="10">
        <v>0.40000001000000002</v>
      </c>
      <c r="I1479" s="10">
        <v>0.80000000999999998</v>
      </c>
      <c r="J1479" s="10">
        <v>0</v>
      </c>
      <c r="K1479" s="10">
        <v>0</v>
      </c>
      <c r="L1479" s="10">
        <v>0</v>
      </c>
      <c r="M1479" s="10">
        <v>1</v>
      </c>
      <c r="N1479" s="10">
        <v>0.40000001000000002</v>
      </c>
      <c r="O1479" s="8" t="s">
        <v>31</v>
      </c>
      <c r="P1479" s="8" t="s">
        <v>31</v>
      </c>
      <c r="Q1479" s="8" t="s">
        <v>31</v>
      </c>
      <c r="R1479" s="8" t="s">
        <v>31</v>
      </c>
      <c r="S1479" s="8" t="s">
        <v>31</v>
      </c>
      <c r="T1479" s="8" t="s">
        <v>31</v>
      </c>
      <c r="U1479" s="8" t="s">
        <v>31</v>
      </c>
      <c r="V1479" s="8" t="s">
        <v>31</v>
      </c>
      <c r="W1479" s="8" t="str">
        <f>_xlfn.IFNA(VLOOKUP(A1479,[1]Sheet1!$A$1:$B$101,1,FALSE),"na")</f>
        <v>na</v>
      </c>
      <c r="X1479" s="8" t="s">
        <v>35</v>
      </c>
      <c r="Y1479" s="9">
        <v>512</v>
      </c>
      <c r="Z1479" s="9">
        <v>232.72726</v>
      </c>
      <c r="AA1479" s="9">
        <v>284.44445999999999</v>
      </c>
      <c r="AB1479" s="9">
        <v>512</v>
      </c>
    </row>
    <row r="1480" spans="1:28" x14ac:dyDescent="0.25">
      <c r="A1480" s="8" t="s">
        <v>3060</v>
      </c>
      <c r="B1480" s="8" t="s">
        <v>3061</v>
      </c>
      <c r="C1480" s="8" t="s">
        <v>30</v>
      </c>
      <c r="D1480" s="10">
        <v>1.8</v>
      </c>
      <c r="E1480" s="10">
        <v>1</v>
      </c>
      <c r="F1480" s="10">
        <v>0.80000000999999998</v>
      </c>
      <c r="G1480" s="10">
        <v>1</v>
      </c>
      <c r="H1480" s="10">
        <v>0.80000000999999998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0.80000000999999998</v>
      </c>
      <c r="O1480" s="8" t="s">
        <v>31</v>
      </c>
      <c r="P1480" s="8" t="s">
        <v>31</v>
      </c>
      <c r="Q1480" s="8" t="s">
        <v>31</v>
      </c>
      <c r="R1480" s="8" t="s">
        <v>31</v>
      </c>
      <c r="S1480" s="8" t="s">
        <v>31</v>
      </c>
      <c r="T1480" s="8" t="s">
        <v>31</v>
      </c>
      <c r="U1480" s="8" t="s">
        <v>31</v>
      </c>
      <c r="V1480" s="8" t="s">
        <v>31</v>
      </c>
      <c r="W1480" s="8" t="str">
        <f>_xlfn.IFNA(VLOOKUP(A1480,[1]Sheet1!$A$1:$B$101,1,FALSE),"na")</f>
        <v>na</v>
      </c>
      <c r="X1480" s="8" t="s">
        <v>35</v>
      </c>
      <c r="Y1480" s="9">
        <v>643</v>
      </c>
      <c r="Z1480" s="9">
        <v>357.22223000000002</v>
      </c>
      <c r="AA1480" s="9">
        <v>643</v>
      </c>
      <c r="AB1480" s="9">
        <v>643</v>
      </c>
    </row>
    <row r="1481" spans="1:28" x14ac:dyDescent="0.25">
      <c r="A1481" s="8" t="s">
        <v>3062</v>
      </c>
      <c r="B1481" s="8" t="s">
        <v>3063</v>
      </c>
      <c r="C1481" s="8" t="s">
        <v>30</v>
      </c>
      <c r="D1481" s="10">
        <v>1.7</v>
      </c>
      <c r="E1481" s="10">
        <v>1</v>
      </c>
      <c r="F1481" s="10">
        <v>0.69999999000000002</v>
      </c>
      <c r="G1481" s="10">
        <v>1</v>
      </c>
      <c r="H1481" s="10">
        <v>0.69999999000000002</v>
      </c>
      <c r="I1481" s="10">
        <v>0</v>
      </c>
      <c r="J1481" s="10">
        <v>0</v>
      </c>
      <c r="K1481" s="10">
        <v>0</v>
      </c>
      <c r="L1481" s="10">
        <v>0.30000000999999998</v>
      </c>
      <c r="M1481" s="10">
        <v>0</v>
      </c>
      <c r="N1481" s="10">
        <v>0.69999999000000002</v>
      </c>
      <c r="O1481" s="8" t="s">
        <v>31</v>
      </c>
      <c r="P1481" s="8" t="s">
        <v>31</v>
      </c>
      <c r="Q1481" s="8" t="s">
        <v>31</v>
      </c>
      <c r="R1481" s="8" t="s">
        <v>31</v>
      </c>
      <c r="S1481" s="8" t="s">
        <v>31</v>
      </c>
      <c r="T1481" s="8" t="s">
        <v>31</v>
      </c>
      <c r="U1481" s="8" t="s">
        <v>31</v>
      </c>
      <c r="V1481" s="8" t="s">
        <v>31</v>
      </c>
      <c r="W1481" s="8" t="str">
        <f>_xlfn.IFNA(VLOOKUP(A1481,[1]Sheet1!$A$1:$B$101,1,FALSE),"na")</f>
        <v>na</v>
      </c>
      <c r="X1481" s="8" t="s">
        <v>799</v>
      </c>
      <c r="Y1481" s="9">
        <v>392</v>
      </c>
      <c r="Z1481" s="9">
        <v>230.58823000000001</v>
      </c>
      <c r="AA1481" s="9">
        <v>392</v>
      </c>
      <c r="AB1481" s="9">
        <v>392</v>
      </c>
    </row>
    <row r="1482" spans="1:28" x14ac:dyDescent="0.25">
      <c r="A1482" s="8" t="s">
        <v>3064</v>
      </c>
      <c r="B1482" s="8" t="s">
        <v>3065</v>
      </c>
      <c r="C1482" s="8" t="s">
        <v>30</v>
      </c>
      <c r="D1482" s="10">
        <v>1.2</v>
      </c>
      <c r="E1482" s="10">
        <v>1</v>
      </c>
      <c r="F1482" s="10">
        <v>0.2</v>
      </c>
      <c r="G1482" s="10">
        <v>1</v>
      </c>
      <c r="H1482" s="10">
        <v>0.2</v>
      </c>
      <c r="I1482" s="10">
        <v>0</v>
      </c>
      <c r="J1482" s="10">
        <v>0</v>
      </c>
      <c r="K1482" s="10">
        <v>0</v>
      </c>
      <c r="L1482" s="10">
        <v>0</v>
      </c>
      <c r="M1482" s="10">
        <v>0</v>
      </c>
      <c r="N1482" s="10">
        <v>0.2</v>
      </c>
      <c r="O1482" s="8" t="s">
        <v>31</v>
      </c>
      <c r="P1482" s="8" t="s">
        <v>31</v>
      </c>
      <c r="Q1482" s="8" t="s">
        <v>31</v>
      </c>
      <c r="R1482" s="8" t="s">
        <v>31</v>
      </c>
      <c r="S1482" s="8" t="s">
        <v>31</v>
      </c>
      <c r="T1482" s="8" t="s">
        <v>31</v>
      </c>
      <c r="U1482" s="8" t="s">
        <v>31</v>
      </c>
      <c r="V1482" s="8" t="s">
        <v>31</v>
      </c>
      <c r="W1482" s="8" t="str">
        <f>_xlfn.IFNA(VLOOKUP(A1482,[1]Sheet1!$A$1:$B$101,1,FALSE),"na")</f>
        <v>na</v>
      </c>
      <c r="X1482" s="8" t="s">
        <v>35</v>
      </c>
      <c r="Y1482" s="9">
        <v>721</v>
      </c>
      <c r="Z1482" s="9">
        <v>600.83330999999998</v>
      </c>
      <c r="AA1482" s="9">
        <v>721</v>
      </c>
      <c r="AB1482" s="9">
        <v>721</v>
      </c>
    </row>
    <row r="1483" spans="1:28" x14ac:dyDescent="0.25">
      <c r="A1483" s="8" t="s">
        <v>3066</v>
      </c>
      <c r="B1483" s="8" t="s">
        <v>3067</v>
      </c>
      <c r="C1483" s="8" t="s">
        <v>30</v>
      </c>
      <c r="D1483" s="10">
        <v>2.4000001000000002</v>
      </c>
      <c r="E1483" s="10">
        <v>1</v>
      </c>
      <c r="F1483" s="10">
        <v>1.4</v>
      </c>
      <c r="G1483" s="10">
        <v>1</v>
      </c>
      <c r="H1483" s="10">
        <v>1.4</v>
      </c>
      <c r="I1483" s="10">
        <v>0</v>
      </c>
      <c r="J1483" s="10">
        <v>0</v>
      </c>
      <c r="K1483" s="10">
        <v>0</v>
      </c>
      <c r="L1483" s="10">
        <v>0.40000001000000002</v>
      </c>
      <c r="M1483" s="10">
        <v>0</v>
      </c>
      <c r="N1483" s="10">
        <v>0.40000001000000002</v>
      </c>
      <c r="O1483" s="8" t="s">
        <v>57</v>
      </c>
      <c r="P1483" s="8" t="s">
        <v>31</v>
      </c>
      <c r="Q1483" s="8" t="s">
        <v>31</v>
      </c>
      <c r="R1483" s="8" t="s">
        <v>31</v>
      </c>
      <c r="S1483" s="8" t="s">
        <v>31</v>
      </c>
      <c r="T1483" s="8" t="s">
        <v>31</v>
      </c>
      <c r="U1483" s="8" t="s">
        <v>31</v>
      </c>
      <c r="V1483" s="8" t="s">
        <v>31</v>
      </c>
      <c r="W1483" s="8" t="str">
        <f>_xlfn.IFNA(VLOOKUP(A1483,[1]Sheet1!$A$1:$B$101,1,FALSE),"na")</f>
        <v>na</v>
      </c>
      <c r="X1483" s="8" t="s">
        <v>35</v>
      </c>
      <c r="Y1483" s="9">
        <v>251</v>
      </c>
      <c r="Z1483" s="9">
        <v>104.58333</v>
      </c>
      <c r="AA1483" s="9">
        <v>251</v>
      </c>
      <c r="AB1483" s="9">
        <v>179.28572</v>
      </c>
    </row>
    <row r="1484" spans="1:28" x14ac:dyDescent="0.25">
      <c r="A1484" s="8" t="s">
        <v>3068</v>
      </c>
      <c r="B1484" s="8" t="s">
        <v>3069</v>
      </c>
      <c r="C1484" s="8" t="s">
        <v>30</v>
      </c>
      <c r="D1484" s="10">
        <v>1.8</v>
      </c>
      <c r="E1484" s="10">
        <v>1</v>
      </c>
      <c r="F1484" s="10">
        <v>0.80000000999999998</v>
      </c>
      <c r="G1484" s="10">
        <v>1</v>
      </c>
      <c r="H1484" s="10">
        <v>0.80000000999999998</v>
      </c>
      <c r="I1484" s="10">
        <v>0</v>
      </c>
      <c r="J1484" s="10">
        <v>0</v>
      </c>
      <c r="K1484" s="10">
        <v>0</v>
      </c>
      <c r="L1484" s="10">
        <v>0</v>
      </c>
      <c r="M1484" s="10">
        <v>0</v>
      </c>
      <c r="N1484" s="10">
        <v>0.80000000999999998</v>
      </c>
      <c r="O1484" s="8" t="s">
        <v>31</v>
      </c>
      <c r="P1484" s="8" t="s">
        <v>31</v>
      </c>
      <c r="Q1484" s="8" t="s">
        <v>31</v>
      </c>
      <c r="R1484" s="8" t="s">
        <v>31</v>
      </c>
      <c r="S1484" s="8" t="s">
        <v>31</v>
      </c>
      <c r="T1484" s="8" t="s">
        <v>31</v>
      </c>
      <c r="U1484" s="8" t="s">
        <v>31</v>
      </c>
      <c r="V1484" s="8" t="s">
        <v>31</v>
      </c>
      <c r="W1484" s="8" t="str">
        <f>_xlfn.IFNA(VLOOKUP(A1484,[1]Sheet1!$A$1:$B$101,1,FALSE),"na")</f>
        <v>na</v>
      </c>
      <c r="X1484" s="8" t="s">
        <v>35</v>
      </c>
      <c r="Y1484" s="9">
        <v>600</v>
      </c>
      <c r="Z1484" s="9">
        <v>333.33334000000002</v>
      </c>
      <c r="AA1484" s="9">
        <v>600</v>
      </c>
      <c r="AB1484" s="9">
        <v>600</v>
      </c>
    </row>
    <row r="1485" spans="1:28" x14ac:dyDescent="0.25">
      <c r="A1485" s="8" t="s">
        <v>3070</v>
      </c>
      <c r="B1485" s="8" t="s">
        <v>3071</v>
      </c>
      <c r="C1485" s="8" t="s">
        <v>67</v>
      </c>
      <c r="D1485" s="10">
        <v>3.2</v>
      </c>
      <c r="E1485" s="10">
        <v>3</v>
      </c>
      <c r="F1485" s="10">
        <v>0.2</v>
      </c>
      <c r="G1485" s="10">
        <v>3</v>
      </c>
      <c r="H1485" s="10">
        <v>0.2</v>
      </c>
      <c r="I1485" s="10">
        <v>0</v>
      </c>
      <c r="J1485" s="10">
        <v>0</v>
      </c>
      <c r="K1485" s="10">
        <v>0</v>
      </c>
      <c r="L1485" s="10">
        <v>0</v>
      </c>
      <c r="M1485" s="10">
        <v>0</v>
      </c>
      <c r="N1485" s="10">
        <v>0.2</v>
      </c>
      <c r="O1485" s="8" t="s">
        <v>31</v>
      </c>
      <c r="P1485" s="8" t="s">
        <v>31</v>
      </c>
      <c r="Q1485" s="8" t="s">
        <v>31</v>
      </c>
      <c r="R1485" s="8" t="s">
        <v>31</v>
      </c>
      <c r="S1485" s="8" t="s">
        <v>31</v>
      </c>
      <c r="T1485" s="8" t="s">
        <v>31</v>
      </c>
      <c r="U1485" s="8" t="s">
        <v>31</v>
      </c>
      <c r="V1485" s="8" t="s">
        <v>31</v>
      </c>
      <c r="W1485" s="8" t="str">
        <f>_xlfn.IFNA(VLOOKUP(A1485,[1]Sheet1!$A$1:$B$101,1,FALSE),"na")</f>
        <v>na</v>
      </c>
      <c r="X1485" s="8" t="s">
        <v>35</v>
      </c>
      <c r="Y1485" s="9">
        <v>874</v>
      </c>
      <c r="Z1485" s="9">
        <v>273.125</v>
      </c>
      <c r="AA1485" s="9">
        <v>291.33334000000002</v>
      </c>
      <c r="AB1485" s="9">
        <v>874</v>
      </c>
    </row>
    <row r="1486" spans="1:28" x14ac:dyDescent="0.25">
      <c r="A1486" s="8" t="s">
        <v>3072</v>
      </c>
      <c r="B1486" s="8" t="s">
        <v>3073</v>
      </c>
      <c r="C1486" s="8" t="s">
        <v>30</v>
      </c>
      <c r="D1486" s="10">
        <v>2.4000001000000002</v>
      </c>
      <c r="E1486" s="10">
        <v>1</v>
      </c>
      <c r="F1486" s="10">
        <v>1.4</v>
      </c>
      <c r="G1486" s="10">
        <v>1</v>
      </c>
      <c r="H1486" s="10">
        <v>1.4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0.40000001000000002</v>
      </c>
      <c r="O1486" s="8" t="s">
        <v>57</v>
      </c>
      <c r="P1486" s="8" t="s">
        <v>57</v>
      </c>
      <c r="Q1486" s="8" t="s">
        <v>31</v>
      </c>
      <c r="R1486" s="8" t="s">
        <v>31</v>
      </c>
      <c r="S1486" s="8" t="s">
        <v>31</v>
      </c>
      <c r="T1486" s="8" t="s">
        <v>31</v>
      </c>
      <c r="U1486" s="8" t="s">
        <v>31</v>
      </c>
      <c r="V1486" s="8" t="s">
        <v>31</v>
      </c>
      <c r="W1486" s="8" t="str">
        <f>_xlfn.IFNA(VLOOKUP(A1486,[1]Sheet1!$A$1:$B$101,1,FALSE),"na")</f>
        <v>na</v>
      </c>
      <c r="X1486" s="8" t="s">
        <v>35</v>
      </c>
      <c r="Y1486" s="9">
        <v>455</v>
      </c>
      <c r="Z1486" s="9">
        <v>189.58332999999999</v>
      </c>
      <c r="AA1486" s="9">
        <v>455</v>
      </c>
      <c r="AB1486" s="9">
        <v>325</v>
      </c>
    </row>
    <row r="1487" spans="1:28" x14ac:dyDescent="0.25">
      <c r="A1487" s="8" t="s">
        <v>3074</v>
      </c>
      <c r="B1487" s="8" t="s">
        <v>3075</v>
      </c>
      <c r="C1487" s="8" t="s">
        <v>67</v>
      </c>
      <c r="D1487" s="10">
        <v>2.0999998999999998</v>
      </c>
      <c r="E1487" s="10">
        <v>1</v>
      </c>
      <c r="F1487" s="10">
        <v>1.1000000000000001</v>
      </c>
      <c r="G1487" s="10">
        <v>1</v>
      </c>
      <c r="H1487" s="10">
        <v>1.1000000000000001</v>
      </c>
      <c r="I1487" s="10">
        <v>0</v>
      </c>
      <c r="J1487" s="10">
        <v>0</v>
      </c>
      <c r="K1487" s="10">
        <v>0</v>
      </c>
      <c r="L1487" s="10">
        <v>0</v>
      </c>
      <c r="M1487" s="10">
        <v>0</v>
      </c>
      <c r="N1487" s="10">
        <v>0.1</v>
      </c>
      <c r="O1487" s="8" t="s">
        <v>31</v>
      </c>
      <c r="P1487" s="8" t="s">
        <v>31</v>
      </c>
      <c r="Q1487" s="8" t="s">
        <v>31</v>
      </c>
      <c r="R1487" s="8" t="s">
        <v>57</v>
      </c>
      <c r="S1487" s="8" t="s">
        <v>31</v>
      </c>
      <c r="T1487" s="8" t="s">
        <v>31</v>
      </c>
      <c r="U1487" s="8" t="s">
        <v>31</v>
      </c>
      <c r="V1487" s="8" t="s">
        <v>31</v>
      </c>
      <c r="W1487" s="8" t="str">
        <f>_xlfn.IFNA(VLOOKUP(A1487,[1]Sheet1!$A$1:$B$101,1,FALSE),"na")</f>
        <v>na</v>
      </c>
      <c r="X1487" s="8" t="s">
        <v>35</v>
      </c>
      <c r="Y1487" s="9">
        <v>409</v>
      </c>
      <c r="Z1487" s="9">
        <v>194.76192</v>
      </c>
      <c r="AA1487" s="9">
        <v>409</v>
      </c>
      <c r="AB1487" s="9">
        <v>371.81817999999998</v>
      </c>
    </row>
    <row r="1488" spans="1:28" x14ac:dyDescent="0.25">
      <c r="A1488" s="8" t="s">
        <v>3076</v>
      </c>
      <c r="B1488" s="8" t="s">
        <v>3077</v>
      </c>
      <c r="C1488" s="8" t="s">
        <v>62</v>
      </c>
      <c r="D1488" s="10">
        <v>4</v>
      </c>
      <c r="E1488" s="10">
        <v>3</v>
      </c>
      <c r="F1488" s="10">
        <v>1</v>
      </c>
      <c r="G1488" s="10">
        <v>3</v>
      </c>
      <c r="H1488" s="10">
        <v>1</v>
      </c>
      <c r="I1488" s="10">
        <v>0</v>
      </c>
      <c r="J1488" s="10">
        <v>0</v>
      </c>
      <c r="K1488" s="10">
        <v>0</v>
      </c>
      <c r="L1488" s="10">
        <v>0</v>
      </c>
      <c r="M1488" s="10">
        <v>0</v>
      </c>
      <c r="N1488" s="10">
        <v>0</v>
      </c>
      <c r="O1488" s="8" t="s">
        <v>57</v>
      </c>
      <c r="P1488" s="8" t="s">
        <v>31</v>
      </c>
      <c r="Q1488" s="8" t="s">
        <v>31</v>
      </c>
      <c r="R1488" s="8" t="s">
        <v>31</v>
      </c>
      <c r="S1488" s="8" t="s">
        <v>31</v>
      </c>
      <c r="T1488" s="8" t="s">
        <v>31</v>
      </c>
      <c r="U1488" s="8" t="s">
        <v>31</v>
      </c>
      <c r="V1488" s="8" t="s">
        <v>57</v>
      </c>
      <c r="W1488" s="8" t="str">
        <f>_xlfn.IFNA(VLOOKUP(A1488,[1]Sheet1!$A$1:$B$101,1,FALSE),"na")</f>
        <v>na</v>
      </c>
      <c r="X1488" s="8" t="s">
        <v>35</v>
      </c>
      <c r="Y1488" s="9">
        <v>537</v>
      </c>
      <c r="Z1488" s="9">
        <v>134.25</v>
      </c>
      <c r="AA1488" s="9">
        <v>179</v>
      </c>
      <c r="AB1488" s="9">
        <v>537</v>
      </c>
    </row>
    <row r="1489" spans="1:28" x14ac:dyDescent="0.25">
      <c r="A1489" s="8" t="s">
        <v>3078</v>
      </c>
      <c r="B1489" s="8" t="s">
        <v>3079</v>
      </c>
      <c r="C1489" s="8" t="s">
        <v>30</v>
      </c>
      <c r="D1489" s="10">
        <v>2.4000001000000002</v>
      </c>
      <c r="E1489" s="10">
        <v>1</v>
      </c>
      <c r="F1489" s="10">
        <v>1.4</v>
      </c>
      <c r="G1489" s="10">
        <v>1</v>
      </c>
      <c r="H1489" s="10">
        <v>1.4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0.40000001000000002</v>
      </c>
      <c r="O1489" s="8" t="s">
        <v>57</v>
      </c>
      <c r="P1489" s="8" t="s">
        <v>31</v>
      </c>
      <c r="Q1489" s="8" t="s">
        <v>31</v>
      </c>
      <c r="R1489" s="8" t="s">
        <v>31</v>
      </c>
      <c r="S1489" s="8" t="s">
        <v>31</v>
      </c>
      <c r="T1489" s="8" t="s">
        <v>31</v>
      </c>
      <c r="U1489" s="8" t="s">
        <v>31</v>
      </c>
      <c r="V1489" s="8" t="s">
        <v>31</v>
      </c>
      <c r="W1489" s="8" t="str">
        <f>_xlfn.IFNA(VLOOKUP(A1489,[1]Sheet1!$A$1:$B$101,1,FALSE),"na")</f>
        <v>na</v>
      </c>
      <c r="X1489" s="8" t="s">
        <v>35</v>
      </c>
      <c r="Y1489" s="9">
        <v>340</v>
      </c>
      <c r="Z1489" s="9">
        <v>141.66666000000001</v>
      </c>
      <c r="AA1489" s="9">
        <v>340</v>
      </c>
      <c r="AB1489" s="9">
        <v>242.85714999999999</v>
      </c>
    </row>
    <row r="1490" spans="1:28" x14ac:dyDescent="0.25">
      <c r="A1490" s="8" t="s">
        <v>3080</v>
      </c>
      <c r="B1490" s="8" t="s">
        <v>3081</v>
      </c>
      <c r="C1490" s="8" t="s">
        <v>30</v>
      </c>
      <c r="D1490" s="10">
        <v>3.4000001000000002</v>
      </c>
      <c r="E1490" s="10">
        <v>2</v>
      </c>
      <c r="F1490" s="10">
        <v>1.4</v>
      </c>
      <c r="G1490" s="10">
        <v>2</v>
      </c>
      <c r="H1490" s="10">
        <v>1.4</v>
      </c>
      <c r="I1490" s="10">
        <v>0</v>
      </c>
      <c r="J1490" s="10">
        <v>0</v>
      </c>
      <c r="K1490" s="10">
        <v>0</v>
      </c>
      <c r="L1490" s="10">
        <v>0.40000001000000002</v>
      </c>
      <c r="M1490" s="10">
        <v>0</v>
      </c>
      <c r="N1490" s="10">
        <v>0.40000001000000002</v>
      </c>
      <c r="O1490" s="8" t="s">
        <v>57</v>
      </c>
      <c r="P1490" s="8" t="s">
        <v>57</v>
      </c>
      <c r="Q1490" s="8" t="s">
        <v>31</v>
      </c>
      <c r="R1490" s="8" t="s">
        <v>31</v>
      </c>
      <c r="S1490" s="8" t="s">
        <v>31</v>
      </c>
      <c r="T1490" s="8" t="s">
        <v>31</v>
      </c>
      <c r="U1490" s="8" t="s">
        <v>31</v>
      </c>
      <c r="V1490" s="8" t="s">
        <v>31</v>
      </c>
      <c r="W1490" s="8" t="str">
        <f>_xlfn.IFNA(VLOOKUP(A1490,[1]Sheet1!$A$1:$B$101,1,FALSE),"na")</f>
        <v>na</v>
      </c>
      <c r="X1490" s="8" t="s">
        <v>35</v>
      </c>
      <c r="Y1490" s="9">
        <v>379</v>
      </c>
      <c r="Z1490" s="9">
        <v>111.47059</v>
      </c>
      <c r="AA1490" s="9">
        <v>189.5</v>
      </c>
      <c r="AB1490" s="9">
        <v>270.71429000000001</v>
      </c>
    </row>
    <row r="1491" spans="1:28" x14ac:dyDescent="0.25">
      <c r="A1491" s="8" t="s">
        <v>3082</v>
      </c>
      <c r="B1491" s="8" t="s">
        <v>3083</v>
      </c>
      <c r="C1491" s="8" t="s">
        <v>30</v>
      </c>
      <c r="D1491" s="10">
        <v>2.5999998999999998</v>
      </c>
      <c r="E1491" s="10">
        <v>2</v>
      </c>
      <c r="F1491" s="10">
        <v>0.60000001999999997</v>
      </c>
      <c r="G1491" s="10">
        <v>2</v>
      </c>
      <c r="H1491" s="10">
        <v>0.60000001999999997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0.60000001999999997</v>
      </c>
      <c r="O1491" s="8" t="s">
        <v>31</v>
      </c>
      <c r="P1491" s="8" t="s">
        <v>31</v>
      </c>
      <c r="Q1491" s="8" t="s">
        <v>31</v>
      </c>
      <c r="R1491" s="8" t="s">
        <v>31</v>
      </c>
      <c r="S1491" s="8" t="s">
        <v>31</v>
      </c>
      <c r="T1491" s="8" t="s">
        <v>31</v>
      </c>
      <c r="U1491" s="8" t="s">
        <v>31</v>
      </c>
      <c r="V1491" s="8" t="s">
        <v>31</v>
      </c>
      <c r="W1491" s="8" t="str">
        <f>_xlfn.IFNA(VLOOKUP(A1491,[1]Sheet1!$A$1:$B$101,1,FALSE),"na")</f>
        <v>na</v>
      </c>
      <c r="X1491" s="8" t="s">
        <v>35</v>
      </c>
      <c r="Y1491" s="9">
        <v>676</v>
      </c>
      <c r="Z1491" s="9">
        <v>260</v>
      </c>
      <c r="AA1491" s="9">
        <v>338</v>
      </c>
      <c r="AB1491" s="9">
        <v>676</v>
      </c>
    </row>
    <row r="1492" spans="1:28" x14ac:dyDescent="0.25">
      <c r="A1492" s="8" t="s">
        <v>3084</v>
      </c>
      <c r="B1492" s="8" t="s">
        <v>3085</v>
      </c>
      <c r="C1492" s="8" t="s">
        <v>67</v>
      </c>
      <c r="D1492" s="10">
        <v>5.4000000999999997</v>
      </c>
      <c r="E1492" s="10">
        <v>5</v>
      </c>
      <c r="F1492" s="10">
        <v>0.40000001000000002</v>
      </c>
      <c r="G1492" s="10">
        <v>5</v>
      </c>
      <c r="H1492" s="10">
        <v>0.40000001000000002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0.40000001000000002</v>
      </c>
      <c r="O1492" s="8" t="s">
        <v>31</v>
      </c>
      <c r="P1492" s="8" t="s">
        <v>31</v>
      </c>
      <c r="Q1492" s="8" t="s">
        <v>31</v>
      </c>
      <c r="R1492" s="8" t="s">
        <v>31</v>
      </c>
      <c r="S1492" s="8" t="s">
        <v>31</v>
      </c>
      <c r="T1492" s="8" t="s">
        <v>31</v>
      </c>
      <c r="U1492" s="8" t="s">
        <v>31</v>
      </c>
      <c r="V1492" s="8" t="s">
        <v>31</v>
      </c>
      <c r="W1492" s="8" t="str">
        <f>_xlfn.IFNA(VLOOKUP(A1492,[1]Sheet1!$A$1:$B$101,1,FALSE),"na")</f>
        <v>na</v>
      </c>
      <c r="X1492" s="8" t="s">
        <v>35</v>
      </c>
      <c r="Y1492" s="9">
        <v>1539</v>
      </c>
      <c r="Z1492" s="9">
        <v>285</v>
      </c>
      <c r="AA1492" s="9">
        <v>307.79998999999998</v>
      </c>
      <c r="AB1492" s="9">
        <v>1539</v>
      </c>
    </row>
    <row r="1493" spans="1:28" x14ac:dyDescent="0.25">
      <c r="A1493" s="8" t="s">
        <v>3086</v>
      </c>
      <c r="B1493" s="8" t="s">
        <v>3087</v>
      </c>
      <c r="C1493" s="8" t="s">
        <v>30</v>
      </c>
      <c r="D1493" s="10">
        <v>1.6</v>
      </c>
      <c r="E1493" s="10">
        <v>1</v>
      </c>
      <c r="F1493" s="10">
        <v>0.60000001999999997</v>
      </c>
      <c r="G1493" s="10">
        <v>1</v>
      </c>
      <c r="H1493" s="10">
        <v>0.60000001999999997</v>
      </c>
      <c r="I1493" s="10">
        <v>0</v>
      </c>
      <c r="J1493" s="10">
        <v>0</v>
      </c>
      <c r="K1493" s="10">
        <v>0</v>
      </c>
      <c r="L1493" s="10">
        <v>0.60000001999999997</v>
      </c>
      <c r="M1493" s="10">
        <v>0</v>
      </c>
      <c r="N1493" s="10">
        <v>0.60000001999999997</v>
      </c>
      <c r="O1493" s="8" t="s">
        <v>31</v>
      </c>
      <c r="P1493" s="8" t="s">
        <v>31</v>
      </c>
      <c r="Q1493" s="8" t="s">
        <v>31</v>
      </c>
      <c r="R1493" s="8" t="s">
        <v>31</v>
      </c>
      <c r="S1493" s="8" t="s">
        <v>31</v>
      </c>
      <c r="T1493" s="8" t="s">
        <v>31</v>
      </c>
      <c r="U1493" s="8" t="s">
        <v>31</v>
      </c>
      <c r="V1493" s="8" t="s">
        <v>31</v>
      </c>
      <c r="W1493" s="8" t="str">
        <f>_xlfn.IFNA(VLOOKUP(A1493,[1]Sheet1!$A$1:$B$101,1,FALSE),"na")</f>
        <v>na</v>
      </c>
      <c r="X1493" s="8" t="s">
        <v>35</v>
      </c>
      <c r="Y1493" s="9">
        <v>259</v>
      </c>
      <c r="Z1493" s="9">
        <v>161.875</v>
      </c>
      <c r="AA1493" s="9">
        <v>259</v>
      </c>
      <c r="AB1493" s="9">
        <v>259</v>
      </c>
    </row>
    <row r="1494" spans="1:28" x14ac:dyDescent="0.25">
      <c r="A1494" s="8" t="s">
        <v>3088</v>
      </c>
      <c r="B1494" s="8" t="s">
        <v>3089</v>
      </c>
      <c r="C1494" s="8" t="s">
        <v>67</v>
      </c>
      <c r="D1494" s="10">
        <v>4.1999997999999996</v>
      </c>
      <c r="E1494" s="10">
        <v>4</v>
      </c>
      <c r="F1494" s="10">
        <v>0.2</v>
      </c>
      <c r="G1494" s="10">
        <v>4</v>
      </c>
      <c r="H1494" s="10">
        <v>0.2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0.2</v>
      </c>
      <c r="O1494" s="8" t="s">
        <v>31</v>
      </c>
      <c r="P1494" s="8" t="s">
        <v>31</v>
      </c>
      <c r="Q1494" s="8" t="s">
        <v>31</v>
      </c>
      <c r="R1494" s="8" t="s">
        <v>31</v>
      </c>
      <c r="S1494" s="8" t="s">
        <v>31</v>
      </c>
      <c r="T1494" s="8" t="s">
        <v>31</v>
      </c>
      <c r="U1494" s="8" t="s">
        <v>31</v>
      </c>
      <c r="V1494" s="8" t="s">
        <v>31</v>
      </c>
      <c r="W1494" s="8" t="str">
        <f>_xlfn.IFNA(VLOOKUP(A1494,[1]Sheet1!$A$1:$B$101,1,FALSE),"na")</f>
        <v>na</v>
      </c>
      <c r="X1494" s="8" t="s">
        <v>35</v>
      </c>
      <c r="Y1494" s="9">
        <v>1514</v>
      </c>
      <c r="Z1494" s="9">
        <v>360.47620000000001</v>
      </c>
      <c r="AA1494" s="9">
        <v>378.5</v>
      </c>
      <c r="AB1494" s="9">
        <v>1514</v>
      </c>
    </row>
    <row r="1495" spans="1:28" x14ac:dyDescent="0.25">
      <c r="A1495" s="8" t="s">
        <v>3090</v>
      </c>
      <c r="B1495" s="8" t="s">
        <v>3091</v>
      </c>
      <c r="C1495" s="8" t="s">
        <v>30</v>
      </c>
      <c r="D1495" s="10">
        <v>2</v>
      </c>
      <c r="E1495" s="10">
        <v>1</v>
      </c>
      <c r="F1495" s="10">
        <v>1</v>
      </c>
      <c r="G1495" s="10">
        <v>1</v>
      </c>
      <c r="H1495" s="10">
        <v>1</v>
      </c>
      <c r="I1495" s="10">
        <v>0</v>
      </c>
      <c r="J1495" s="10">
        <v>0</v>
      </c>
      <c r="K1495" s="10">
        <v>0</v>
      </c>
      <c r="L1495" s="10">
        <v>0.60000001999999997</v>
      </c>
      <c r="M1495" s="10">
        <v>0</v>
      </c>
      <c r="N1495" s="10">
        <v>1</v>
      </c>
      <c r="O1495" s="8" t="s">
        <v>31</v>
      </c>
      <c r="P1495" s="8" t="s">
        <v>31</v>
      </c>
      <c r="Q1495" s="8" t="s">
        <v>31</v>
      </c>
      <c r="R1495" s="8" t="s">
        <v>31</v>
      </c>
      <c r="S1495" s="8" t="s">
        <v>31</v>
      </c>
      <c r="T1495" s="8" t="s">
        <v>31</v>
      </c>
      <c r="U1495" s="8" t="s">
        <v>31</v>
      </c>
      <c r="V1495" s="8" t="s">
        <v>31</v>
      </c>
      <c r="W1495" s="8" t="str">
        <f>_xlfn.IFNA(VLOOKUP(A1495,[1]Sheet1!$A$1:$B$101,1,FALSE),"na")</f>
        <v>na</v>
      </c>
      <c r="X1495" s="8" t="s">
        <v>806</v>
      </c>
      <c r="Y1495" s="9">
        <v>458</v>
      </c>
      <c r="Z1495" s="9">
        <v>229</v>
      </c>
      <c r="AA1495" s="9">
        <v>458</v>
      </c>
      <c r="AB1495" s="9">
        <v>458</v>
      </c>
    </row>
    <row r="1496" spans="1:28" x14ac:dyDescent="0.25">
      <c r="A1496" s="8" t="s">
        <v>3092</v>
      </c>
      <c r="B1496" s="8" t="s">
        <v>3093</v>
      </c>
      <c r="C1496" s="8" t="s">
        <v>89</v>
      </c>
      <c r="D1496" s="10">
        <v>2.8499998999999998</v>
      </c>
      <c r="E1496" s="10">
        <v>2.5999998999999998</v>
      </c>
      <c r="F1496" s="10">
        <v>0.25</v>
      </c>
      <c r="G1496" s="10">
        <v>2</v>
      </c>
      <c r="H1496" s="10">
        <v>0.25</v>
      </c>
      <c r="I1496" s="10">
        <v>0.60000001999999997</v>
      </c>
      <c r="J1496" s="10">
        <v>0</v>
      </c>
      <c r="K1496" s="10">
        <v>0</v>
      </c>
      <c r="L1496" s="10">
        <v>0</v>
      </c>
      <c r="M1496" s="10">
        <v>1</v>
      </c>
      <c r="N1496" s="10">
        <v>0.25</v>
      </c>
      <c r="O1496" s="8" t="s">
        <v>31</v>
      </c>
      <c r="P1496" s="8" t="s">
        <v>31</v>
      </c>
      <c r="Q1496" s="8" t="s">
        <v>31</v>
      </c>
      <c r="R1496" s="8" t="s">
        <v>31</v>
      </c>
      <c r="S1496" s="8" t="s">
        <v>31</v>
      </c>
      <c r="T1496" s="8" t="s">
        <v>31</v>
      </c>
      <c r="U1496" s="8" t="s">
        <v>31</v>
      </c>
      <c r="V1496" s="8" t="s">
        <v>31</v>
      </c>
      <c r="W1496" s="8" t="str">
        <f>_xlfn.IFNA(VLOOKUP(A1496,[1]Sheet1!$A$1:$B$101,1,FALSE),"na")</f>
        <v>na</v>
      </c>
      <c r="X1496" s="8" t="s">
        <v>35</v>
      </c>
      <c r="Y1496" s="9">
        <v>1446</v>
      </c>
      <c r="Z1496" s="9">
        <v>507.36844000000002</v>
      </c>
      <c r="AA1496" s="9">
        <v>556.15386999999998</v>
      </c>
      <c r="AB1496" s="9">
        <v>1446</v>
      </c>
    </row>
    <row r="1497" spans="1:28" x14ac:dyDescent="0.25">
      <c r="A1497" s="8" t="s">
        <v>3094</v>
      </c>
      <c r="B1497" s="8" t="s">
        <v>3095</v>
      </c>
      <c r="C1497" s="8" t="s">
        <v>30</v>
      </c>
      <c r="D1497" s="10">
        <v>1.2</v>
      </c>
      <c r="E1497" s="10">
        <v>1</v>
      </c>
      <c r="F1497" s="10">
        <v>0.2</v>
      </c>
      <c r="G1497" s="10">
        <v>1</v>
      </c>
      <c r="H1497" s="10">
        <v>0.2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0.2</v>
      </c>
      <c r="O1497" s="8" t="s">
        <v>31</v>
      </c>
      <c r="P1497" s="8" t="s">
        <v>31</v>
      </c>
      <c r="Q1497" s="8" t="s">
        <v>31</v>
      </c>
      <c r="R1497" s="8" t="s">
        <v>31</v>
      </c>
      <c r="S1497" s="8" t="s">
        <v>31</v>
      </c>
      <c r="T1497" s="8" t="s">
        <v>31</v>
      </c>
      <c r="U1497" s="8" t="s">
        <v>31</v>
      </c>
      <c r="V1497" s="8" t="s">
        <v>31</v>
      </c>
      <c r="W1497" s="8" t="str">
        <f>_xlfn.IFNA(VLOOKUP(A1497,[1]Sheet1!$A$1:$B$101,1,FALSE),"na")</f>
        <v>na</v>
      </c>
      <c r="X1497" s="8" t="s">
        <v>35</v>
      </c>
      <c r="Y1497" s="9">
        <v>161</v>
      </c>
      <c r="Z1497" s="9">
        <v>134.16666000000001</v>
      </c>
      <c r="AA1497" s="9">
        <v>161</v>
      </c>
      <c r="AB1497" s="9">
        <v>161</v>
      </c>
    </row>
    <row r="1498" spans="1:28" x14ac:dyDescent="0.25">
      <c r="A1498" s="8" t="s">
        <v>3096</v>
      </c>
      <c r="B1498" s="8" t="s">
        <v>3097</v>
      </c>
      <c r="C1498" s="8" t="s">
        <v>80</v>
      </c>
      <c r="D1498" s="10">
        <v>1.2</v>
      </c>
      <c r="E1498" s="10">
        <v>1</v>
      </c>
      <c r="F1498" s="10">
        <v>0.2</v>
      </c>
      <c r="G1498" s="10">
        <v>1</v>
      </c>
      <c r="H1498" s="10">
        <v>0.2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0.2</v>
      </c>
      <c r="O1498" s="8" t="s">
        <v>31</v>
      </c>
      <c r="P1498" s="8" t="s">
        <v>31</v>
      </c>
      <c r="Q1498" s="8" t="s">
        <v>31</v>
      </c>
      <c r="R1498" s="8" t="s">
        <v>31</v>
      </c>
      <c r="S1498" s="8" t="s">
        <v>31</v>
      </c>
      <c r="T1498" s="8" t="s">
        <v>31</v>
      </c>
      <c r="U1498" s="8" t="s">
        <v>31</v>
      </c>
      <c r="V1498" s="8" t="s">
        <v>31</v>
      </c>
      <c r="W1498" s="8" t="str">
        <f>_xlfn.IFNA(VLOOKUP(A1498,[1]Sheet1!$A$1:$B$101,1,FALSE),"na")</f>
        <v>na</v>
      </c>
      <c r="X1498" s="8" t="s">
        <v>35</v>
      </c>
      <c r="Y1498" s="9">
        <v>180</v>
      </c>
      <c r="Z1498" s="9">
        <v>150</v>
      </c>
      <c r="AA1498" s="9">
        <v>180</v>
      </c>
      <c r="AB1498" s="9">
        <v>180</v>
      </c>
    </row>
    <row r="1499" spans="1:28" x14ac:dyDescent="0.25">
      <c r="A1499" s="8" t="s">
        <v>3098</v>
      </c>
      <c r="B1499" s="8" t="s">
        <v>3099</v>
      </c>
      <c r="C1499" s="8" t="s">
        <v>62</v>
      </c>
      <c r="D1499" s="10">
        <v>24.33333</v>
      </c>
      <c r="E1499" s="10">
        <v>19</v>
      </c>
      <c r="F1499" s="10">
        <v>5.3333301999999998</v>
      </c>
      <c r="G1499" s="10">
        <v>19</v>
      </c>
      <c r="H1499" s="10">
        <v>5.3333301999999998</v>
      </c>
      <c r="I1499" s="10">
        <v>0</v>
      </c>
      <c r="J1499" s="10">
        <v>0</v>
      </c>
      <c r="K1499" s="10">
        <v>1</v>
      </c>
      <c r="L1499" s="10">
        <v>0</v>
      </c>
      <c r="M1499" s="10">
        <v>0</v>
      </c>
      <c r="N1499" s="10">
        <v>0.33333001000000001</v>
      </c>
      <c r="O1499" s="8" t="s">
        <v>31</v>
      </c>
      <c r="P1499" s="8" t="s">
        <v>31</v>
      </c>
      <c r="Q1499" s="8" t="s">
        <v>31</v>
      </c>
      <c r="R1499" s="8" t="s">
        <v>31</v>
      </c>
      <c r="S1499" s="8" t="s">
        <v>31</v>
      </c>
      <c r="T1499" s="8" t="s">
        <v>57</v>
      </c>
      <c r="U1499" s="8" t="s">
        <v>31</v>
      </c>
      <c r="V1499" s="8" t="s">
        <v>31</v>
      </c>
      <c r="W1499" s="8" t="str">
        <f>_xlfn.IFNA(VLOOKUP(A1499,[1]Sheet1!$A$1:$B$101,1,FALSE),"na")</f>
        <v>na</v>
      </c>
      <c r="X1499" s="8" t="s">
        <v>35</v>
      </c>
      <c r="Y1499" s="9">
        <v>3060</v>
      </c>
      <c r="Z1499" s="9">
        <v>125.75344</v>
      </c>
      <c r="AA1499" s="9">
        <v>161.05262999999999</v>
      </c>
      <c r="AB1499" s="9">
        <v>573.75036999999998</v>
      </c>
    </row>
    <row r="1500" spans="1:28" x14ac:dyDescent="0.25">
      <c r="A1500" s="8" t="s">
        <v>3100</v>
      </c>
      <c r="B1500" s="8" t="s">
        <v>3101</v>
      </c>
      <c r="C1500" s="8" t="s">
        <v>62</v>
      </c>
      <c r="D1500" s="10">
        <v>13.5</v>
      </c>
      <c r="E1500" s="10">
        <v>12</v>
      </c>
      <c r="F1500" s="10">
        <v>1.5</v>
      </c>
      <c r="G1500" s="10">
        <v>12</v>
      </c>
      <c r="H1500" s="10">
        <v>1.5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0.5</v>
      </c>
      <c r="O1500" s="8" t="s">
        <v>31</v>
      </c>
      <c r="P1500" s="8" t="s">
        <v>31</v>
      </c>
      <c r="Q1500" s="8" t="s">
        <v>31</v>
      </c>
      <c r="R1500" s="8" t="s">
        <v>31</v>
      </c>
      <c r="S1500" s="8" t="s">
        <v>31</v>
      </c>
      <c r="T1500" s="8" t="s">
        <v>31</v>
      </c>
      <c r="U1500" s="8" t="s">
        <v>31</v>
      </c>
      <c r="V1500" s="8" t="s">
        <v>31</v>
      </c>
      <c r="W1500" s="8" t="str">
        <f>_xlfn.IFNA(VLOOKUP(A1500,[1]Sheet1!$A$1:$B$101,1,FALSE),"na")</f>
        <v>na</v>
      </c>
      <c r="X1500" s="8" t="s">
        <v>806</v>
      </c>
      <c r="Y1500" s="9">
        <v>1700</v>
      </c>
      <c r="Z1500" s="9">
        <v>125.92592999999999</v>
      </c>
      <c r="AA1500" s="9">
        <v>141.66667000000001</v>
      </c>
      <c r="AB1500" s="9">
        <v>1133.3334</v>
      </c>
    </row>
    <row r="1501" spans="1:28" x14ac:dyDescent="0.25">
      <c r="A1501" s="8" t="s">
        <v>3102</v>
      </c>
      <c r="B1501" s="8" t="s">
        <v>3103</v>
      </c>
      <c r="C1501" s="8" t="s">
        <v>62</v>
      </c>
      <c r="D1501" s="10">
        <v>12.5</v>
      </c>
      <c r="E1501" s="10">
        <v>11</v>
      </c>
      <c r="F1501" s="10">
        <v>1.5</v>
      </c>
      <c r="G1501" s="10">
        <v>11</v>
      </c>
      <c r="H1501" s="10">
        <v>1.5</v>
      </c>
      <c r="I1501" s="10">
        <v>0</v>
      </c>
      <c r="J1501" s="10">
        <v>0</v>
      </c>
      <c r="K1501" s="10">
        <v>1</v>
      </c>
      <c r="L1501" s="10">
        <v>0</v>
      </c>
      <c r="M1501" s="10">
        <v>0</v>
      </c>
      <c r="N1501" s="10">
        <v>0.5</v>
      </c>
      <c r="O1501" s="8" t="s">
        <v>31</v>
      </c>
      <c r="P1501" s="8" t="s">
        <v>31</v>
      </c>
      <c r="Q1501" s="8" t="s">
        <v>31</v>
      </c>
      <c r="R1501" s="8" t="s">
        <v>31</v>
      </c>
      <c r="S1501" s="8" t="s">
        <v>31</v>
      </c>
      <c r="T1501" s="8" t="s">
        <v>31</v>
      </c>
      <c r="U1501" s="8" t="s">
        <v>31</v>
      </c>
      <c r="V1501" s="8" t="s">
        <v>31</v>
      </c>
      <c r="W1501" s="8" t="str">
        <f>_xlfn.IFNA(VLOOKUP(A1501,[1]Sheet1!$A$1:$B$101,1,FALSE),"na")</f>
        <v>na</v>
      </c>
      <c r="X1501" s="8" t="s">
        <v>484</v>
      </c>
      <c r="Y1501" s="9">
        <v>2425</v>
      </c>
      <c r="Z1501" s="9">
        <v>194</v>
      </c>
      <c r="AA1501" s="9">
        <v>220.45454000000001</v>
      </c>
      <c r="AB1501" s="9">
        <v>1616.6666</v>
      </c>
    </row>
    <row r="1502" spans="1:28" x14ac:dyDescent="0.25">
      <c r="A1502" s="8" t="s">
        <v>3104</v>
      </c>
      <c r="B1502" s="8" t="s">
        <v>3105</v>
      </c>
      <c r="C1502" s="8" t="s">
        <v>62</v>
      </c>
      <c r="D1502" s="10">
        <v>23.33333</v>
      </c>
      <c r="E1502" s="10">
        <v>20</v>
      </c>
      <c r="F1502" s="10">
        <v>3.3333298999999998</v>
      </c>
      <c r="G1502" s="10">
        <v>20</v>
      </c>
      <c r="H1502" s="10">
        <v>3.3333298999999998</v>
      </c>
      <c r="I1502" s="10">
        <v>0</v>
      </c>
      <c r="J1502" s="10">
        <v>0</v>
      </c>
      <c r="K1502" s="10">
        <v>1</v>
      </c>
      <c r="L1502" s="10">
        <v>0</v>
      </c>
      <c r="M1502" s="10">
        <v>0</v>
      </c>
      <c r="N1502" s="10">
        <v>0.33333001000000001</v>
      </c>
      <c r="O1502" s="8" t="s">
        <v>31</v>
      </c>
      <c r="P1502" s="8" t="s">
        <v>31</v>
      </c>
      <c r="Q1502" s="8" t="s">
        <v>31</v>
      </c>
      <c r="R1502" s="8" t="s">
        <v>31</v>
      </c>
      <c r="S1502" s="8" t="s">
        <v>31</v>
      </c>
      <c r="T1502" s="8" t="s">
        <v>57</v>
      </c>
      <c r="U1502" s="8" t="s">
        <v>31</v>
      </c>
      <c r="V1502" s="8" t="s">
        <v>31</v>
      </c>
      <c r="W1502" s="8" t="str">
        <f>_xlfn.IFNA(VLOOKUP(A1502,[1]Sheet1!$A$1:$B$101,1,FALSE),"na")</f>
        <v>na</v>
      </c>
      <c r="X1502" s="8" t="s">
        <v>35</v>
      </c>
      <c r="Y1502" s="9">
        <v>3754</v>
      </c>
      <c r="Z1502" s="9">
        <v>160.88574</v>
      </c>
      <c r="AA1502" s="9">
        <v>187.7</v>
      </c>
      <c r="AB1502" s="9">
        <v>1126.2012</v>
      </c>
    </row>
    <row r="1503" spans="1:28" x14ac:dyDescent="0.25">
      <c r="A1503" s="8" t="s">
        <v>3106</v>
      </c>
      <c r="B1503" s="8" t="s">
        <v>3107</v>
      </c>
      <c r="C1503" s="8" t="s">
        <v>62</v>
      </c>
      <c r="D1503" s="10">
        <v>16.600000000000001</v>
      </c>
      <c r="E1503" s="10">
        <v>14</v>
      </c>
      <c r="F1503" s="10">
        <v>2.5999998999999998</v>
      </c>
      <c r="G1503" s="10">
        <v>14</v>
      </c>
      <c r="H1503" s="10">
        <v>2</v>
      </c>
      <c r="I1503" s="10">
        <v>0</v>
      </c>
      <c r="J1503" s="10">
        <v>0.60000001999999997</v>
      </c>
      <c r="K1503" s="10">
        <v>0</v>
      </c>
      <c r="L1503" s="10">
        <v>0</v>
      </c>
      <c r="M1503" s="10">
        <v>0</v>
      </c>
      <c r="N1503" s="10">
        <v>0</v>
      </c>
      <c r="O1503" s="8" t="s">
        <v>31</v>
      </c>
      <c r="P1503" s="8" t="s">
        <v>31</v>
      </c>
      <c r="Q1503" s="8" t="s">
        <v>31</v>
      </c>
      <c r="R1503" s="8" t="s">
        <v>31</v>
      </c>
      <c r="S1503" s="8" t="s">
        <v>31</v>
      </c>
      <c r="T1503" s="8" t="s">
        <v>57</v>
      </c>
      <c r="U1503" s="8" t="s">
        <v>31</v>
      </c>
      <c r="V1503" s="8" t="s">
        <v>31</v>
      </c>
      <c r="W1503" s="8" t="str">
        <f>_xlfn.IFNA(VLOOKUP(A1503,[1]Sheet1!$A$1:$B$101,1,FALSE),"na")</f>
        <v>na</v>
      </c>
      <c r="X1503" s="8" t="s">
        <v>35</v>
      </c>
      <c r="Y1503" s="9">
        <v>2740</v>
      </c>
      <c r="Z1503" s="9">
        <v>165.06023999999999</v>
      </c>
      <c r="AA1503" s="9">
        <v>195.71428</v>
      </c>
      <c r="AB1503" s="9">
        <v>1053.8462</v>
      </c>
    </row>
    <row r="1504" spans="1:28" x14ac:dyDescent="0.25">
      <c r="A1504" s="8" t="s">
        <v>3108</v>
      </c>
      <c r="B1504" s="8" t="s">
        <v>3109</v>
      </c>
      <c r="C1504" s="8" t="s">
        <v>62</v>
      </c>
      <c r="D1504" s="10">
        <v>3</v>
      </c>
      <c r="E1504" s="10">
        <v>2</v>
      </c>
      <c r="F1504" s="10">
        <v>1</v>
      </c>
      <c r="G1504" s="10">
        <v>2</v>
      </c>
      <c r="H1504" s="10">
        <v>1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8" t="s">
        <v>57</v>
      </c>
      <c r="P1504" s="8" t="s">
        <v>31</v>
      </c>
      <c r="Q1504" s="8" t="s">
        <v>31</v>
      </c>
      <c r="R1504" s="8" t="s">
        <v>31</v>
      </c>
      <c r="S1504" s="8" t="s">
        <v>31</v>
      </c>
      <c r="T1504" s="8" t="s">
        <v>31</v>
      </c>
      <c r="U1504" s="8" t="s">
        <v>57</v>
      </c>
      <c r="V1504" s="8" t="s">
        <v>31</v>
      </c>
      <c r="W1504" s="8" t="str">
        <f>_xlfn.IFNA(VLOOKUP(A1504,[1]Sheet1!$A$1:$B$101,1,FALSE),"na")</f>
        <v>na</v>
      </c>
      <c r="X1504" s="8" t="s">
        <v>35</v>
      </c>
      <c r="Y1504" s="9">
        <v>202</v>
      </c>
      <c r="Z1504" s="9">
        <v>67.333336000000003</v>
      </c>
      <c r="AA1504" s="9">
        <v>101</v>
      </c>
      <c r="AB1504" s="9">
        <v>202</v>
      </c>
    </row>
    <row r="1505" spans="1:28" x14ac:dyDescent="0.25">
      <c r="A1505" s="8" t="s">
        <v>3110</v>
      </c>
      <c r="B1505" s="8" t="s">
        <v>3111</v>
      </c>
      <c r="C1505" s="8" t="s">
        <v>62</v>
      </c>
      <c r="D1505" s="10">
        <v>5.1999997999999996</v>
      </c>
      <c r="E1505" s="10">
        <v>4</v>
      </c>
      <c r="F1505" s="10">
        <v>1.2</v>
      </c>
      <c r="G1505" s="10">
        <v>4</v>
      </c>
      <c r="H1505" s="10">
        <v>1</v>
      </c>
      <c r="I1505" s="10">
        <v>0</v>
      </c>
      <c r="J1505" s="10">
        <v>0.2</v>
      </c>
      <c r="K1505" s="10">
        <v>1</v>
      </c>
      <c r="L1505" s="10">
        <v>0</v>
      </c>
      <c r="M1505" s="10">
        <v>0</v>
      </c>
      <c r="N1505" s="10">
        <v>1</v>
      </c>
      <c r="O1505" s="8" t="s">
        <v>57</v>
      </c>
      <c r="P1505" s="8" t="s">
        <v>31</v>
      </c>
      <c r="Q1505" s="8" t="s">
        <v>31</v>
      </c>
      <c r="R1505" s="8" t="s">
        <v>31</v>
      </c>
      <c r="S1505" s="8" t="s">
        <v>31</v>
      </c>
      <c r="T1505" s="8" t="s">
        <v>31</v>
      </c>
      <c r="U1505" s="8" t="s">
        <v>31</v>
      </c>
      <c r="V1505" s="8" t="s">
        <v>31</v>
      </c>
      <c r="W1505" s="8" t="str">
        <f>_xlfn.IFNA(VLOOKUP(A1505,[1]Sheet1!$A$1:$B$101,1,FALSE),"na")</f>
        <v>na</v>
      </c>
      <c r="X1505" s="8" t="s">
        <v>35</v>
      </c>
      <c r="Y1505" s="9">
        <v>625</v>
      </c>
      <c r="Z1505" s="9">
        <v>120.19231000000001</v>
      </c>
      <c r="AA1505" s="9">
        <v>156.25</v>
      </c>
      <c r="AB1505" s="9">
        <v>520.83330999999998</v>
      </c>
    </row>
    <row r="1506" spans="1:28" x14ac:dyDescent="0.25">
      <c r="A1506" s="8" t="s">
        <v>3112</v>
      </c>
      <c r="B1506" s="8" t="s">
        <v>3113</v>
      </c>
      <c r="C1506" s="8" t="s">
        <v>62</v>
      </c>
      <c r="D1506" s="10">
        <v>7</v>
      </c>
      <c r="E1506" s="10">
        <v>6</v>
      </c>
      <c r="F1506" s="10">
        <v>1</v>
      </c>
      <c r="G1506" s="10">
        <v>6</v>
      </c>
      <c r="H1506" s="10">
        <v>1</v>
      </c>
      <c r="I1506" s="10">
        <v>0</v>
      </c>
      <c r="J1506" s="10">
        <v>0</v>
      </c>
      <c r="K1506" s="10">
        <v>0</v>
      </c>
      <c r="L1506" s="10">
        <v>0</v>
      </c>
      <c r="M1506" s="10">
        <v>0</v>
      </c>
      <c r="N1506" s="10">
        <v>0</v>
      </c>
      <c r="O1506" s="8" t="s">
        <v>31</v>
      </c>
      <c r="P1506" s="8" t="s">
        <v>31</v>
      </c>
      <c r="Q1506" s="8" t="s">
        <v>31</v>
      </c>
      <c r="R1506" s="8" t="s">
        <v>31</v>
      </c>
      <c r="S1506" s="8" t="s">
        <v>31</v>
      </c>
      <c r="T1506" s="8" t="s">
        <v>57</v>
      </c>
      <c r="U1506" s="8" t="s">
        <v>31</v>
      </c>
      <c r="V1506" s="8" t="s">
        <v>31</v>
      </c>
      <c r="W1506" s="8" t="str">
        <f>_xlfn.IFNA(VLOOKUP(A1506,[1]Sheet1!$A$1:$B$101,1,FALSE),"na")</f>
        <v>na</v>
      </c>
      <c r="X1506" s="8" t="s">
        <v>35</v>
      </c>
      <c r="Y1506" s="9">
        <v>1425</v>
      </c>
      <c r="Z1506" s="9">
        <v>203.57142999999999</v>
      </c>
      <c r="AA1506" s="9">
        <v>237.5</v>
      </c>
      <c r="AB1506" s="9">
        <v>1425</v>
      </c>
    </row>
    <row r="1507" spans="1:28" x14ac:dyDescent="0.25">
      <c r="A1507" s="8" t="s">
        <v>3114</v>
      </c>
      <c r="B1507" s="8" t="s">
        <v>3115</v>
      </c>
      <c r="C1507" s="8" t="s">
        <v>38</v>
      </c>
      <c r="D1507" s="10">
        <v>3.5</v>
      </c>
      <c r="E1507" s="10">
        <v>2</v>
      </c>
      <c r="F1507" s="10">
        <v>1.5</v>
      </c>
      <c r="G1507" s="10">
        <v>2</v>
      </c>
      <c r="H1507" s="10">
        <v>1.5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0.5</v>
      </c>
      <c r="O1507" s="8" t="s">
        <v>57</v>
      </c>
      <c r="P1507" s="8" t="s">
        <v>31</v>
      </c>
      <c r="Q1507" s="8" t="s">
        <v>31</v>
      </c>
      <c r="R1507" s="8" t="s">
        <v>31</v>
      </c>
      <c r="S1507" s="8" t="s">
        <v>31</v>
      </c>
      <c r="T1507" s="8" t="s">
        <v>31</v>
      </c>
      <c r="U1507" s="8" t="s">
        <v>31</v>
      </c>
      <c r="V1507" s="8" t="s">
        <v>31</v>
      </c>
      <c r="W1507" s="8" t="str">
        <f>_xlfn.IFNA(VLOOKUP(A1507,[1]Sheet1!$A$1:$B$101,1,FALSE),"na")</f>
        <v>na</v>
      </c>
      <c r="X1507" s="8" t="s">
        <v>35</v>
      </c>
      <c r="Y1507" s="9">
        <v>839</v>
      </c>
      <c r="Z1507" s="9">
        <v>239.71428</v>
      </c>
      <c r="AA1507" s="9">
        <v>419.5</v>
      </c>
      <c r="AB1507" s="9">
        <v>559.33330999999998</v>
      </c>
    </row>
    <row r="1508" spans="1:28" x14ac:dyDescent="0.25">
      <c r="A1508" s="8" t="s">
        <v>3116</v>
      </c>
      <c r="B1508" s="8" t="s">
        <v>3117</v>
      </c>
      <c r="C1508" s="8" t="s">
        <v>38</v>
      </c>
      <c r="D1508" s="10">
        <v>2.8</v>
      </c>
      <c r="E1508" s="10">
        <v>1</v>
      </c>
      <c r="F1508" s="10">
        <v>1.8</v>
      </c>
      <c r="G1508" s="10">
        <v>1</v>
      </c>
      <c r="H1508" s="10">
        <v>1.8</v>
      </c>
      <c r="I1508" s="10">
        <v>0</v>
      </c>
      <c r="J1508" s="10">
        <v>0</v>
      </c>
      <c r="K1508" s="10">
        <v>0</v>
      </c>
      <c r="L1508" s="10">
        <v>0.80000000999999998</v>
      </c>
      <c r="M1508" s="10">
        <v>0</v>
      </c>
      <c r="N1508" s="10">
        <v>0.80000000999999998</v>
      </c>
      <c r="O1508" s="8" t="s">
        <v>31</v>
      </c>
      <c r="P1508" s="8" t="s">
        <v>31</v>
      </c>
      <c r="Q1508" s="8" t="s">
        <v>57</v>
      </c>
      <c r="R1508" s="8" t="s">
        <v>31</v>
      </c>
      <c r="S1508" s="8" t="s">
        <v>31</v>
      </c>
      <c r="T1508" s="8" t="s">
        <v>31</v>
      </c>
      <c r="U1508" s="8" t="s">
        <v>31</v>
      </c>
      <c r="V1508" s="8" t="s">
        <v>31</v>
      </c>
      <c r="W1508" s="8" t="str">
        <f>_xlfn.IFNA(VLOOKUP(A1508,[1]Sheet1!$A$1:$B$101,1,FALSE),"na")</f>
        <v>na</v>
      </c>
      <c r="X1508" s="8" t="s">
        <v>35</v>
      </c>
      <c r="Y1508" s="9">
        <v>445</v>
      </c>
      <c r="Z1508" s="9">
        <v>158.92857000000001</v>
      </c>
      <c r="AA1508" s="9">
        <v>445</v>
      </c>
      <c r="AB1508" s="9">
        <v>247.22223</v>
      </c>
    </row>
    <row r="1509" spans="1:28" x14ac:dyDescent="0.25">
      <c r="A1509" s="8" t="s">
        <v>3118</v>
      </c>
      <c r="B1509" s="8" t="s">
        <v>3119</v>
      </c>
      <c r="C1509" s="8" t="s">
        <v>30</v>
      </c>
      <c r="D1509" s="10">
        <v>1.4</v>
      </c>
      <c r="E1509" s="10">
        <v>1</v>
      </c>
      <c r="F1509" s="10">
        <v>0.40000001000000002</v>
      </c>
      <c r="G1509" s="10">
        <v>1</v>
      </c>
      <c r="H1509" s="10">
        <v>0.40000001000000002</v>
      </c>
      <c r="I1509" s="10">
        <v>0</v>
      </c>
      <c r="J1509" s="10">
        <v>0</v>
      </c>
      <c r="K1509" s="10">
        <v>0</v>
      </c>
      <c r="L1509" s="10">
        <v>0.40000001000000002</v>
      </c>
      <c r="M1509" s="10">
        <v>0</v>
      </c>
      <c r="N1509" s="10">
        <v>0.40000001000000002</v>
      </c>
      <c r="O1509" s="8" t="s">
        <v>31</v>
      </c>
      <c r="P1509" s="8" t="s">
        <v>31</v>
      </c>
      <c r="Q1509" s="8" t="s">
        <v>31</v>
      </c>
      <c r="R1509" s="8" t="s">
        <v>31</v>
      </c>
      <c r="S1509" s="8" t="s">
        <v>31</v>
      </c>
      <c r="T1509" s="8" t="s">
        <v>31</v>
      </c>
      <c r="U1509" s="8" t="s">
        <v>31</v>
      </c>
      <c r="V1509" s="8" t="s">
        <v>31</v>
      </c>
      <c r="W1509" s="8" t="str">
        <f>_xlfn.IFNA(VLOOKUP(A1509,[1]Sheet1!$A$1:$B$101,1,FALSE),"na")</f>
        <v>na</v>
      </c>
      <c r="X1509" s="8" t="s">
        <v>35</v>
      </c>
      <c r="Y1509" s="9">
        <v>181</v>
      </c>
      <c r="Z1509" s="9">
        <v>129.28572</v>
      </c>
      <c r="AA1509" s="9">
        <v>181</v>
      </c>
      <c r="AB1509" s="9">
        <v>181</v>
      </c>
    </row>
    <row r="1510" spans="1:28" x14ac:dyDescent="0.25">
      <c r="A1510" s="8" t="s">
        <v>3120</v>
      </c>
      <c r="B1510" s="8" t="s">
        <v>3121</v>
      </c>
      <c r="C1510" s="8" t="s">
        <v>30</v>
      </c>
      <c r="D1510" s="10">
        <v>2.4000001000000002</v>
      </c>
      <c r="E1510" s="10">
        <v>1</v>
      </c>
      <c r="F1510" s="10">
        <v>1.4</v>
      </c>
      <c r="G1510" s="10">
        <v>1</v>
      </c>
      <c r="H1510" s="10">
        <v>1.4</v>
      </c>
      <c r="I1510" s="10">
        <v>0</v>
      </c>
      <c r="J1510" s="10">
        <v>0</v>
      </c>
      <c r="K1510" s="10">
        <v>0</v>
      </c>
      <c r="L1510" s="10">
        <v>0.40000001000000002</v>
      </c>
      <c r="M1510" s="10">
        <v>0</v>
      </c>
      <c r="N1510" s="10">
        <v>0.40000001000000002</v>
      </c>
      <c r="O1510" s="8" t="s">
        <v>57</v>
      </c>
      <c r="P1510" s="8" t="s">
        <v>31</v>
      </c>
      <c r="Q1510" s="8" t="s">
        <v>31</v>
      </c>
      <c r="R1510" s="8" t="s">
        <v>31</v>
      </c>
      <c r="S1510" s="8" t="s">
        <v>31</v>
      </c>
      <c r="T1510" s="8" t="s">
        <v>31</v>
      </c>
      <c r="U1510" s="8" t="s">
        <v>31</v>
      </c>
      <c r="V1510" s="8" t="s">
        <v>31</v>
      </c>
      <c r="W1510" s="8" t="str">
        <f>_xlfn.IFNA(VLOOKUP(A1510,[1]Sheet1!$A$1:$B$101,1,FALSE),"na")</f>
        <v>na</v>
      </c>
      <c r="X1510" s="8" t="s">
        <v>35</v>
      </c>
      <c r="Y1510" s="9">
        <v>352</v>
      </c>
      <c r="Z1510" s="9">
        <v>146.66666000000001</v>
      </c>
      <c r="AA1510" s="9">
        <v>352</v>
      </c>
      <c r="AB1510" s="9">
        <v>251.42857000000001</v>
      </c>
    </row>
    <row r="1511" spans="1:28" x14ac:dyDescent="0.25">
      <c r="A1511" s="8" t="s">
        <v>3122</v>
      </c>
      <c r="B1511" s="8" t="s">
        <v>3123</v>
      </c>
      <c r="C1511" s="8" t="s">
        <v>30</v>
      </c>
      <c r="D1511" s="10">
        <v>2.4000001000000002</v>
      </c>
      <c r="E1511" s="10">
        <v>1</v>
      </c>
      <c r="F1511" s="10">
        <v>1.4</v>
      </c>
      <c r="G1511" s="10">
        <v>1</v>
      </c>
      <c r="H1511" s="10">
        <v>1.4</v>
      </c>
      <c r="I1511" s="10">
        <v>0</v>
      </c>
      <c r="J1511" s="10">
        <v>0</v>
      </c>
      <c r="K1511" s="10">
        <v>0</v>
      </c>
      <c r="L1511" s="10">
        <v>1.4</v>
      </c>
      <c r="M1511" s="10">
        <v>0</v>
      </c>
      <c r="N1511" s="10">
        <v>0.40000001000000002</v>
      </c>
      <c r="O1511" s="8" t="s">
        <v>57</v>
      </c>
      <c r="P1511" s="8" t="s">
        <v>31</v>
      </c>
      <c r="Q1511" s="8" t="s">
        <v>31</v>
      </c>
      <c r="R1511" s="8" t="s">
        <v>31</v>
      </c>
      <c r="S1511" s="8" t="s">
        <v>31</v>
      </c>
      <c r="T1511" s="8" t="s">
        <v>31</v>
      </c>
      <c r="U1511" s="8" t="s">
        <v>31</v>
      </c>
      <c r="V1511" s="8" t="s">
        <v>31</v>
      </c>
      <c r="W1511" s="8" t="str">
        <f>_xlfn.IFNA(VLOOKUP(A1511,[1]Sheet1!$A$1:$B$101,1,FALSE),"na")</f>
        <v>na</v>
      </c>
      <c r="X1511" s="8" t="s">
        <v>35</v>
      </c>
      <c r="Y1511" s="9">
        <v>334</v>
      </c>
      <c r="Z1511" s="9">
        <v>139.16666000000001</v>
      </c>
      <c r="AA1511" s="9">
        <v>334</v>
      </c>
      <c r="AB1511" s="9">
        <v>238.57142999999999</v>
      </c>
    </row>
    <row r="1512" spans="1:28" x14ac:dyDescent="0.25">
      <c r="A1512" s="8" t="s">
        <v>3124</v>
      </c>
      <c r="B1512" s="8" t="s">
        <v>3125</v>
      </c>
      <c r="C1512" s="8" t="s">
        <v>30</v>
      </c>
      <c r="D1512" s="10">
        <v>1.4</v>
      </c>
      <c r="E1512" s="10">
        <v>1</v>
      </c>
      <c r="F1512" s="10">
        <v>0.40000001000000002</v>
      </c>
      <c r="G1512" s="10">
        <v>1</v>
      </c>
      <c r="H1512" s="10">
        <v>0.40000001000000002</v>
      </c>
      <c r="I1512" s="10">
        <v>0</v>
      </c>
      <c r="J1512" s="10">
        <v>0</v>
      </c>
      <c r="K1512" s="10">
        <v>0</v>
      </c>
      <c r="L1512" s="10">
        <v>0.40000001000000002</v>
      </c>
      <c r="M1512" s="10">
        <v>0</v>
      </c>
      <c r="N1512" s="10">
        <v>0.40000001000000002</v>
      </c>
      <c r="O1512" s="8" t="s">
        <v>31</v>
      </c>
      <c r="P1512" s="8" t="s">
        <v>31</v>
      </c>
      <c r="Q1512" s="8" t="s">
        <v>31</v>
      </c>
      <c r="R1512" s="8" t="s">
        <v>31</v>
      </c>
      <c r="S1512" s="8" t="s">
        <v>31</v>
      </c>
      <c r="T1512" s="8" t="s">
        <v>31</v>
      </c>
      <c r="U1512" s="8" t="s">
        <v>31</v>
      </c>
      <c r="V1512" s="8" t="s">
        <v>31</v>
      </c>
      <c r="W1512" s="8" t="str">
        <f>_xlfn.IFNA(VLOOKUP(A1512,[1]Sheet1!$A$1:$B$101,1,FALSE),"na")</f>
        <v>na</v>
      </c>
      <c r="X1512" s="8" t="s">
        <v>35</v>
      </c>
      <c r="Y1512" s="9">
        <v>304</v>
      </c>
      <c r="Z1512" s="9">
        <v>217.14286999999999</v>
      </c>
      <c r="AA1512" s="9">
        <v>304</v>
      </c>
      <c r="AB1512" s="9">
        <v>304</v>
      </c>
    </row>
    <row r="1513" spans="1:28" x14ac:dyDescent="0.25">
      <c r="A1513" s="8" t="s">
        <v>3126</v>
      </c>
      <c r="B1513" s="8" t="s">
        <v>3127</v>
      </c>
      <c r="C1513" s="8" t="s">
        <v>30</v>
      </c>
      <c r="D1513" s="10">
        <v>2.5999998999999998</v>
      </c>
      <c r="E1513" s="10">
        <v>1</v>
      </c>
      <c r="F1513" s="10">
        <v>1.6</v>
      </c>
      <c r="G1513" s="10">
        <v>1</v>
      </c>
      <c r="H1513" s="10">
        <v>1.6</v>
      </c>
      <c r="I1513" s="10">
        <v>0</v>
      </c>
      <c r="J1513" s="10">
        <v>0</v>
      </c>
      <c r="K1513" s="10">
        <v>1</v>
      </c>
      <c r="L1513" s="10">
        <v>0.60000001999999997</v>
      </c>
      <c r="M1513" s="10">
        <v>0</v>
      </c>
      <c r="N1513" s="10">
        <v>0.60000001999999997</v>
      </c>
      <c r="O1513" s="8" t="s">
        <v>31</v>
      </c>
      <c r="P1513" s="8" t="s">
        <v>31</v>
      </c>
      <c r="Q1513" s="8" t="s">
        <v>57</v>
      </c>
      <c r="R1513" s="8" t="s">
        <v>31</v>
      </c>
      <c r="S1513" s="8" t="s">
        <v>31</v>
      </c>
      <c r="T1513" s="8" t="s">
        <v>31</v>
      </c>
      <c r="U1513" s="8" t="s">
        <v>31</v>
      </c>
      <c r="V1513" s="8" t="s">
        <v>31</v>
      </c>
      <c r="W1513" s="8" t="str">
        <f>_xlfn.IFNA(VLOOKUP(A1513,[1]Sheet1!$A$1:$B$101,1,FALSE),"na")</f>
        <v>na</v>
      </c>
      <c r="X1513" s="8" t="s">
        <v>35</v>
      </c>
      <c r="Y1513" s="9">
        <v>457</v>
      </c>
      <c r="Z1513" s="9">
        <v>175.76924</v>
      </c>
      <c r="AA1513" s="9">
        <v>457</v>
      </c>
      <c r="AB1513" s="9">
        <v>285.625</v>
      </c>
    </row>
    <row r="1514" spans="1:28" x14ac:dyDescent="0.25">
      <c r="A1514" s="8" t="s">
        <v>3128</v>
      </c>
      <c r="B1514" s="8" t="s">
        <v>3129</v>
      </c>
      <c r="C1514" s="8" t="s">
        <v>30</v>
      </c>
      <c r="D1514" s="10">
        <v>3.3</v>
      </c>
      <c r="E1514" s="10">
        <v>1</v>
      </c>
      <c r="F1514" s="10">
        <v>2.2999999999999998</v>
      </c>
      <c r="G1514" s="10">
        <v>1</v>
      </c>
      <c r="H1514" s="10">
        <v>2.2999999999999998</v>
      </c>
      <c r="I1514" s="10">
        <v>0</v>
      </c>
      <c r="J1514" s="10">
        <v>0</v>
      </c>
      <c r="K1514" s="10">
        <v>0</v>
      </c>
      <c r="L1514" s="10">
        <v>1.3</v>
      </c>
      <c r="M1514" s="10">
        <v>0</v>
      </c>
      <c r="N1514" s="10">
        <v>0.30000000999999998</v>
      </c>
      <c r="O1514" s="8" t="s">
        <v>31</v>
      </c>
      <c r="P1514" s="8" t="s">
        <v>31</v>
      </c>
      <c r="Q1514" s="8" t="s">
        <v>31</v>
      </c>
      <c r="R1514" s="8" t="s">
        <v>31</v>
      </c>
      <c r="S1514" s="8" t="s">
        <v>31</v>
      </c>
      <c r="T1514" s="8" t="s">
        <v>31</v>
      </c>
      <c r="U1514" s="8" t="s">
        <v>31</v>
      </c>
      <c r="V1514" s="8" t="s">
        <v>31</v>
      </c>
      <c r="W1514" s="8" t="str">
        <f>_xlfn.IFNA(VLOOKUP(A1514,[1]Sheet1!$A$1:$B$101,1,FALSE),"na")</f>
        <v>na</v>
      </c>
      <c r="X1514" s="8" t="s">
        <v>512</v>
      </c>
      <c r="Y1514" s="9">
        <v>439</v>
      </c>
      <c r="Z1514" s="9">
        <v>133.03030000000001</v>
      </c>
      <c r="AA1514" s="9">
        <v>439</v>
      </c>
      <c r="AB1514" s="9">
        <v>190.86957000000001</v>
      </c>
    </row>
    <row r="1515" spans="1:28" x14ac:dyDescent="0.25">
      <c r="A1515" s="8" t="s">
        <v>3130</v>
      </c>
      <c r="B1515" s="8" t="s">
        <v>3131</v>
      </c>
      <c r="C1515" s="8" t="s">
        <v>30</v>
      </c>
      <c r="D1515" s="10">
        <v>2.4000001000000002</v>
      </c>
      <c r="E1515" s="10">
        <v>1</v>
      </c>
      <c r="F1515" s="10">
        <v>1.4</v>
      </c>
      <c r="G1515" s="10">
        <v>1</v>
      </c>
      <c r="H1515" s="10">
        <v>1.4</v>
      </c>
      <c r="I1515" s="10">
        <v>0</v>
      </c>
      <c r="J1515" s="10">
        <v>0</v>
      </c>
      <c r="K1515" s="10">
        <v>0</v>
      </c>
      <c r="L1515" s="10">
        <v>0.40000001000000002</v>
      </c>
      <c r="M1515" s="10">
        <v>0</v>
      </c>
      <c r="N1515" s="10">
        <v>0.40000001000000002</v>
      </c>
      <c r="O1515" s="8" t="s">
        <v>57</v>
      </c>
      <c r="P1515" s="8" t="s">
        <v>31</v>
      </c>
      <c r="Q1515" s="8" t="s">
        <v>31</v>
      </c>
      <c r="R1515" s="8" t="s">
        <v>31</v>
      </c>
      <c r="S1515" s="8" t="s">
        <v>31</v>
      </c>
      <c r="T1515" s="8" t="s">
        <v>31</v>
      </c>
      <c r="U1515" s="8" t="s">
        <v>31</v>
      </c>
      <c r="V1515" s="8" t="s">
        <v>31</v>
      </c>
      <c r="W1515" s="8" t="str">
        <f>_xlfn.IFNA(VLOOKUP(A1515,[1]Sheet1!$A$1:$B$101,1,FALSE),"na")</f>
        <v>na</v>
      </c>
      <c r="X1515" s="8" t="s">
        <v>35</v>
      </c>
      <c r="Y1515" s="9">
        <v>266</v>
      </c>
      <c r="Z1515" s="9">
        <v>110.83333</v>
      </c>
      <c r="AA1515" s="9">
        <v>266</v>
      </c>
      <c r="AB1515" s="9">
        <v>190</v>
      </c>
    </row>
    <row r="1516" spans="1:28" x14ac:dyDescent="0.25">
      <c r="A1516" s="8" t="s">
        <v>3132</v>
      </c>
      <c r="B1516" s="8" t="s">
        <v>3133</v>
      </c>
      <c r="C1516" s="8" t="s">
        <v>67</v>
      </c>
      <c r="D1516" s="10">
        <v>3.2</v>
      </c>
      <c r="E1516" s="10">
        <v>2</v>
      </c>
      <c r="F1516" s="10">
        <v>1.2</v>
      </c>
      <c r="G1516" s="10">
        <v>2</v>
      </c>
      <c r="H1516" s="10">
        <v>1.2</v>
      </c>
      <c r="I1516" s="10">
        <v>0</v>
      </c>
      <c r="J1516" s="10">
        <v>0</v>
      </c>
      <c r="K1516" s="10">
        <v>0</v>
      </c>
      <c r="L1516" s="10">
        <v>0.2</v>
      </c>
      <c r="M1516" s="10">
        <v>0</v>
      </c>
      <c r="N1516" s="10">
        <v>0.2</v>
      </c>
      <c r="O1516" s="8" t="s">
        <v>57</v>
      </c>
      <c r="P1516" s="8" t="s">
        <v>31</v>
      </c>
      <c r="Q1516" s="8" t="s">
        <v>31</v>
      </c>
      <c r="R1516" s="8" t="s">
        <v>31</v>
      </c>
      <c r="S1516" s="8" t="s">
        <v>31</v>
      </c>
      <c r="T1516" s="8" t="s">
        <v>31</v>
      </c>
      <c r="U1516" s="8" t="s">
        <v>31</v>
      </c>
      <c r="V1516" s="8" t="s">
        <v>31</v>
      </c>
      <c r="W1516" s="8" t="str">
        <f>_xlfn.IFNA(VLOOKUP(A1516,[1]Sheet1!$A$1:$B$101,1,FALSE),"na")</f>
        <v>na</v>
      </c>
      <c r="X1516" s="8" t="s">
        <v>375</v>
      </c>
      <c r="Y1516" s="9">
        <v>283</v>
      </c>
      <c r="Z1516" s="9">
        <v>88.4375</v>
      </c>
      <c r="AA1516" s="9">
        <v>141.5</v>
      </c>
      <c r="AB1516" s="9">
        <v>235.83332999999999</v>
      </c>
    </row>
    <row r="1517" spans="1:28" x14ac:dyDescent="0.25">
      <c r="A1517" s="8" t="s">
        <v>3134</v>
      </c>
      <c r="B1517" s="8" t="s">
        <v>3135</v>
      </c>
      <c r="C1517" s="8" t="s">
        <v>62</v>
      </c>
      <c r="D1517" s="10">
        <v>3.2</v>
      </c>
      <c r="E1517" s="10">
        <v>3</v>
      </c>
      <c r="F1517" s="10">
        <v>0.2</v>
      </c>
      <c r="G1517" s="10">
        <v>3</v>
      </c>
      <c r="H1517" s="10">
        <v>0.2</v>
      </c>
      <c r="I1517" s="10">
        <v>0</v>
      </c>
      <c r="J1517" s="10">
        <v>0</v>
      </c>
      <c r="K1517" s="10">
        <v>0</v>
      </c>
      <c r="L1517" s="10">
        <v>1</v>
      </c>
      <c r="M1517" s="10">
        <v>0</v>
      </c>
      <c r="N1517" s="10">
        <v>0.2</v>
      </c>
      <c r="O1517" s="8" t="s">
        <v>31</v>
      </c>
      <c r="P1517" s="8" t="s">
        <v>31</v>
      </c>
      <c r="Q1517" s="8" t="s">
        <v>31</v>
      </c>
      <c r="R1517" s="8" t="s">
        <v>31</v>
      </c>
      <c r="S1517" s="8" t="s">
        <v>31</v>
      </c>
      <c r="T1517" s="8" t="s">
        <v>31</v>
      </c>
      <c r="U1517" s="8" t="s">
        <v>31</v>
      </c>
      <c r="V1517" s="8" t="s">
        <v>31</v>
      </c>
      <c r="W1517" s="8" t="str">
        <f>_xlfn.IFNA(VLOOKUP(A1517,[1]Sheet1!$A$1:$B$101,1,FALSE),"na")</f>
        <v>na</v>
      </c>
      <c r="X1517" s="8" t="s">
        <v>3136</v>
      </c>
      <c r="Y1517" s="9">
        <v>337</v>
      </c>
      <c r="Z1517" s="9">
        <v>105.3125</v>
      </c>
      <c r="AA1517" s="9">
        <v>112.33334000000001</v>
      </c>
      <c r="AB1517" s="9">
        <v>337</v>
      </c>
    </row>
    <row r="1518" spans="1:28" x14ac:dyDescent="0.25">
      <c r="A1518" s="8" t="s">
        <v>3137</v>
      </c>
      <c r="B1518" s="8" t="s">
        <v>3138</v>
      </c>
      <c r="C1518" s="8" t="s">
        <v>30</v>
      </c>
      <c r="D1518" s="10">
        <v>2.4000001000000002</v>
      </c>
      <c r="E1518" s="10">
        <v>1</v>
      </c>
      <c r="F1518" s="10">
        <v>1.4</v>
      </c>
      <c r="G1518" s="10">
        <v>1</v>
      </c>
      <c r="H1518" s="10">
        <v>1.4</v>
      </c>
      <c r="I1518" s="10">
        <v>0</v>
      </c>
      <c r="J1518" s="10">
        <v>0</v>
      </c>
      <c r="K1518" s="10">
        <v>0</v>
      </c>
      <c r="L1518" s="10">
        <v>0.40000001000000002</v>
      </c>
      <c r="M1518" s="10">
        <v>0</v>
      </c>
      <c r="N1518" s="10">
        <v>0.40000001000000002</v>
      </c>
      <c r="O1518" s="8" t="s">
        <v>31</v>
      </c>
      <c r="P1518" s="8" t="s">
        <v>31</v>
      </c>
      <c r="Q1518" s="8" t="s">
        <v>57</v>
      </c>
      <c r="R1518" s="8" t="s">
        <v>31</v>
      </c>
      <c r="S1518" s="8" t="s">
        <v>31</v>
      </c>
      <c r="T1518" s="8" t="s">
        <v>31</v>
      </c>
      <c r="U1518" s="8" t="s">
        <v>31</v>
      </c>
      <c r="V1518" s="8" t="s">
        <v>31</v>
      </c>
      <c r="W1518" s="8" t="str">
        <f>_xlfn.IFNA(VLOOKUP(A1518,[1]Sheet1!$A$1:$B$101,1,FALSE),"na")</f>
        <v>na</v>
      </c>
      <c r="X1518" s="8" t="s">
        <v>35</v>
      </c>
      <c r="Y1518" s="9">
        <v>296</v>
      </c>
      <c r="Z1518" s="9">
        <v>123.33333</v>
      </c>
      <c r="AA1518" s="9">
        <v>296</v>
      </c>
      <c r="AB1518" s="9">
        <v>211.42857000000001</v>
      </c>
    </row>
    <row r="1519" spans="1:28" x14ac:dyDescent="0.25">
      <c r="A1519" s="8" t="s">
        <v>3139</v>
      </c>
      <c r="B1519" s="8" t="s">
        <v>3140</v>
      </c>
      <c r="C1519" s="8" t="s">
        <v>67</v>
      </c>
      <c r="D1519" s="10">
        <v>1.2</v>
      </c>
      <c r="E1519" s="10">
        <v>1</v>
      </c>
      <c r="F1519" s="10">
        <v>0.2</v>
      </c>
      <c r="G1519" s="10">
        <v>1</v>
      </c>
      <c r="H1519" s="10">
        <v>0.2</v>
      </c>
      <c r="I1519" s="10">
        <v>0</v>
      </c>
      <c r="J1519" s="10">
        <v>0</v>
      </c>
      <c r="K1519" s="10">
        <v>0</v>
      </c>
      <c r="L1519" s="10">
        <v>0.2</v>
      </c>
      <c r="M1519" s="10">
        <v>0</v>
      </c>
      <c r="N1519" s="10">
        <v>0.2</v>
      </c>
      <c r="O1519" s="8" t="s">
        <v>31</v>
      </c>
      <c r="P1519" s="8" t="s">
        <v>31</v>
      </c>
      <c r="Q1519" s="8" t="s">
        <v>31</v>
      </c>
      <c r="R1519" s="8" t="s">
        <v>31</v>
      </c>
      <c r="S1519" s="8" t="s">
        <v>31</v>
      </c>
      <c r="T1519" s="8" t="s">
        <v>31</v>
      </c>
      <c r="U1519" s="8" t="s">
        <v>31</v>
      </c>
      <c r="V1519" s="8" t="s">
        <v>31</v>
      </c>
      <c r="W1519" s="8" t="str">
        <f>_xlfn.IFNA(VLOOKUP(A1519,[1]Sheet1!$A$1:$B$101,1,FALSE),"na")</f>
        <v>na</v>
      </c>
      <c r="X1519" s="8" t="s">
        <v>2334</v>
      </c>
      <c r="Y1519" s="9">
        <v>296</v>
      </c>
      <c r="Z1519" s="9">
        <v>246.66666000000001</v>
      </c>
      <c r="AA1519" s="9">
        <v>296</v>
      </c>
      <c r="AB1519" s="9">
        <v>296</v>
      </c>
    </row>
    <row r="1520" spans="1:28" x14ac:dyDescent="0.25">
      <c r="A1520" s="8" t="s">
        <v>3141</v>
      </c>
      <c r="B1520" s="8" t="s">
        <v>3142</v>
      </c>
      <c r="C1520" s="8" t="s">
        <v>30</v>
      </c>
      <c r="D1520" s="10">
        <v>1.4</v>
      </c>
      <c r="E1520" s="10">
        <v>1</v>
      </c>
      <c r="F1520" s="10">
        <v>0.40000001000000002</v>
      </c>
      <c r="G1520" s="10">
        <v>1</v>
      </c>
      <c r="H1520" s="10">
        <v>0.40000001000000002</v>
      </c>
      <c r="I1520" s="10">
        <v>0</v>
      </c>
      <c r="J1520" s="10">
        <v>0</v>
      </c>
      <c r="K1520" s="10">
        <v>0</v>
      </c>
      <c r="L1520" s="10">
        <v>0.40000001000000002</v>
      </c>
      <c r="M1520" s="10">
        <v>0</v>
      </c>
      <c r="N1520" s="10">
        <v>0.40000001000000002</v>
      </c>
      <c r="O1520" s="8" t="s">
        <v>31</v>
      </c>
      <c r="P1520" s="8" t="s">
        <v>31</v>
      </c>
      <c r="Q1520" s="8" t="s">
        <v>31</v>
      </c>
      <c r="R1520" s="8" t="s">
        <v>31</v>
      </c>
      <c r="S1520" s="8" t="s">
        <v>31</v>
      </c>
      <c r="T1520" s="8" t="s">
        <v>31</v>
      </c>
      <c r="U1520" s="8" t="s">
        <v>31</v>
      </c>
      <c r="V1520" s="8" t="s">
        <v>31</v>
      </c>
      <c r="W1520" s="8" t="str">
        <f>_xlfn.IFNA(VLOOKUP(A1520,[1]Sheet1!$A$1:$B$101,1,FALSE),"na")</f>
        <v>na</v>
      </c>
      <c r="X1520" s="8" t="s">
        <v>35</v>
      </c>
      <c r="Y1520" s="9">
        <v>223</v>
      </c>
      <c r="Z1520" s="9">
        <v>159.28572</v>
      </c>
      <c r="AA1520" s="9">
        <v>223</v>
      </c>
      <c r="AB1520" s="9">
        <v>223</v>
      </c>
    </row>
    <row r="1521" spans="1:28" x14ac:dyDescent="0.25">
      <c r="A1521" s="8" t="s">
        <v>3143</v>
      </c>
      <c r="B1521" s="8" t="s">
        <v>3144</v>
      </c>
      <c r="C1521" s="8" t="s">
        <v>67</v>
      </c>
      <c r="D1521" s="10">
        <v>1.4</v>
      </c>
      <c r="E1521" s="10">
        <v>1</v>
      </c>
      <c r="F1521" s="10">
        <v>0.40000001000000002</v>
      </c>
      <c r="G1521" s="10">
        <v>1</v>
      </c>
      <c r="H1521" s="10">
        <v>0.40000001000000002</v>
      </c>
      <c r="I1521" s="10">
        <v>0</v>
      </c>
      <c r="J1521" s="10">
        <v>0</v>
      </c>
      <c r="K1521" s="10">
        <v>0</v>
      </c>
      <c r="L1521" s="10">
        <v>0.40000001000000002</v>
      </c>
      <c r="M1521" s="10">
        <v>0</v>
      </c>
      <c r="N1521" s="10">
        <v>0.40000001000000002</v>
      </c>
      <c r="O1521" s="8" t="s">
        <v>31</v>
      </c>
      <c r="P1521" s="8" t="s">
        <v>31</v>
      </c>
      <c r="Q1521" s="8" t="s">
        <v>31</v>
      </c>
      <c r="R1521" s="8" t="s">
        <v>31</v>
      </c>
      <c r="S1521" s="8" t="s">
        <v>31</v>
      </c>
      <c r="T1521" s="8" t="s">
        <v>31</v>
      </c>
      <c r="U1521" s="8" t="s">
        <v>31</v>
      </c>
      <c r="V1521" s="8" t="s">
        <v>31</v>
      </c>
      <c r="W1521" s="8" t="str">
        <f>_xlfn.IFNA(VLOOKUP(A1521,[1]Sheet1!$A$1:$B$101,1,FALSE),"na")</f>
        <v>na</v>
      </c>
      <c r="X1521" s="8" t="s">
        <v>1120</v>
      </c>
      <c r="Y1521" s="9">
        <v>193</v>
      </c>
      <c r="Z1521" s="9">
        <v>137.85714999999999</v>
      </c>
      <c r="AA1521" s="9">
        <v>193</v>
      </c>
      <c r="AB1521" s="9">
        <v>193</v>
      </c>
    </row>
    <row r="1522" spans="1:28" x14ac:dyDescent="0.25">
      <c r="A1522" s="8" t="s">
        <v>3145</v>
      </c>
      <c r="B1522" s="8" t="s">
        <v>3146</v>
      </c>
      <c r="C1522" s="8" t="s">
        <v>67</v>
      </c>
      <c r="D1522" s="10">
        <v>1</v>
      </c>
      <c r="E1522" s="10">
        <v>1</v>
      </c>
      <c r="F1522" s="10">
        <v>0</v>
      </c>
      <c r="G1522" s="10">
        <v>1</v>
      </c>
      <c r="H1522" s="10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8" t="s">
        <v>31</v>
      </c>
      <c r="P1522" s="8" t="s">
        <v>31</v>
      </c>
      <c r="Q1522" s="8" t="s">
        <v>31</v>
      </c>
      <c r="R1522" s="8" t="s">
        <v>31</v>
      </c>
      <c r="S1522" s="8" t="s">
        <v>31</v>
      </c>
      <c r="T1522" s="8" t="s">
        <v>31</v>
      </c>
      <c r="U1522" s="8" t="s">
        <v>31</v>
      </c>
      <c r="V1522" s="8" t="s">
        <v>31</v>
      </c>
      <c r="W1522" s="8" t="str">
        <f>_xlfn.IFNA(VLOOKUP(A1522,[1]Sheet1!$A$1:$B$101,1,FALSE),"na")</f>
        <v>na</v>
      </c>
      <c r="X1522" s="8" t="s">
        <v>844</v>
      </c>
      <c r="Y1522" s="9">
        <v>178</v>
      </c>
      <c r="Z1522" s="9">
        <v>178</v>
      </c>
      <c r="AA1522" s="9">
        <v>178</v>
      </c>
      <c r="AB1522" s="9">
        <v>178</v>
      </c>
    </row>
    <row r="1523" spans="1:28" x14ac:dyDescent="0.25">
      <c r="A1523" s="8" t="s">
        <v>3147</v>
      </c>
      <c r="B1523" s="8" t="s">
        <v>2521</v>
      </c>
      <c r="C1523" s="8" t="s">
        <v>30</v>
      </c>
      <c r="D1523" s="10">
        <v>2.4000001000000002</v>
      </c>
      <c r="E1523" s="10">
        <v>1</v>
      </c>
      <c r="F1523" s="10">
        <v>1.4</v>
      </c>
      <c r="G1523" s="10">
        <v>1</v>
      </c>
      <c r="H1523" s="10">
        <v>1.4</v>
      </c>
      <c r="I1523" s="10">
        <v>0</v>
      </c>
      <c r="J1523" s="10">
        <v>0</v>
      </c>
      <c r="K1523" s="10">
        <v>0</v>
      </c>
      <c r="L1523" s="10">
        <v>0.40000001000000002</v>
      </c>
      <c r="M1523" s="10">
        <v>0</v>
      </c>
      <c r="N1523" s="10">
        <v>0.40000001000000002</v>
      </c>
      <c r="O1523" s="8" t="s">
        <v>57</v>
      </c>
      <c r="P1523" s="8" t="s">
        <v>31</v>
      </c>
      <c r="Q1523" s="8" t="s">
        <v>31</v>
      </c>
      <c r="R1523" s="8" t="s">
        <v>31</v>
      </c>
      <c r="S1523" s="8" t="s">
        <v>31</v>
      </c>
      <c r="T1523" s="8" t="s">
        <v>31</v>
      </c>
      <c r="U1523" s="8" t="s">
        <v>31</v>
      </c>
      <c r="V1523" s="8" t="s">
        <v>31</v>
      </c>
      <c r="W1523" s="8" t="str">
        <f>_xlfn.IFNA(VLOOKUP(A1523,[1]Sheet1!$A$1:$B$101,1,FALSE),"na")</f>
        <v>na</v>
      </c>
      <c r="X1523" s="8" t="s">
        <v>35</v>
      </c>
      <c r="Y1523" s="9">
        <v>468</v>
      </c>
      <c r="Z1523" s="9">
        <v>194.99997999999999</v>
      </c>
      <c r="AA1523" s="9">
        <v>468</v>
      </c>
      <c r="AB1523" s="9">
        <v>334.28570999999999</v>
      </c>
    </row>
    <row r="1524" spans="1:28" x14ac:dyDescent="0.25">
      <c r="A1524" s="8" t="s">
        <v>3148</v>
      </c>
      <c r="B1524" s="8" t="s">
        <v>3149</v>
      </c>
      <c r="C1524" s="8" t="s">
        <v>30</v>
      </c>
      <c r="D1524" s="10">
        <v>1.4</v>
      </c>
      <c r="E1524" s="10">
        <v>1</v>
      </c>
      <c r="F1524" s="10">
        <v>0.40000001000000002</v>
      </c>
      <c r="G1524" s="10">
        <v>1</v>
      </c>
      <c r="H1524" s="10">
        <v>0.40000001000000002</v>
      </c>
      <c r="I1524" s="10">
        <v>0</v>
      </c>
      <c r="J1524" s="10">
        <v>0</v>
      </c>
      <c r="K1524" s="10">
        <v>0</v>
      </c>
      <c r="L1524" s="10">
        <v>0.40000001000000002</v>
      </c>
      <c r="M1524" s="10">
        <v>0</v>
      </c>
      <c r="N1524" s="10">
        <v>0.40000001000000002</v>
      </c>
      <c r="O1524" s="8" t="s">
        <v>31</v>
      </c>
      <c r="P1524" s="8" t="s">
        <v>31</v>
      </c>
      <c r="Q1524" s="8" t="s">
        <v>31</v>
      </c>
      <c r="R1524" s="8" t="s">
        <v>31</v>
      </c>
      <c r="S1524" s="8" t="s">
        <v>31</v>
      </c>
      <c r="T1524" s="8" t="s">
        <v>31</v>
      </c>
      <c r="U1524" s="8" t="s">
        <v>31</v>
      </c>
      <c r="V1524" s="8" t="s">
        <v>31</v>
      </c>
      <c r="W1524" s="8" t="str">
        <f>_xlfn.IFNA(VLOOKUP(A1524,[1]Sheet1!$A$1:$B$101,1,FALSE),"na")</f>
        <v>na</v>
      </c>
      <c r="X1524" s="8" t="s">
        <v>3150</v>
      </c>
      <c r="Y1524" s="9">
        <v>207</v>
      </c>
      <c r="Z1524" s="9">
        <v>147.85714999999999</v>
      </c>
      <c r="AA1524" s="9">
        <v>207</v>
      </c>
      <c r="AB1524" s="9">
        <v>207</v>
      </c>
    </row>
    <row r="1525" spans="1:28" x14ac:dyDescent="0.25">
      <c r="A1525" s="8" t="s">
        <v>3151</v>
      </c>
      <c r="B1525" s="8" t="s">
        <v>3152</v>
      </c>
      <c r="C1525" s="8" t="s">
        <v>67</v>
      </c>
      <c r="D1525" s="10">
        <v>5</v>
      </c>
      <c r="E1525" s="10">
        <v>4</v>
      </c>
      <c r="F1525" s="10">
        <v>1</v>
      </c>
      <c r="G1525" s="10">
        <v>4</v>
      </c>
      <c r="H1525" s="10">
        <v>1</v>
      </c>
      <c r="I1525" s="10">
        <v>0</v>
      </c>
      <c r="J1525" s="10">
        <v>0</v>
      </c>
      <c r="K1525" s="10">
        <v>1</v>
      </c>
      <c r="L1525" s="10">
        <v>0</v>
      </c>
      <c r="M1525" s="10">
        <v>0</v>
      </c>
      <c r="N1525" s="10">
        <v>0</v>
      </c>
      <c r="O1525" s="8" t="s">
        <v>31</v>
      </c>
      <c r="P1525" s="8" t="s">
        <v>31</v>
      </c>
      <c r="Q1525" s="8" t="s">
        <v>31</v>
      </c>
      <c r="R1525" s="8" t="s">
        <v>57</v>
      </c>
      <c r="S1525" s="8" t="s">
        <v>31</v>
      </c>
      <c r="T1525" s="8" t="s">
        <v>31</v>
      </c>
      <c r="U1525" s="8" t="s">
        <v>31</v>
      </c>
      <c r="V1525" s="8" t="s">
        <v>31</v>
      </c>
      <c r="W1525" s="8" t="str">
        <f>_xlfn.IFNA(VLOOKUP(A1525,[1]Sheet1!$A$1:$B$101,1,FALSE),"na")</f>
        <v>na</v>
      </c>
      <c r="X1525" s="8" t="s">
        <v>35</v>
      </c>
      <c r="Y1525" s="9">
        <v>648</v>
      </c>
      <c r="Z1525" s="9">
        <v>129.60001</v>
      </c>
      <c r="AA1525" s="9">
        <v>162</v>
      </c>
      <c r="AB1525" s="9">
        <v>648</v>
      </c>
    </row>
    <row r="1526" spans="1:28" x14ac:dyDescent="0.25">
      <c r="A1526" s="8" t="s">
        <v>3153</v>
      </c>
      <c r="B1526" s="8" t="s">
        <v>3154</v>
      </c>
      <c r="C1526" s="8" t="s">
        <v>38</v>
      </c>
      <c r="D1526" s="10">
        <v>1.3</v>
      </c>
      <c r="E1526" s="10">
        <v>1</v>
      </c>
      <c r="F1526" s="10">
        <v>0.30000000999999998</v>
      </c>
      <c r="G1526" s="10">
        <v>1</v>
      </c>
      <c r="H1526" s="10">
        <v>0.30000000999999998</v>
      </c>
      <c r="I1526" s="10">
        <v>0</v>
      </c>
      <c r="J1526" s="10">
        <v>0</v>
      </c>
      <c r="K1526" s="10">
        <v>1</v>
      </c>
      <c r="L1526" s="10">
        <v>0.30000000999999998</v>
      </c>
      <c r="M1526" s="10">
        <v>0</v>
      </c>
      <c r="N1526" s="10">
        <v>0.30000000999999998</v>
      </c>
      <c r="O1526" s="8" t="s">
        <v>31</v>
      </c>
      <c r="P1526" s="8" t="s">
        <v>31</v>
      </c>
      <c r="Q1526" s="8" t="s">
        <v>31</v>
      </c>
      <c r="R1526" s="8" t="s">
        <v>31</v>
      </c>
      <c r="S1526" s="8" t="s">
        <v>31</v>
      </c>
      <c r="T1526" s="8" t="s">
        <v>31</v>
      </c>
      <c r="U1526" s="8" t="s">
        <v>31</v>
      </c>
      <c r="V1526" s="8" t="s">
        <v>31</v>
      </c>
      <c r="W1526" s="8" t="str">
        <f>_xlfn.IFNA(VLOOKUP(A1526,[1]Sheet1!$A$1:$B$101,1,FALSE),"na")</f>
        <v>na</v>
      </c>
      <c r="X1526" s="8" t="s">
        <v>35</v>
      </c>
      <c r="Y1526" s="9">
        <v>343</v>
      </c>
      <c r="Z1526" s="9">
        <v>263.84616</v>
      </c>
      <c r="AA1526" s="9">
        <v>343</v>
      </c>
      <c r="AB1526" s="9">
        <v>343</v>
      </c>
    </row>
    <row r="1527" spans="1:28" x14ac:dyDescent="0.25">
      <c r="A1527" s="8" t="s">
        <v>3155</v>
      </c>
      <c r="B1527" s="8" t="s">
        <v>3156</v>
      </c>
      <c r="C1527" s="8" t="s">
        <v>62</v>
      </c>
      <c r="D1527" s="10">
        <v>2.2000000000000002</v>
      </c>
      <c r="E1527" s="10">
        <v>2</v>
      </c>
      <c r="F1527" s="10">
        <v>0.2</v>
      </c>
      <c r="G1527" s="10">
        <v>2</v>
      </c>
      <c r="H1527" s="10">
        <v>0.2</v>
      </c>
      <c r="I1527" s="10">
        <v>0</v>
      </c>
      <c r="J1527" s="10">
        <v>0</v>
      </c>
      <c r="K1527" s="10">
        <v>0</v>
      </c>
      <c r="L1527" s="10">
        <v>1</v>
      </c>
      <c r="M1527" s="10">
        <v>0</v>
      </c>
      <c r="N1527" s="10">
        <v>0.2</v>
      </c>
      <c r="O1527" s="8" t="s">
        <v>31</v>
      </c>
      <c r="P1527" s="8" t="s">
        <v>31</v>
      </c>
      <c r="Q1527" s="8" t="s">
        <v>31</v>
      </c>
      <c r="R1527" s="8" t="s">
        <v>31</v>
      </c>
      <c r="S1527" s="8" t="s">
        <v>31</v>
      </c>
      <c r="T1527" s="8" t="s">
        <v>31</v>
      </c>
      <c r="U1527" s="8" t="s">
        <v>31</v>
      </c>
      <c r="V1527" s="8" t="s">
        <v>31</v>
      </c>
      <c r="W1527" s="8" t="str">
        <f>_xlfn.IFNA(VLOOKUP(A1527,[1]Sheet1!$A$1:$B$101,1,FALSE),"na")</f>
        <v>na</v>
      </c>
      <c r="X1527" s="8" t="s">
        <v>3136</v>
      </c>
      <c r="Y1527" s="9">
        <v>277</v>
      </c>
      <c r="Z1527" s="9">
        <v>125.90909000000001</v>
      </c>
      <c r="AA1527" s="9">
        <v>138.5</v>
      </c>
      <c r="AB1527" s="9">
        <v>277</v>
      </c>
    </row>
    <row r="1528" spans="1:28" x14ac:dyDescent="0.25">
      <c r="A1528" s="8" t="s">
        <v>3157</v>
      </c>
      <c r="B1528" s="8" t="s">
        <v>3158</v>
      </c>
      <c r="C1528" s="8" t="s">
        <v>62</v>
      </c>
      <c r="D1528" s="10">
        <v>4</v>
      </c>
      <c r="E1528" s="10">
        <v>3</v>
      </c>
      <c r="F1528" s="10">
        <v>1</v>
      </c>
      <c r="G1528" s="10">
        <v>3</v>
      </c>
      <c r="H1528" s="10">
        <v>1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8" t="s">
        <v>57</v>
      </c>
      <c r="P1528" s="8" t="s">
        <v>31</v>
      </c>
      <c r="Q1528" s="8" t="s">
        <v>31</v>
      </c>
      <c r="R1528" s="8" t="s">
        <v>31</v>
      </c>
      <c r="S1528" s="8" t="s">
        <v>31</v>
      </c>
      <c r="T1528" s="8" t="s">
        <v>31</v>
      </c>
      <c r="U1528" s="8" t="s">
        <v>31</v>
      </c>
      <c r="V1528" s="8" t="s">
        <v>31</v>
      </c>
      <c r="W1528" s="8" t="str">
        <f>_xlfn.IFNA(VLOOKUP(A1528,[1]Sheet1!$A$1:$B$101,1,FALSE),"na")</f>
        <v>na</v>
      </c>
      <c r="X1528" s="8" t="s">
        <v>35</v>
      </c>
      <c r="Y1528" s="9">
        <v>413</v>
      </c>
      <c r="Z1528" s="9">
        <v>103.25</v>
      </c>
      <c r="AA1528" s="9">
        <v>137.66667000000001</v>
      </c>
      <c r="AB1528" s="9">
        <v>413</v>
      </c>
    </row>
    <row r="1529" spans="1:28" x14ac:dyDescent="0.25">
      <c r="A1529" s="8" t="s">
        <v>3159</v>
      </c>
      <c r="B1529" s="8" t="s">
        <v>3160</v>
      </c>
      <c r="C1529" s="8" t="s">
        <v>62</v>
      </c>
      <c r="D1529" s="10">
        <v>3.2</v>
      </c>
      <c r="E1529" s="10">
        <v>3</v>
      </c>
      <c r="F1529" s="10">
        <v>0.2</v>
      </c>
      <c r="G1529" s="10">
        <v>3</v>
      </c>
      <c r="H1529" s="10">
        <v>0.2</v>
      </c>
      <c r="I1529" s="10">
        <v>0</v>
      </c>
      <c r="J1529" s="10">
        <v>0</v>
      </c>
      <c r="K1529" s="10">
        <v>0</v>
      </c>
      <c r="L1529" s="10">
        <v>1</v>
      </c>
      <c r="M1529" s="10">
        <v>0</v>
      </c>
      <c r="N1529" s="10">
        <v>0.2</v>
      </c>
      <c r="O1529" s="8" t="s">
        <v>31</v>
      </c>
      <c r="P1529" s="8" t="s">
        <v>31</v>
      </c>
      <c r="Q1529" s="8" t="s">
        <v>31</v>
      </c>
      <c r="R1529" s="8" t="s">
        <v>31</v>
      </c>
      <c r="S1529" s="8" t="s">
        <v>31</v>
      </c>
      <c r="T1529" s="8" t="s">
        <v>31</v>
      </c>
      <c r="U1529" s="8" t="s">
        <v>31</v>
      </c>
      <c r="V1529" s="8" t="s">
        <v>31</v>
      </c>
      <c r="W1529" s="8" t="str">
        <f>_xlfn.IFNA(VLOOKUP(A1529,[1]Sheet1!$A$1:$B$101,1,FALSE),"na")</f>
        <v>na</v>
      </c>
      <c r="X1529" s="8" t="s">
        <v>3136</v>
      </c>
      <c r="Y1529" s="9">
        <v>268</v>
      </c>
      <c r="Z1529" s="9">
        <v>83.75</v>
      </c>
      <c r="AA1529" s="9">
        <v>89.333336000000003</v>
      </c>
      <c r="AB1529" s="9">
        <v>268</v>
      </c>
    </row>
    <row r="1530" spans="1:28" x14ac:dyDescent="0.25">
      <c r="A1530" s="8" t="s">
        <v>3161</v>
      </c>
      <c r="B1530" s="8" t="s">
        <v>3162</v>
      </c>
      <c r="C1530" s="8" t="s">
        <v>62</v>
      </c>
      <c r="D1530" s="10">
        <v>5.1999997999999996</v>
      </c>
      <c r="E1530" s="10">
        <v>3</v>
      </c>
      <c r="F1530" s="10">
        <v>2.2000000000000002</v>
      </c>
      <c r="G1530" s="10">
        <v>3</v>
      </c>
      <c r="H1530" s="10">
        <v>2.2000000000000002</v>
      </c>
      <c r="I1530" s="10">
        <v>0</v>
      </c>
      <c r="J1530" s="10">
        <v>0</v>
      </c>
      <c r="K1530" s="10">
        <v>0</v>
      </c>
      <c r="L1530" s="10">
        <v>1</v>
      </c>
      <c r="M1530" s="10">
        <v>0</v>
      </c>
      <c r="N1530" s="10">
        <v>0.2</v>
      </c>
      <c r="O1530" s="8" t="s">
        <v>31</v>
      </c>
      <c r="P1530" s="8" t="s">
        <v>31</v>
      </c>
      <c r="Q1530" s="8" t="s">
        <v>31</v>
      </c>
      <c r="R1530" s="8" t="s">
        <v>31</v>
      </c>
      <c r="S1530" s="8" t="s">
        <v>31</v>
      </c>
      <c r="T1530" s="8" t="s">
        <v>57</v>
      </c>
      <c r="U1530" s="8" t="s">
        <v>57</v>
      </c>
      <c r="V1530" s="8" t="s">
        <v>31</v>
      </c>
      <c r="W1530" s="8" t="str">
        <f>_xlfn.IFNA(VLOOKUP(A1530,[1]Sheet1!$A$1:$B$101,1,FALSE),"na")</f>
        <v>na</v>
      </c>
      <c r="X1530" s="8" t="s">
        <v>3136</v>
      </c>
      <c r="Y1530" s="9">
        <v>419</v>
      </c>
      <c r="Z1530" s="9">
        <v>80.576926999999998</v>
      </c>
      <c r="AA1530" s="9">
        <v>139.66667000000001</v>
      </c>
      <c r="AB1530" s="9">
        <v>190.45454000000001</v>
      </c>
    </row>
    <row r="1531" spans="1:28" x14ac:dyDescent="0.25">
      <c r="A1531" s="8" t="s">
        <v>3163</v>
      </c>
      <c r="B1531" s="8" t="s">
        <v>3164</v>
      </c>
      <c r="C1531" s="8" t="s">
        <v>80</v>
      </c>
      <c r="D1531" s="10">
        <v>2</v>
      </c>
      <c r="E1531" s="10">
        <v>1</v>
      </c>
      <c r="F1531" s="10">
        <v>1</v>
      </c>
      <c r="G1531" s="10">
        <v>1</v>
      </c>
      <c r="H1531" s="10">
        <v>1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8" t="s">
        <v>57</v>
      </c>
      <c r="P1531" s="8" t="s">
        <v>31</v>
      </c>
      <c r="Q1531" s="8" t="s">
        <v>31</v>
      </c>
      <c r="R1531" s="8" t="s">
        <v>31</v>
      </c>
      <c r="S1531" s="8" t="s">
        <v>31</v>
      </c>
      <c r="T1531" s="8" t="s">
        <v>31</v>
      </c>
      <c r="U1531" s="8" t="s">
        <v>31</v>
      </c>
      <c r="V1531" s="8" t="s">
        <v>31</v>
      </c>
      <c r="W1531" s="8" t="str">
        <f>_xlfn.IFNA(VLOOKUP(A1531,[1]Sheet1!$A$1:$B$101,1,FALSE),"na")</f>
        <v>na</v>
      </c>
      <c r="X1531" s="8" t="s">
        <v>35</v>
      </c>
      <c r="Y1531" s="9">
        <v>414</v>
      </c>
      <c r="Z1531" s="9">
        <v>207</v>
      </c>
      <c r="AA1531" s="9">
        <v>414</v>
      </c>
      <c r="AB1531" s="9">
        <v>414</v>
      </c>
    </row>
    <row r="1532" spans="1:28" x14ac:dyDescent="0.25">
      <c r="A1532" s="8" t="s">
        <v>3165</v>
      </c>
      <c r="B1532" s="8" t="s">
        <v>3166</v>
      </c>
      <c r="C1532" s="8" t="s">
        <v>62</v>
      </c>
      <c r="D1532" s="10">
        <v>4</v>
      </c>
      <c r="E1532" s="10">
        <v>3</v>
      </c>
      <c r="F1532" s="10">
        <v>1</v>
      </c>
      <c r="G1532" s="10">
        <v>3</v>
      </c>
      <c r="H1532" s="10">
        <v>1</v>
      </c>
      <c r="I1532" s="10">
        <v>0</v>
      </c>
      <c r="J1532" s="10">
        <v>0</v>
      </c>
      <c r="K1532" s="10">
        <v>0</v>
      </c>
      <c r="L1532" s="10">
        <v>0</v>
      </c>
      <c r="M1532" s="10">
        <v>0</v>
      </c>
      <c r="N1532" s="10">
        <v>0</v>
      </c>
      <c r="O1532" s="8" t="s">
        <v>57</v>
      </c>
      <c r="P1532" s="8" t="s">
        <v>31</v>
      </c>
      <c r="Q1532" s="8" t="s">
        <v>31</v>
      </c>
      <c r="R1532" s="8" t="s">
        <v>31</v>
      </c>
      <c r="S1532" s="8" t="s">
        <v>31</v>
      </c>
      <c r="T1532" s="8" t="s">
        <v>57</v>
      </c>
      <c r="U1532" s="8" t="s">
        <v>31</v>
      </c>
      <c r="V1532" s="8" t="s">
        <v>31</v>
      </c>
      <c r="W1532" s="8" t="str">
        <f>_xlfn.IFNA(VLOOKUP(A1532,[1]Sheet1!$A$1:$B$101,1,FALSE),"na")</f>
        <v>na</v>
      </c>
      <c r="X1532" s="8" t="s">
        <v>1120</v>
      </c>
      <c r="Y1532" s="9">
        <v>359</v>
      </c>
      <c r="Z1532" s="9">
        <v>89.75</v>
      </c>
      <c r="AA1532" s="9">
        <v>119.66665999999999</v>
      </c>
      <c r="AB1532" s="9">
        <v>359</v>
      </c>
    </row>
    <row r="1533" spans="1:28" x14ac:dyDescent="0.25">
      <c r="A1533" s="8" t="s">
        <v>3167</v>
      </c>
      <c r="B1533" s="8" t="s">
        <v>3168</v>
      </c>
      <c r="C1533" s="8" t="s">
        <v>67</v>
      </c>
      <c r="D1533" s="10">
        <v>2</v>
      </c>
      <c r="E1533" s="10">
        <v>1</v>
      </c>
      <c r="F1533" s="10">
        <v>1</v>
      </c>
      <c r="G1533" s="10">
        <v>1</v>
      </c>
      <c r="H1533" s="10">
        <v>1</v>
      </c>
      <c r="I1533" s="10">
        <v>0</v>
      </c>
      <c r="J1533" s="10">
        <v>0</v>
      </c>
      <c r="K1533" s="10">
        <v>0</v>
      </c>
      <c r="L1533" s="10">
        <v>1</v>
      </c>
      <c r="M1533" s="10">
        <v>0</v>
      </c>
      <c r="N1533" s="10">
        <v>0</v>
      </c>
      <c r="O1533" s="8" t="s">
        <v>31</v>
      </c>
      <c r="P1533" s="8" t="s">
        <v>31</v>
      </c>
      <c r="Q1533" s="8" t="s">
        <v>31</v>
      </c>
      <c r="R1533" s="8" t="s">
        <v>57</v>
      </c>
      <c r="S1533" s="8" t="s">
        <v>31</v>
      </c>
      <c r="T1533" s="8" t="s">
        <v>31</v>
      </c>
      <c r="U1533" s="8" t="s">
        <v>31</v>
      </c>
      <c r="V1533" s="8" t="s">
        <v>31</v>
      </c>
      <c r="W1533" s="8" t="str">
        <f>_xlfn.IFNA(VLOOKUP(A1533,[1]Sheet1!$A$1:$B$101,1,FALSE),"na")</f>
        <v>na</v>
      </c>
      <c r="X1533" s="8" t="s">
        <v>35</v>
      </c>
      <c r="Y1533" s="9">
        <v>354</v>
      </c>
      <c r="Z1533" s="9">
        <v>177</v>
      </c>
      <c r="AA1533" s="9">
        <v>354</v>
      </c>
      <c r="AB1533" s="9">
        <v>354</v>
      </c>
    </row>
    <row r="1534" spans="1:28" x14ac:dyDescent="0.25">
      <c r="A1534" s="8" t="s">
        <v>3169</v>
      </c>
      <c r="B1534" s="8" t="s">
        <v>3170</v>
      </c>
      <c r="C1534" s="8" t="s">
        <v>62</v>
      </c>
      <c r="D1534" s="10">
        <v>4</v>
      </c>
      <c r="E1534" s="10">
        <v>2</v>
      </c>
      <c r="F1534" s="10">
        <v>2</v>
      </c>
      <c r="G1534" s="10">
        <v>2</v>
      </c>
      <c r="H1534" s="10">
        <v>2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  <c r="O1534" s="8" t="s">
        <v>31</v>
      </c>
      <c r="P1534" s="8" t="s">
        <v>31</v>
      </c>
      <c r="Q1534" s="8" t="s">
        <v>31</v>
      </c>
      <c r="R1534" s="8" t="s">
        <v>31</v>
      </c>
      <c r="S1534" s="8" t="s">
        <v>31</v>
      </c>
      <c r="T1534" s="8" t="s">
        <v>31</v>
      </c>
      <c r="U1534" s="8" t="s">
        <v>31</v>
      </c>
      <c r="V1534" s="8" t="s">
        <v>31</v>
      </c>
      <c r="W1534" s="8" t="str">
        <f>_xlfn.IFNA(VLOOKUP(A1534,[1]Sheet1!$A$1:$B$101,1,FALSE),"na")</f>
        <v>na</v>
      </c>
      <c r="X1534" s="8" t="s">
        <v>35</v>
      </c>
      <c r="Y1534" s="9">
        <v>102</v>
      </c>
      <c r="Z1534" s="9">
        <v>25.5</v>
      </c>
      <c r="AA1534" s="9">
        <v>51</v>
      </c>
      <c r="AB1534" s="9">
        <v>51</v>
      </c>
    </row>
    <row r="1535" spans="1:28" x14ac:dyDescent="0.25">
      <c r="A1535" s="8" t="s">
        <v>3171</v>
      </c>
      <c r="B1535" s="8" t="s">
        <v>3172</v>
      </c>
      <c r="C1535" s="8" t="s">
        <v>30</v>
      </c>
      <c r="D1535" s="10">
        <v>3.6666701000000002</v>
      </c>
      <c r="E1535" s="10">
        <v>2</v>
      </c>
      <c r="F1535" s="10">
        <v>1.6666700000000001</v>
      </c>
      <c r="G1535" s="10">
        <v>2</v>
      </c>
      <c r="H1535" s="10">
        <v>1.6666700000000001</v>
      </c>
      <c r="I1535" s="10">
        <v>0</v>
      </c>
      <c r="J1535" s="10">
        <v>0</v>
      </c>
      <c r="K1535" s="10">
        <v>0</v>
      </c>
      <c r="L1535" s="10">
        <v>0.80000000999999998</v>
      </c>
      <c r="M1535" s="10">
        <v>0</v>
      </c>
      <c r="N1535" s="10">
        <v>1.6666700000000001</v>
      </c>
      <c r="O1535" s="8" t="s">
        <v>31</v>
      </c>
      <c r="P1535" s="8" t="s">
        <v>31</v>
      </c>
      <c r="Q1535" s="8" t="s">
        <v>31</v>
      </c>
      <c r="R1535" s="8" t="s">
        <v>31</v>
      </c>
      <c r="S1535" s="8" t="s">
        <v>31</v>
      </c>
      <c r="T1535" s="8" t="s">
        <v>31</v>
      </c>
      <c r="U1535" s="8" t="s">
        <v>31</v>
      </c>
      <c r="V1535" s="8" t="s">
        <v>31</v>
      </c>
      <c r="W1535" s="8" t="s">
        <v>31</v>
      </c>
      <c r="X1535" s="8" t="s">
        <v>35</v>
      </c>
      <c r="Y1535" s="9">
        <v>414</v>
      </c>
      <c r="Z1535" s="9">
        <v>112.90899</v>
      </c>
      <c r="AA1535" s="9">
        <v>207</v>
      </c>
      <c r="AB1535" s="9">
        <v>248.39950999999999</v>
      </c>
    </row>
    <row r="1536" spans="1:28" x14ac:dyDescent="0.25">
      <c r="A1536" s="8" t="s">
        <v>3173</v>
      </c>
      <c r="B1536" s="8" t="s">
        <v>3174</v>
      </c>
      <c r="C1536" s="8" t="s">
        <v>89</v>
      </c>
      <c r="D1536" s="10">
        <v>4.7666702000000001</v>
      </c>
      <c r="E1536" s="10">
        <v>0</v>
      </c>
      <c r="F1536" s="10">
        <v>4.7666702000000001</v>
      </c>
      <c r="G1536" s="10">
        <v>0</v>
      </c>
      <c r="H1536" s="10">
        <v>4.7666702000000001</v>
      </c>
      <c r="I1536" s="10">
        <v>0</v>
      </c>
      <c r="J1536" s="10">
        <v>0</v>
      </c>
      <c r="K1536" s="10">
        <v>0</v>
      </c>
      <c r="L1536" s="10">
        <v>0.69999999000000002</v>
      </c>
      <c r="M1536" s="10">
        <v>0</v>
      </c>
      <c r="N1536" s="10">
        <v>1.76667</v>
      </c>
      <c r="O1536" s="8" t="s">
        <v>31</v>
      </c>
      <c r="P1536" s="8" t="s">
        <v>31</v>
      </c>
      <c r="Q1536" s="8" t="s">
        <v>31</v>
      </c>
      <c r="R1536" s="8" t="s">
        <v>31</v>
      </c>
      <c r="S1536" s="8" t="s">
        <v>31</v>
      </c>
      <c r="T1536" s="8" t="s">
        <v>31</v>
      </c>
      <c r="U1536" s="8" t="s">
        <v>31</v>
      </c>
      <c r="V1536" s="8" t="s">
        <v>31</v>
      </c>
      <c r="W1536" s="8" t="s">
        <v>57</v>
      </c>
      <c r="X1536" s="8" t="s">
        <v>35</v>
      </c>
      <c r="Y1536" s="9">
        <v>467</v>
      </c>
      <c r="Z1536" s="9">
        <v>97.971953999999997</v>
      </c>
      <c r="AA1536" s="9">
        <v>467</v>
      </c>
      <c r="AB1536" s="9">
        <v>97.971953999999997</v>
      </c>
    </row>
    <row r="1537" spans="1:28" x14ac:dyDescent="0.25">
      <c r="A1537" s="8" t="s">
        <v>3175</v>
      </c>
      <c r="B1537" s="8" t="s">
        <v>3176</v>
      </c>
      <c r="C1537" s="8" t="s">
        <v>89</v>
      </c>
      <c r="D1537" s="10">
        <v>2.8</v>
      </c>
      <c r="E1537" s="10">
        <v>0</v>
      </c>
      <c r="F1537" s="10">
        <v>2.8</v>
      </c>
      <c r="G1537" s="10">
        <v>0</v>
      </c>
      <c r="H1537" s="10">
        <v>2.8</v>
      </c>
      <c r="I1537" s="10">
        <v>0</v>
      </c>
      <c r="J1537" s="10">
        <v>0</v>
      </c>
      <c r="K1537" s="10">
        <v>0</v>
      </c>
      <c r="L1537" s="10">
        <v>1.6</v>
      </c>
      <c r="M1537" s="10">
        <v>0</v>
      </c>
      <c r="N1537" s="10">
        <v>0.80000000999999998</v>
      </c>
      <c r="O1537" s="8" t="s">
        <v>31</v>
      </c>
      <c r="P1537" s="8" t="s">
        <v>31</v>
      </c>
      <c r="Q1537" s="8" t="s">
        <v>31</v>
      </c>
      <c r="R1537" s="8" t="s">
        <v>31</v>
      </c>
      <c r="S1537" s="8" t="s">
        <v>31</v>
      </c>
      <c r="T1537" s="8" t="s">
        <v>31</v>
      </c>
      <c r="U1537" s="8" t="s">
        <v>31</v>
      </c>
      <c r="V1537" s="8" t="s">
        <v>31</v>
      </c>
      <c r="W1537" s="8" t="s">
        <v>57</v>
      </c>
      <c r="X1537" s="8" t="s">
        <v>35</v>
      </c>
      <c r="Y1537" s="9">
        <v>439</v>
      </c>
      <c r="Z1537" s="9">
        <v>156.78572</v>
      </c>
      <c r="AA1537" s="9">
        <v>439</v>
      </c>
      <c r="AB1537" s="9">
        <v>156.78572</v>
      </c>
    </row>
    <row r="1538" spans="1:28" x14ac:dyDescent="0.25">
      <c r="A1538" s="8" t="s">
        <v>3177</v>
      </c>
      <c r="B1538" s="8" t="s">
        <v>3178</v>
      </c>
      <c r="C1538" s="8" t="s">
        <v>89</v>
      </c>
      <c r="D1538" s="10">
        <v>2.9000001000000002</v>
      </c>
      <c r="E1538" s="10">
        <v>1</v>
      </c>
      <c r="F1538" s="10">
        <v>1.9</v>
      </c>
      <c r="G1538" s="10">
        <v>1</v>
      </c>
      <c r="H1538" s="10">
        <v>1.9</v>
      </c>
      <c r="I1538" s="10">
        <v>0</v>
      </c>
      <c r="J1538" s="10">
        <v>0</v>
      </c>
      <c r="K1538" s="10">
        <v>0</v>
      </c>
      <c r="L1538" s="10">
        <v>0</v>
      </c>
      <c r="M1538" s="10">
        <v>0</v>
      </c>
      <c r="N1538" s="10">
        <v>0.89999998000000003</v>
      </c>
      <c r="O1538" s="8" t="s">
        <v>57</v>
      </c>
      <c r="P1538" s="8" t="s">
        <v>31</v>
      </c>
      <c r="Q1538" s="8" t="s">
        <v>31</v>
      </c>
      <c r="R1538" s="8" t="s">
        <v>31</v>
      </c>
      <c r="S1538" s="8" t="s">
        <v>31</v>
      </c>
      <c r="T1538" s="8" t="s">
        <v>31</v>
      </c>
      <c r="U1538" s="8" t="s">
        <v>31</v>
      </c>
      <c r="V1538" s="8" t="s">
        <v>31</v>
      </c>
      <c r="W1538" s="8" t="s">
        <v>57</v>
      </c>
      <c r="X1538" s="8" t="s">
        <v>35</v>
      </c>
      <c r="Y1538" s="9">
        <v>422</v>
      </c>
      <c r="Z1538" s="9">
        <v>145.51723999999999</v>
      </c>
      <c r="AA1538" s="9">
        <v>422</v>
      </c>
      <c r="AB1538" s="9">
        <v>222.10526999999999</v>
      </c>
    </row>
    <row r="1539" spans="1:28" x14ac:dyDescent="0.25">
      <c r="A1539" s="8" t="s">
        <v>3179</v>
      </c>
      <c r="B1539" s="8" t="s">
        <v>3180</v>
      </c>
      <c r="C1539" s="8" t="s">
        <v>38</v>
      </c>
      <c r="D1539" s="10">
        <v>3.8</v>
      </c>
      <c r="E1539" s="10">
        <v>2</v>
      </c>
      <c r="F1539" s="10">
        <v>1.8</v>
      </c>
      <c r="G1539" s="10">
        <v>2</v>
      </c>
      <c r="H1539" s="10">
        <v>1.8</v>
      </c>
      <c r="I1539" s="10">
        <v>0</v>
      </c>
      <c r="J1539" s="10">
        <v>0</v>
      </c>
      <c r="K1539" s="10">
        <v>0</v>
      </c>
      <c r="L1539" s="10">
        <v>0.2</v>
      </c>
      <c r="M1539" s="10">
        <v>0</v>
      </c>
      <c r="N1539" s="10">
        <v>0.80000000999999998</v>
      </c>
      <c r="O1539" s="8" t="s">
        <v>31</v>
      </c>
      <c r="P1539" s="8" t="s">
        <v>31</v>
      </c>
      <c r="Q1539" s="8" t="s">
        <v>31</v>
      </c>
      <c r="R1539" s="8" t="s">
        <v>31</v>
      </c>
      <c r="S1539" s="8" t="s">
        <v>31</v>
      </c>
      <c r="T1539" s="8" t="s">
        <v>31</v>
      </c>
      <c r="U1539" s="8" t="s">
        <v>31</v>
      </c>
      <c r="V1539" s="8" t="s">
        <v>31</v>
      </c>
      <c r="W1539" s="8" t="s">
        <v>57</v>
      </c>
      <c r="X1539" s="8" t="s">
        <v>375</v>
      </c>
      <c r="Y1539" s="9">
        <v>344</v>
      </c>
      <c r="Z1539" s="9">
        <v>90.526313999999999</v>
      </c>
      <c r="AA1539" s="9">
        <v>172</v>
      </c>
      <c r="AB1539" s="9">
        <v>191.11111</v>
      </c>
    </row>
    <row r="1540" spans="1:28" x14ac:dyDescent="0.25">
      <c r="A1540" s="8" t="s">
        <v>3181</v>
      </c>
      <c r="B1540" s="8" t="s">
        <v>3182</v>
      </c>
      <c r="C1540" s="8" t="s">
        <v>89</v>
      </c>
      <c r="D1540" s="10">
        <v>2.8</v>
      </c>
      <c r="E1540" s="10">
        <v>2</v>
      </c>
      <c r="F1540" s="10">
        <v>0.80000000999999998</v>
      </c>
      <c r="G1540" s="10">
        <v>2</v>
      </c>
      <c r="H1540" s="10">
        <v>0.80000000999999998</v>
      </c>
      <c r="I1540" s="10">
        <v>0</v>
      </c>
      <c r="J1540" s="10">
        <v>0</v>
      </c>
      <c r="K1540" s="10">
        <v>0</v>
      </c>
      <c r="L1540" s="10">
        <v>0.60000001999999997</v>
      </c>
      <c r="M1540" s="10">
        <v>0</v>
      </c>
      <c r="N1540" s="10">
        <v>0.80000000999999998</v>
      </c>
      <c r="O1540" s="8" t="s">
        <v>31</v>
      </c>
      <c r="P1540" s="8" t="s">
        <v>31</v>
      </c>
      <c r="Q1540" s="8" t="s">
        <v>31</v>
      </c>
      <c r="R1540" s="8" t="s">
        <v>31</v>
      </c>
      <c r="S1540" s="8" t="s">
        <v>31</v>
      </c>
      <c r="T1540" s="8" t="s">
        <v>31</v>
      </c>
      <c r="U1540" s="8" t="s">
        <v>31</v>
      </c>
      <c r="V1540" s="8" t="s">
        <v>31</v>
      </c>
      <c r="W1540" s="8" t="s">
        <v>31</v>
      </c>
      <c r="X1540" s="8" t="s">
        <v>35</v>
      </c>
      <c r="Y1540" s="9">
        <v>386</v>
      </c>
      <c r="Z1540" s="9">
        <v>137.85714999999999</v>
      </c>
      <c r="AA1540" s="9">
        <v>193</v>
      </c>
      <c r="AB1540" s="9">
        <v>386</v>
      </c>
    </row>
    <row r="1541" spans="1:28" x14ac:dyDescent="0.25">
      <c r="A1541" s="8" t="s">
        <v>3183</v>
      </c>
      <c r="B1541" s="8" t="s">
        <v>3184</v>
      </c>
      <c r="C1541" s="8" t="s">
        <v>38</v>
      </c>
      <c r="D1541" s="10">
        <v>3.8</v>
      </c>
      <c r="E1541" s="10">
        <v>1</v>
      </c>
      <c r="F1541" s="10">
        <v>2.8</v>
      </c>
      <c r="G1541" s="10">
        <v>1</v>
      </c>
      <c r="H1541" s="10">
        <v>2.8</v>
      </c>
      <c r="I1541" s="10">
        <v>0</v>
      </c>
      <c r="J1541" s="10">
        <v>0</v>
      </c>
      <c r="K1541" s="10">
        <v>0</v>
      </c>
      <c r="L1541" s="10">
        <v>1.6</v>
      </c>
      <c r="M1541" s="10">
        <v>0</v>
      </c>
      <c r="N1541" s="10">
        <v>1.8</v>
      </c>
      <c r="O1541" s="8" t="s">
        <v>57</v>
      </c>
      <c r="P1541" s="8" t="s">
        <v>31</v>
      </c>
      <c r="Q1541" s="8" t="s">
        <v>31</v>
      </c>
      <c r="R1541" s="8" t="s">
        <v>31</v>
      </c>
      <c r="S1541" s="8" t="s">
        <v>31</v>
      </c>
      <c r="T1541" s="8" t="s">
        <v>31</v>
      </c>
      <c r="U1541" s="8" t="s">
        <v>31</v>
      </c>
      <c r="V1541" s="8" t="s">
        <v>31</v>
      </c>
      <c r="W1541" s="8" t="s">
        <v>57</v>
      </c>
      <c r="X1541" s="8" t="s">
        <v>35</v>
      </c>
      <c r="Y1541" s="9">
        <v>373</v>
      </c>
      <c r="Z1541" s="9">
        <v>98.157898000000003</v>
      </c>
      <c r="AA1541" s="9">
        <v>373</v>
      </c>
      <c r="AB1541" s="9">
        <v>133.21429000000001</v>
      </c>
    </row>
    <row r="1542" spans="1:28" x14ac:dyDescent="0.25">
      <c r="A1542" s="8" t="s">
        <v>3185</v>
      </c>
      <c r="B1542" s="8" t="s">
        <v>3186</v>
      </c>
      <c r="C1542" s="8" t="s">
        <v>89</v>
      </c>
      <c r="D1542" s="10">
        <v>4.5</v>
      </c>
      <c r="E1542" s="10">
        <v>3</v>
      </c>
      <c r="F1542" s="10">
        <v>1.5</v>
      </c>
      <c r="G1542" s="10">
        <v>3</v>
      </c>
      <c r="H1542" s="10">
        <v>1.5</v>
      </c>
      <c r="I1542" s="10">
        <v>0</v>
      </c>
      <c r="J1542" s="10">
        <v>0</v>
      </c>
      <c r="K1542" s="10">
        <v>0</v>
      </c>
      <c r="L1542" s="10">
        <v>0.5</v>
      </c>
      <c r="M1542" s="10">
        <v>0</v>
      </c>
      <c r="N1542" s="10">
        <v>0.5</v>
      </c>
      <c r="O1542" s="8" t="s">
        <v>57</v>
      </c>
      <c r="P1542" s="8" t="s">
        <v>31</v>
      </c>
      <c r="Q1542" s="8" t="s">
        <v>31</v>
      </c>
      <c r="R1542" s="8" t="s">
        <v>31</v>
      </c>
      <c r="S1542" s="8" t="s">
        <v>31</v>
      </c>
      <c r="T1542" s="8" t="s">
        <v>31</v>
      </c>
      <c r="U1542" s="8" t="s">
        <v>31</v>
      </c>
      <c r="V1542" s="8" t="s">
        <v>31</v>
      </c>
      <c r="W1542" s="8" t="s">
        <v>57</v>
      </c>
      <c r="X1542" s="8" t="s">
        <v>35</v>
      </c>
      <c r="Y1542" s="9">
        <v>263</v>
      </c>
      <c r="Z1542" s="9">
        <v>58.444443</v>
      </c>
      <c r="AA1542" s="9">
        <v>87.666663999999997</v>
      </c>
      <c r="AB1542" s="9">
        <v>175.33332999999999</v>
      </c>
    </row>
    <row r="1543" spans="1:28" x14ac:dyDescent="0.25">
      <c r="A1543" s="8" t="s">
        <v>3187</v>
      </c>
      <c r="B1543" s="8" t="s">
        <v>3188</v>
      </c>
      <c r="C1543" s="8" t="s">
        <v>89</v>
      </c>
      <c r="D1543" s="10">
        <v>5.9333301000000001</v>
      </c>
      <c r="E1543" s="10">
        <v>2</v>
      </c>
      <c r="F1543" s="10">
        <v>3.9333301000000001</v>
      </c>
      <c r="G1543" s="10">
        <v>2</v>
      </c>
      <c r="H1543" s="10">
        <v>3.9333301000000001</v>
      </c>
      <c r="I1543" s="10">
        <v>0</v>
      </c>
      <c r="J1543" s="10">
        <v>0</v>
      </c>
      <c r="K1543" s="10">
        <v>0</v>
      </c>
      <c r="L1543" s="10">
        <v>0.2</v>
      </c>
      <c r="M1543" s="10">
        <v>0</v>
      </c>
      <c r="N1543" s="10">
        <v>0.93332999999999999</v>
      </c>
      <c r="O1543" s="8" t="s">
        <v>31</v>
      </c>
      <c r="P1543" s="8" t="s">
        <v>31</v>
      </c>
      <c r="Q1543" s="8" t="s">
        <v>31</v>
      </c>
      <c r="R1543" s="8" t="s">
        <v>31</v>
      </c>
      <c r="S1543" s="8" t="s">
        <v>31</v>
      </c>
      <c r="T1543" s="8" t="s">
        <v>31</v>
      </c>
      <c r="U1543" s="8" t="s">
        <v>31</v>
      </c>
      <c r="V1543" s="8" t="s">
        <v>31</v>
      </c>
      <c r="W1543" s="8" t="s">
        <v>57</v>
      </c>
      <c r="X1543" s="8" t="s">
        <v>35</v>
      </c>
      <c r="Y1543" s="9">
        <v>490</v>
      </c>
      <c r="Z1543" s="9">
        <v>82.584311999999997</v>
      </c>
      <c r="AA1543" s="9">
        <v>245</v>
      </c>
      <c r="AB1543" s="9">
        <v>124.57638</v>
      </c>
    </row>
    <row r="1544" spans="1:28" x14ac:dyDescent="0.25">
      <c r="A1544" s="8" t="s">
        <v>3189</v>
      </c>
      <c r="B1544" s="8" t="s">
        <v>3190</v>
      </c>
      <c r="C1544" s="8" t="s">
        <v>89</v>
      </c>
      <c r="D1544" s="10">
        <v>3.0999998999999998</v>
      </c>
      <c r="E1544" s="10">
        <v>2</v>
      </c>
      <c r="F1544" s="10">
        <v>1.1000000000000001</v>
      </c>
      <c r="G1544" s="10">
        <v>2</v>
      </c>
      <c r="H1544" s="10">
        <v>1.1000000000000001</v>
      </c>
      <c r="I1544" s="10">
        <v>0</v>
      </c>
      <c r="J1544" s="10">
        <v>0</v>
      </c>
      <c r="K1544" s="10">
        <v>0</v>
      </c>
      <c r="L1544" s="10">
        <v>0.60000001999999997</v>
      </c>
      <c r="M1544" s="10">
        <v>0</v>
      </c>
      <c r="N1544" s="10">
        <v>1.1000000000000001</v>
      </c>
      <c r="O1544" s="8" t="s">
        <v>31</v>
      </c>
      <c r="P1544" s="8" t="s">
        <v>31</v>
      </c>
      <c r="Q1544" s="8" t="s">
        <v>31</v>
      </c>
      <c r="R1544" s="8" t="s">
        <v>31</v>
      </c>
      <c r="S1544" s="8" t="s">
        <v>31</v>
      </c>
      <c r="T1544" s="8" t="s">
        <v>31</v>
      </c>
      <c r="U1544" s="8" t="s">
        <v>31</v>
      </c>
      <c r="V1544" s="8" t="s">
        <v>31</v>
      </c>
      <c r="W1544" s="8" t="s">
        <v>57</v>
      </c>
      <c r="X1544" s="8" t="s">
        <v>35</v>
      </c>
      <c r="Y1544" s="9">
        <v>242</v>
      </c>
      <c r="Z1544" s="9">
        <v>78.064521999999997</v>
      </c>
      <c r="AA1544" s="9">
        <v>121</v>
      </c>
      <c r="AB1544" s="9">
        <v>220</v>
      </c>
    </row>
    <row r="1545" spans="1:28" x14ac:dyDescent="0.25">
      <c r="A1545" s="8" t="s">
        <v>3191</v>
      </c>
      <c r="B1545" s="8" t="s">
        <v>3192</v>
      </c>
      <c r="C1545" s="8" t="s">
        <v>62</v>
      </c>
      <c r="D1545" s="10">
        <v>2.5</v>
      </c>
      <c r="E1545" s="10">
        <v>2</v>
      </c>
      <c r="F1545" s="10">
        <v>0.5</v>
      </c>
      <c r="G1545" s="10">
        <v>2</v>
      </c>
      <c r="H1545" s="10">
        <v>0.5</v>
      </c>
      <c r="I1545" s="10">
        <v>0</v>
      </c>
      <c r="J1545" s="10">
        <v>0</v>
      </c>
      <c r="K1545" s="10">
        <v>0</v>
      </c>
      <c r="L1545" s="10">
        <v>0.5</v>
      </c>
      <c r="M1545" s="10">
        <v>0</v>
      </c>
      <c r="N1545" s="10">
        <v>0.5</v>
      </c>
      <c r="O1545" s="8" t="s">
        <v>31</v>
      </c>
      <c r="P1545" s="8" t="s">
        <v>31</v>
      </c>
      <c r="Q1545" s="8" t="s">
        <v>31</v>
      </c>
      <c r="R1545" s="8" t="s">
        <v>31</v>
      </c>
      <c r="S1545" s="8" t="s">
        <v>31</v>
      </c>
      <c r="T1545" s="8" t="s">
        <v>31</v>
      </c>
      <c r="U1545" s="8" t="s">
        <v>31</v>
      </c>
      <c r="V1545" s="8" t="s">
        <v>31</v>
      </c>
      <c r="W1545" s="8" t="s">
        <v>57</v>
      </c>
      <c r="X1545" s="8" t="s">
        <v>35</v>
      </c>
      <c r="Y1545" s="9">
        <v>246</v>
      </c>
      <c r="Z1545" s="9">
        <v>98.400002000000001</v>
      </c>
      <c r="AA1545" s="9">
        <v>123</v>
      </c>
      <c r="AB1545" s="9">
        <v>246</v>
      </c>
    </row>
    <row r="1546" spans="1:28" x14ac:dyDescent="0.25">
      <c r="A1546" s="8" t="s">
        <v>3193</v>
      </c>
      <c r="B1546" s="8" t="s">
        <v>3194</v>
      </c>
      <c r="C1546" s="8" t="s">
        <v>38</v>
      </c>
      <c r="D1546" s="10">
        <v>2.2999999999999998</v>
      </c>
      <c r="E1546" s="10">
        <v>1</v>
      </c>
      <c r="F1546" s="10">
        <v>1.3</v>
      </c>
      <c r="G1546" s="10">
        <v>1</v>
      </c>
      <c r="H1546" s="10">
        <v>1.3</v>
      </c>
      <c r="I1546" s="10">
        <v>0</v>
      </c>
      <c r="J1546" s="10">
        <v>0</v>
      </c>
      <c r="K1546" s="10">
        <v>0</v>
      </c>
      <c r="L1546" s="10">
        <v>0.2</v>
      </c>
      <c r="M1546" s="10">
        <v>0</v>
      </c>
      <c r="N1546" s="10">
        <v>0.30000000999999998</v>
      </c>
      <c r="O1546" s="8" t="s">
        <v>57</v>
      </c>
      <c r="P1546" s="8" t="s">
        <v>31</v>
      </c>
      <c r="Q1546" s="8" t="s">
        <v>31</v>
      </c>
      <c r="R1546" s="8" t="s">
        <v>31</v>
      </c>
      <c r="S1546" s="8" t="s">
        <v>31</v>
      </c>
      <c r="T1546" s="8" t="s">
        <v>31</v>
      </c>
      <c r="U1546" s="8" t="s">
        <v>31</v>
      </c>
      <c r="V1546" s="8" t="s">
        <v>31</v>
      </c>
      <c r="W1546" s="8" t="s">
        <v>57</v>
      </c>
      <c r="X1546" s="8" t="s">
        <v>35</v>
      </c>
      <c r="Y1546" s="9">
        <v>256</v>
      </c>
      <c r="Z1546" s="9">
        <v>111.30435</v>
      </c>
      <c r="AA1546" s="9">
        <v>256</v>
      </c>
      <c r="AB1546" s="9">
        <v>196.92308</v>
      </c>
    </row>
    <row r="1547" spans="1:28" x14ac:dyDescent="0.25">
      <c r="A1547" s="8" t="s">
        <v>3195</v>
      </c>
      <c r="B1547" s="8" t="s">
        <v>3196</v>
      </c>
      <c r="C1547" s="8" t="s">
        <v>62</v>
      </c>
      <c r="D1547" s="10">
        <v>3.0999998999999998</v>
      </c>
      <c r="E1547" s="10">
        <v>0</v>
      </c>
      <c r="F1547" s="10">
        <v>3.0999998999999998</v>
      </c>
      <c r="G1547" s="10">
        <v>0</v>
      </c>
      <c r="H1547" s="10">
        <v>3.0999998999999998</v>
      </c>
      <c r="I1547" s="10">
        <v>0</v>
      </c>
      <c r="J1547" s="10">
        <v>0</v>
      </c>
      <c r="K1547" s="10">
        <v>0</v>
      </c>
      <c r="L1547" s="10">
        <v>0</v>
      </c>
      <c r="M1547" s="10">
        <v>0</v>
      </c>
      <c r="N1547" s="10">
        <v>0.1</v>
      </c>
      <c r="O1547" s="8" t="s">
        <v>57</v>
      </c>
      <c r="P1547" s="8" t="s">
        <v>31</v>
      </c>
      <c r="Q1547" s="8" t="s">
        <v>31</v>
      </c>
      <c r="R1547" s="8" t="s">
        <v>31</v>
      </c>
      <c r="S1547" s="8" t="s">
        <v>31</v>
      </c>
      <c r="T1547" s="8" t="s">
        <v>31</v>
      </c>
      <c r="U1547" s="8" t="s">
        <v>31</v>
      </c>
      <c r="V1547" s="8" t="s">
        <v>31</v>
      </c>
      <c r="W1547" s="8" t="s">
        <v>57</v>
      </c>
      <c r="X1547" s="8" t="s">
        <v>35</v>
      </c>
      <c r="Y1547" s="9">
        <v>499</v>
      </c>
      <c r="Z1547" s="9">
        <v>160.96773999999999</v>
      </c>
      <c r="AA1547" s="9">
        <v>499</v>
      </c>
      <c r="AB1547" s="9">
        <v>160.96773999999999</v>
      </c>
    </row>
    <row r="1548" spans="1:28" x14ac:dyDescent="0.25">
      <c r="A1548" s="8" t="s">
        <v>3197</v>
      </c>
      <c r="B1548" s="8" t="s">
        <v>3198</v>
      </c>
      <c r="C1548" s="8" t="s">
        <v>38</v>
      </c>
      <c r="D1548" s="10">
        <v>3.5999998999999998</v>
      </c>
      <c r="E1548" s="10">
        <v>1.4</v>
      </c>
      <c r="F1548" s="10">
        <v>2.2000000000000002</v>
      </c>
      <c r="G1548" s="10">
        <v>1</v>
      </c>
      <c r="H1548" s="10">
        <v>2.2000000000000002</v>
      </c>
      <c r="I1548" s="10">
        <v>0.40000001000000002</v>
      </c>
      <c r="J1548" s="10">
        <v>0</v>
      </c>
      <c r="K1548" s="10">
        <v>0</v>
      </c>
      <c r="L1548" s="10">
        <v>0</v>
      </c>
      <c r="M1548" s="10">
        <v>0</v>
      </c>
      <c r="N1548" s="10">
        <v>0.2</v>
      </c>
      <c r="O1548" s="8" t="s">
        <v>57</v>
      </c>
      <c r="P1548" s="8" t="s">
        <v>31</v>
      </c>
      <c r="Q1548" s="8" t="s">
        <v>31</v>
      </c>
      <c r="R1548" s="8" t="s">
        <v>31</v>
      </c>
      <c r="S1548" s="8" t="s">
        <v>31</v>
      </c>
      <c r="T1548" s="8" t="s">
        <v>31</v>
      </c>
      <c r="U1548" s="8" t="s">
        <v>31</v>
      </c>
      <c r="V1548" s="8" t="s">
        <v>31</v>
      </c>
      <c r="W1548" s="8" t="s">
        <v>31</v>
      </c>
      <c r="X1548" s="8" t="s">
        <v>35</v>
      </c>
      <c r="Y1548" s="9">
        <v>624</v>
      </c>
      <c r="Z1548" s="9">
        <v>173.33333999999999</v>
      </c>
      <c r="AA1548" s="9">
        <v>445.71429000000001</v>
      </c>
      <c r="AB1548" s="9">
        <v>283.63634999999999</v>
      </c>
    </row>
    <row r="1549" spans="1:28" x14ac:dyDescent="0.25">
      <c r="A1549" s="8" t="s">
        <v>3199</v>
      </c>
      <c r="B1549" s="8" t="s">
        <v>3200</v>
      </c>
      <c r="C1549" s="8" t="s">
        <v>89</v>
      </c>
      <c r="D1549" s="10">
        <v>2.2000000000000002</v>
      </c>
      <c r="E1549" s="10">
        <v>0.80000000999999998</v>
      </c>
      <c r="F1549" s="10">
        <v>1.4</v>
      </c>
      <c r="G1549" s="10">
        <v>0</v>
      </c>
      <c r="H1549" s="10">
        <v>1.4</v>
      </c>
      <c r="I1549" s="10">
        <v>0.80000000999999998</v>
      </c>
      <c r="J1549" s="10">
        <v>0</v>
      </c>
      <c r="K1549" s="10">
        <v>0</v>
      </c>
      <c r="L1549" s="10">
        <v>0.40000001000000002</v>
      </c>
      <c r="M1549" s="10">
        <v>2</v>
      </c>
      <c r="N1549" s="10">
        <v>0.40000001000000002</v>
      </c>
      <c r="O1549" s="8" t="s">
        <v>31</v>
      </c>
      <c r="P1549" s="8" t="s">
        <v>31</v>
      </c>
      <c r="Q1549" s="8" t="s">
        <v>31</v>
      </c>
      <c r="R1549" s="8" t="s">
        <v>31</v>
      </c>
      <c r="S1549" s="8" t="s">
        <v>31</v>
      </c>
      <c r="T1549" s="8" t="s">
        <v>31</v>
      </c>
      <c r="U1549" s="8" t="s">
        <v>31</v>
      </c>
      <c r="V1549" s="8" t="s">
        <v>31</v>
      </c>
      <c r="W1549" s="8" t="s">
        <v>31</v>
      </c>
      <c r="X1549" s="8" t="s">
        <v>35</v>
      </c>
      <c r="Y1549" s="9">
        <v>467</v>
      </c>
      <c r="Z1549" s="9">
        <v>212.27271999999999</v>
      </c>
      <c r="AA1549" s="9">
        <v>467</v>
      </c>
      <c r="AB1549" s="9">
        <v>333.57144</v>
      </c>
    </row>
    <row r="1550" spans="1:28" x14ac:dyDescent="0.25">
      <c r="A1550" s="8" t="s">
        <v>3201</v>
      </c>
      <c r="B1550" s="8" t="s">
        <v>3202</v>
      </c>
      <c r="C1550" s="8" t="s">
        <v>62</v>
      </c>
      <c r="D1550" s="10">
        <v>7.46</v>
      </c>
      <c r="E1550" s="10">
        <v>4</v>
      </c>
      <c r="F1550" s="10">
        <v>3.46</v>
      </c>
      <c r="G1550" s="10">
        <v>4</v>
      </c>
      <c r="H1550" s="10">
        <v>3.46</v>
      </c>
      <c r="I1550" s="10">
        <v>0</v>
      </c>
      <c r="J1550" s="10">
        <v>0</v>
      </c>
      <c r="K1550" s="10">
        <v>1</v>
      </c>
      <c r="L1550" s="10">
        <v>2.0999998999999998</v>
      </c>
      <c r="M1550" s="10">
        <v>0</v>
      </c>
      <c r="N1550" s="10">
        <v>0.46000001000000001</v>
      </c>
      <c r="O1550" s="8" t="s">
        <v>31</v>
      </c>
      <c r="P1550" s="8" t="s">
        <v>31</v>
      </c>
      <c r="Q1550" s="8" t="s">
        <v>31</v>
      </c>
      <c r="R1550" s="8" t="s">
        <v>31</v>
      </c>
      <c r="S1550" s="8" t="s">
        <v>31</v>
      </c>
      <c r="T1550" s="8" t="s">
        <v>57</v>
      </c>
      <c r="U1550" s="8" t="s">
        <v>57</v>
      </c>
      <c r="V1550" s="8" t="s">
        <v>31</v>
      </c>
      <c r="W1550" s="8" t="s">
        <v>57</v>
      </c>
      <c r="X1550" s="8" t="s">
        <v>35</v>
      </c>
      <c r="Y1550" s="9">
        <v>450</v>
      </c>
      <c r="Z1550" s="9">
        <v>60.321716000000002</v>
      </c>
      <c r="AA1550" s="9">
        <v>112.5</v>
      </c>
      <c r="AB1550" s="9">
        <v>130.05779999999999</v>
      </c>
    </row>
    <row r="1551" spans="1:28" x14ac:dyDescent="0.25">
      <c r="A1551" s="8" t="s">
        <v>3203</v>
      </c>
      <c r="B1551" s="8" t="s">
        <v>3204</v>
      </c>
      <c r="C1551" s="8" t="s">
        <v>89</v>
      </c>
      <c r="D1551" s="10">
        <v>4.9000000999999997</v>
      </c>
      <c r="E1551" s="10">
        <v>1.4</v>
      </c>
      <c r="F1551" s="10">
        <v>3.5</v>
      </c>
      <c r="G1551" s="10">
        <v>1</v>
      </c>
      <c r="H1551" s="10">
        <v>3.5</v>
      </c>
      <c r="I1551" s="10">
        <v>0.40000001000000002</v>
      </c>
      <c r="J1551" s="10">
        <v>0</v>
      </c>
      <c r="K1551" s="10">
        <v>0</v>
      </c>
      <c r="L1551" s="10">
        <v>0.2</v>
      </c>
      <c r="M1551" s="10">
        <v>0</v>
      </c>
      <c r="N1551" s="10">
        <v>1.5</v>
      </c>
      <c r="O1551" s="8" t="s">
        <v>31</v>
      </c>
      <c r="P1551" s="8" t="s">
        <v>31</v>
      </c>
      <c r="Q1551" s="8" t="s">
        <v>31</v>
      </c>
      <c r="R1551" s="8" t="s">
        <v>31</v>
      </c>
      <c r="S1551" s="8" t="s">
        <v>31</v>
      </c>
      <c r="T1551" s="8" t="s">
        <v>31</v>
      </c>
      <c r="U1551" s="8" t="s">
        <v>31</v>
      </c>
      <c r="V1551" s="8" t="s">
        <v>31</v>
      </c>
      <c r="W1551" s="8" t="s">
        <v>57</v>
      </c>
      <c r="X1551" s="8" t="s">
        <v>35</v>
      </c>
      <c r="Y1551" s="9">
        <v>567</v>
      </c>
      <c r="Z1551" s="9">
        <v>115.71429000000001</v>
      </c>
      <c r="AA1551" s="9">
        <v>405</v>
      </c>
      <c r="AB1551" s="9">
        <v>162</v>
      </c>
    </row>
    <row r="1552" spans="1:28" x14ac:dyDescent="0.25">
      <c r="A1552" s="8" t="s">
        <v>3205</v>
      </c>
      <c r="B1552" s="8" t="s">
        <v>3206</v>
      </c>
      <c r="C1552" s="8" t="s">
        <v>80</v>
      </c>
      <c r="D1552" s="10">
        <v>3.5</v>
      </c>
      <c r="E1552" s="10">
        <v>0.80000000999999998</v>
      </c>
      <c r="F1552" s="10">
        <v>2.7</v>
      </c>
      <c r="G1552" s="10">
        <v>0</v>
      </c>
      <c r="H1552" s="10">
        <v>2.7</v>
      </c>
      <c r="I1552" s="10">
        <v>0.80000000999999998</v>
      </c>
      <c r="J1552" s="10">
        <v>0</v>
      </c>
      <c r="K1552" s="10">
        <v>0</v>
      </c>
      <c r="L1552" s="10">
        <v>0</v>
      </c>
      <c r="M1552" s="10">
        <v>0</v>
      </c>
      <c r="N1552" s="10">
        <v>0.69999999000000002</v>
      </c>
      <c r="O1552" s="8" t="s">
        <v>57</v>
      </c>
      <c r="P1552" s="8" t="s">
        <v>31</v>
      </c>
      <c r="Q1552" s="8" t="s">
        <v>31</v>
      </c>
      <c r="R1552" s="8" t="s">
        <v>31</v>
      </c>
      <c r="S1552" s="8" t="s">
        <v>31</v>
      </c>
      <c r="T1552" s="8" t="s">
        <v>31</v>
      </c>
      <c r="U1552" s="8" t="s">
        <v>31</v>
      </c>
      <c r="V1552" s="8" t="s">
        <v>31</v>
      </c>
      <c r="W1552" s="8" t="s">
        <v>57</v>
      </c>
      <c r="X1552" s="8" t="s">
        <v>35</v>
      </c>
      <c r="Y1552" s="9">
        <v>304</v>
      </c>
      <c r="Z1552" s="9">
        <v>86.857140000000001</v>
      </c>
      <c r="AA1552" s="9">
        <v>304</v>
      </c>
      <c r="AB1552" s="9">
        <v>112.59259</v>
      </c>
    </row>
    <row r="1553" spans="1:28" x14ac:dyDescent="0.25">
      <c r="A1553" s="8" t="s">
        <v>3207</v>
      </c>
      <c r="B1553" s="8" t="s">
        <v>3208</v>
      </c>
      <c r="C1553" s="8" t="s">
        <v>89</v>
      </c>
      <c r="D1553" s="10">
        <v>7.0999999000000003</v>
      </c>
      <c r="E1553" s="10">
        <v>2</v>
      </c>
      <c r="F1553" s="10">
        <v>5.0999999000000003</v>
      </c>
      <c r="G1553" s="10">
        <v>2</v>
      </c>
      <c r="H1553" s="10">
        <v>5.0999999000000003</v>
      </c>
      <c r="I1553" s="10">
        <v>0</v>
      </c>
      <c r="J1553" s="10">
        <v>0</v>
      </c>
      <c r="K1553" s="10">
        <v>0</v>
      </c>
      <c r="L1553" s="10">
        <v>0.1</v>
      </c>
      <c r="M1553" s="10">
        <v>0</v>
      </c>
      <c r="N1553" s="10">
        <v>0.1</v>
      </c>
      <c r="O1553" s="8" t="s">
        <v>31</v>
      </c>
      <c r="P1553" s="8" t="s">
        <v>31</v>
      </c>
      <c r="Q1553" s="8" t="s">
        <v>31</v>
      </c>
      <c r="R1553" s="8" t="s">
        <v>31</v>
      </c>
      <c r="S1553" s="8" t="s">
        <v>31</v>
      </c>
      <c r="T1553" s="8" t="s">
        <v>31</v>
      </c>
      <c r="U1553" s="8" t="s">
        <v>31</v>
      </c>
      <c r="V1553" s="8" t="s">
        <v>31</v>
      </c>
      <c r="W1553" s="8" t="s">
        <v>31</v>
      </c>
      <c r="X1553" s="8" t="s">
        <v>35</v>
      </c>
      <c r="Y1553" s="9">
        <v>271</v>
      </c>
      <c r="Z1553" s="9">
        <v>38.169013999999997</v>
      </c>
      <c r="AA1553" s="9">
        <v>135.5</v>
      </c>
      <c r="AB1553" s="9">
        <v>53.137256999999998</v>
      </c>
    </row>
    <row r="1554" spans="1:28" x14ac:dyDescent="0.25">
      <c r="A1554" s="8" t="s">
        <v>3209</v>
      </c>
      <c r="B1554" s="8" t="s">
        <v>3210</v>
      </c>
      <c r="C1554" s="8" t="s">
        <v>80</v>
      </c>
      <c r="D1554" s="10">
        <v>4.3000002000000004</v>
      </c>
      <c r="E1554" s="10">
        <v>2</v>
      </c>
      <c r="F1554" s="10">
        <v>2.2999999999999998</v>
      </c>
      <c r="G1554" s="10">
        <v>2</v>
      </c>
      <c r="H1554" s="10">
        <v>2.2999999999999998</v>
      </c>
      <c r="I1554" s="10">
        <v>0</v>
      </c>
      <c r="J1554" s="10">
        <v>0</v>
      </c>
      <c r="K1554" s="10">
        <v>0</v>
      </c>
      <c r="L1554" s="10">
        <v>0.30000000999999998</v>
      </c>
      <c r="M1554" s="10">
        <v>0</v>
      </c>
      <c r="N1554" s="10">
        <v>0.30000000999999998</v>
      </c>
      <c r="O1554" s="8" t="s">
        <v>57</v>
      </c>
      <c r="P1554" s="8" t="s">
        <v>31</v>
      </c>
      <c r="Q1554" s="8" t="s">
        <v>31</v>
      </c>
      <c r="R1554" s="8" t="s">
        <v>31</v>
      </c>
      <c r="S1554" s="8" t="s">
        <v>31</v>
      </c>
      <c r="T1554" s="8" t="s">
        <v>31</v>
      </c>
      <c r="U1554" s="8" t="s">
        <v>31</v>
      </c>
      <c r="V1554" s="8" t="s">
        <v>31</v>
      </c>
      <c r="W1554" s="8" t="s">
        <v>57</v>
      </c>
      <c r="X1554" s="8" t="s">
        <v>35</v>
      </c>
      <c r="Y1554" s="9">
        <v>285</v>
      </c>
      <c r="Z1554" s="9">
        <v>66.279067999999995</v>
      </c>
      <c r="AA1554" s="9">
        <v>142.5</v>
      </c>
      <c r="AB1554" s="9">
        <v>123.91305</v>
      </c>
    </row>
    <row r="1555" spans="1:28" x14ac:dyDescent="0.25">
      <c r="A1555" s="8" t="s">
        <v>3211</v>
      </c>
      <c r="B1555" s="8" t="s">
        <v>3212</v>
      </c>
      <c r="C1555" s="8" t="s">
        <v>89</v>
      </c>
      <c r="D1555" s="10">
        <v>3.5999998999999998</v>
      </c>
      <c r="E1555" s="10">
        <v>0</v>
      </c>
      <c r="F1555" s="10">
        <v>3.5999998999999998</v>
      </c>
      <c r="G1555" s="10">
        <v>0</v>
      </c>
      <c r="H1555" s="10">
        <v>3.5999998999999998</v>
      </c>
      <c r="I1555" s="10">
        <v>0</v>
      </c>
      <c r="J1555" s="10">
        <v>0</v>
      </c>
      <c r="K1555" s="10">
        <v>0</v>
      </c>
      <c r="L1555" s="10">
        <v>0.1</v>
      </c>
      <c r="M1555" s="10">
        <v>0</v>
      </c>
      <c r="N1555" s="10">
        <v>1.6</v>
      </c>
      <c r="O1555" s="8" t="s">
        <v>57</v>
      </c>
      <c r="P1555" s="8" t="s">
        <v>31</v>
      </c>
      <c r="Q1555" s="8" t="s">
        <v>31</v>
      </c>
      <c r="R1555" s="8" t="s">
        <v>31</v>
      </c>
      <c r="S1555" s="8" t="s">
        <v>31</v>
      </c>
      <c r="T1555" s="8" t="s">
        <v>31</v>
      </c>
      <c r="U1555" s="8" t="s">
        <v>31</v>
      </c>
      <c r="V1555" s="8" t="s">
        <v>31</v>
      </c>
      <c r="W1555" s="8" t="s">
        <v>57</v>
      </c>
      <c r="X1555" s="8" t="s">
        <v>35</v>
      </c>
      <c r="Y1555" s="9">
        <v>468</v>
      </c>
      <c r="Z1555" s="9">
        <v>130</v>
      </c>
      <c r="AA1555" s="9">
        <v>468</v>
      </c>
      <c r="AB1555" s="9">
        <v>130</v>
      </c>
    </row>
    <row r="1556" spans="1:28" x14ac:dyDescent="0.25">
      <c r="A1556" s="8" t="s">
        <v>3213</v>
      </c>
      <c r="B1556" s="8" t="s">
        <v>3214</v>
      </c>
      <c r="C1556" s="8" t="s">
        <v>89</v>
      </c>
      <c r="D1556" s="10">
        <v>2.6904699999999999</v>
      </c>
      <c r="E1556" s="10">
        <v>0</v>
      </c>
      <c r="F1556" s="10">
        <v>2.6904699999999999</v>
      </c>
      <c r="G1556" s="10">
        <v>0</v>
      </c>
      <c r="H1556" s="10">
        <v>2.6904699999999999</v>
      </c>
      <c r="I1556" s="10">
        <v>0</v>
      </c>
      <c r="J1556" s="10">
        <v>0</v>
      </c>
      <c r="K1556" s="10">
        <v>0</v>
      </c>
      <c r="L1556" s="10">
        <v>1.05714</v>
      </c>
      <c r="M1556" s="10">
        <v>0</v>
      </c>
      <c r="N1556" s="10">
        <v>1.6904699999999999</v>
      </c>
      <c r="O1556" s="8" t="s">
        <v>57</v>
      </c>
      <c r="P1556" s="8" t="s">
        <v>31</v>
      </c>
      <c r="Q1556" s="8" t="s">
        <v>31</v>
      </c>
      <c r="R1556" s="8" t="s">
        <v>31</v>
      </c>
      <c r="S1556" s="8" t="s">
        <v>31</v>
      </c>
      <c r="T1556" s="8" t="s">
        <v>31</v>
      </c>
      <c r="U1556" s="8" t="s">
        <v>31</v>
      </c>
      <c r="V1556" s="8" t="s">
        <v>31</v>
      </c>
      <c r="W1556" s="8" t="s">
        <v>57</v>
      </c>
      <c r="X1556" s="8" t="s">
        <v>35</v>
      </c>
      <c r="Y1556" s="9">
        <v>709</v>
      </c>
      <c r="Z1556" s="9">
        <v>263.52274</v>
      </c>
      <c r="AA1556" s="9">
        <v>709</v>
      </c>
      <c r="AB1556" s="9">
        <v>263.52274</v>
      </c>
    </row>
    <row r="1557" spans="1:28" x14ac:dyDescent="0.25">
      <c r="A1557" s="8" t="s">
        <v>3215</v>
      </c>
      <c r="B1557" s="8" t="s">
        <v>3216</v>
      </c>
      <c r="C1557" s="8" t="s">
        <v>89</v>
      </c>
      <c r="D1557" s="10">
        <v>5.3000002000000004</v>
      </c>
      <c r="E1557" s="10">
        <v>1</v>
      </c>
      <c r="F1557" s="10">
        <v>4.3000002000000004</v>
      </c>
      <c r="G1557" s="10">
        <v>1</v>
      </c>
      <c r="H1557" s="10">
        <v>3.9000001000000002</v>
      </c>
      <c r="I1557" s="10">
        <v>0</v>
      </c>
      <c r="J1557" s="10">
        <v>0.40000001000000002</v>
      </c>
      <c r="K1557" s="10">
        <v>1</v>
      </c>
      <c r="L1557" s="10">
        <v>1.5</v>
      </c>
      <c r="M1557" s="10">
        <v>0</v>
      </c>
      <c r="N1557" s="10">
        <v>0.89999998000000003</v>
      </c>
      <c r="O1557" s="8" t="s">
        <v>31</v>
      </c>
      <c r="P1557" s="8" t="s">
        <v>31</v>
      </c>
      <c r="Q1557" s="8" t="s">
        <v>31</v>
      </c>
      <c r="R1557" s="8" t="s">
        <v>31</v>
      </c>
      <c r="S1557" s="8" t="s">
        <v>31</v>
      </c>
      <c r="T1557" s="8" t="s">
        <v>31</v>
      </c>
      <c r="U1557" s="8" t="s">
        <v>31</v>
      </c>
      <c r="V1557" s="8" t="s">
        <v>31</v>
      </c>
      <c r="W1557" s="8" t="s">
        <v>57</v>
      </c>
      <c r="X1557" s="8" t="s">
        <v>35</v>
      </c>
      <c r="Y1557" s="9">
        <v>412</v>
      </c>
      <c r="Z1557" s="9">
        <v>77.735847000000007</v>
      </c>
      <c r="AA1557" s="9">
        <v>412</v>
      </c>
      <c r="AB1557" s="9">
        <v>95.813950000000006</v>
      </c>
    </row>
    <row r="1558" spans="1:28" x14ac:dyDescent="0.25">
      <c r="A1558" s="8" t="s">
        <v>3217</v>
      </c>
      <c r="B1558" s="8" t="s">
        <v>3218</v>
      </c>
      <c r="C1558" s="8" t="s">
        <v>89</v>
      </c>
      <c r="D1558" s="10">
        <v>4</v>
      </c>
      <c r="E1558" s="10">
        <v>0</v>
      </c>
      <c r="F1558" s="10">
        <v>4</v>
      </c>
      <c r="G1558" s="10">
        <v>0</v>
      </c>
      <c r="H1558" s="10">
        <v>4</v>
      </c>
      <c r="I1558" s="10">
        <v>0</v>
      </c>
      <c r="J1558" s="10">
        <v>0</v>
      </c>
      <c r="K1558" s="10">
        <v>0</v>
      </c>
      <c r="L1558" s="10">
        <v>0.2</v>
      </c>
      <c r="M1558" s="10">
        <v>0</v>
      </c>
      <c r="N1558" s="10">
        <v>1</v>
      </c>
      <c r="O1558" s="8" t="s">
        <v>57</v>
      </c>
      <c r="P1558" s="8" t="s">
        <v>31</v>
      </c>
      <c r="Q1558" s="8" t="s">
        <v>31</v>
      </c>
      <c r="R1558" s="8" t="s">
        <v>31</v>
      </c>
      <c r="S1558" s="8" t="s">
        <v>31</v>
      </c>
      <c r="T1558" s="8" t="s">
        <v>31</v>
      </c>
      <c r="U1558" s="8" t="s">
        <v>31</v>
      </c>
      <c r="V1558" s="8" t="s">
        <v>31</v>
      </c>
      <c r="W1558" s="8" t="s">
        <v>31</v>
      </c>
      <c r="X1558" s="8" t="s">
        <v>35</v>
      </c>
      <c r="Y1558" s="9">
        <v>286</v>
      </c>
      <c r="Z1558" s="9">
        <v>71.5</v>
      </c>
      <c r="AA1558" s="9">
        <v>286</v>
      </c>
      <c r="AB1558" s="9">
        <v>71.5</v>
      </c>
    </row>
    <row r="1559" spans="1:28" x14ac:dyDescent="0.25">
      <c r="A1559" s="8" t="s">
        <v>3219</v>
      </c>
      <c r="B1559" s="8" t="s">
        <v>3220</v>
      </c>
      <c r="C1559" s="8" t="s">
        <v>89</v>
      </c>
      <c r="D1559" s="10">
        <v>4</v>
      </c>
      <c r="E1559" s="10">
        <v>3</v>
      </c>
      <c r="F1559" s="10">
        <v>1</v>
      </c>
      <c r="G1559" s="10">
        <v>3</v>
      </c>
      <c r="H1559" s="10">
        <v>1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0</v>
      </c>
      <c r="O1559" s="8" t="s">
        <v>57</v>
      </c>
      <c r="P1559" s="8" t="s">
        <v>31</v>
      </c>
      <c r="Q1559" s="8" t="s">
        <v>31</v>
      </c>
      <c r="R1559" s="8" t="s">
        <v>31</v>
      </c>
      <c r="S1559" s="8" t="s">
        <v>31</v>
      </c>
      <c r="T1559" s="8" t="s">
        <v>31</v>
      </c>
      <c r="U1559" s="8" t="s">
        <v>31</v>
      </c>
      <c r="V1559" s="8" t="s">
        <v>31</v>
      </c>
      <c r="W1559" s="8" t="s">
        <v>31</v>
      </c>
      <c r="X1559" s="8" t="s">
        <v>35</v>
      </c>
      <c r="Y1559" s="9">
        <v>71</v>
      </c>
      <c r="Z1559" s="9">
        <v>17.75</v>
      </c>
      <c r="AA1559" s="9">
        <v>23.666665999999999</v>
      </c>
      <c r="AB1559" s="9">
        <v>71</v>
      </c>
    </row>
    <row r="1560" spans="1:28" x14ac:dyDescent="0.25">
      <c r="A1560" s="8" t="s">
        <v>3221</v>
      </c>
      <c r="B1560" s="8" t="s">
        <v>3222</v>
      </c>
      <c r="C1560" s="8" t="s">
        <v>89</v>
      </c>
      <c r="D1560" s="10">
        <v>4</v>
      </c>
      <c r="E1560" s="10">
        <v>3</v>
      </c>
      <c r="F1560" s="10">
        <v>1</v>
      </c>
      <c r="G1560" s="10">
        <v>3</v>
      </c>
      <c r="H1560" s="10">
        <v>1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8" t="s">
        <v>57</v>
      </c>
      <c r="P1560" s="8" t="s">
        <v>31</v>
      </c>
      <c r="Q1560" s="8" t="s">
        <v>31</v>
      </c>
      <c r="R1560" s="8" t="s">
        <v>31</v>
      </c>
      <c r="S1560" s="8" t="s">
        <v>31</v>
      </c>
      <c r="T1560" s="8" t="s">
        <v>31</v>
      </c>
      <c r="U1560" s="8" t="s">
        <v>31</v>
      </c>
      <c r="V1560" s="8" t="s">
        <v>31</v>
      </c>
      <c r="W1560" s="8" t="s">
        <v>31</v>
      </c>
      <c r="X1560" s="8" t="s">
        <v>35</v>
      </c>
      <c r="Y1560" s="9">
        <v>18</v>
      </c>
      <c r="Z1560" s="9">
        <v>4.5</v>
      </c>
      <c r="AA1560" s="9">
        <v>6</v>
      </c>
      <c r="AB1560" s="9">
        <v>18</v>
      </c>
    </row>
    <row r="1561" spans="1:28" x14ac:dyDescent="0.25">
      <c r="A1561" s="8" t="s">
        <v>3223</v>
      </c>
      <c r="B1561" s="8" t="s">
        <v>3224</v>
      </c>
      <c r="C1561" s="8" t="s">
        <v>80</v>
      </c>
      <c r="D1561" s="10">
        <v>1.5666698999999999</v>
      </c>
      <c r="E1561" s="10">
        <v>0</v>
      </c>
      <c r="F1561" s="10">
        <v>1.5666698999999999</v>
      </c>
      <c r="G1561" s="10">
        <v>0</v>
      </c>
      <c r="H1561" s="10">
        <v>1.5666698999999999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0.56667000000000001</v>
      </c>
      <c r="O1561" s="8" t="s">
        <v>57</v>
      </c>
      <c r="P1561" s="8" t="s">
        <v>31</v>
      </c>
      <c r="Q1561" s="8" t="s">
        <v>31</v>
      </c>
      <c r="R1561" s="8" t="s">
        <v>31</v>
      </c>
      <c r="S1561" s="8" t="s">
        <v>31</v>
      </c>
      <c r="T1561" s="8" t="s">
        <v>31</v>
      </c>
      <c r="U1561" s="8" t="s">
        <v>31</v>
      </c>
      <c r="V1561" s="8" t="s">
        <v>31</v>
      </c>
      <c r="W1561" s="8" t="s">
        <v>57</v>
      </c>
      <c r="X1561" s="8" t="s">
        <v>35</v>
      </c>
      <c r="Y1561" s="9">
        <v>210</v>
      </c>
      <c r="Z1561" s="9">
        <v>134.04227</v>
      </c>
      <c r="AA1561" s="9">
        <v>210</v>
      </c>
      <c r="AB1561" s="9">
        <v>134.04227</v>
      </c>
    </row>
    <row r="1562" spans="1:28" x14ac:dyDescent="0.25">
      <c r="A1562" s="8" t="s">
        <v>3225</v>
      </c>
      <c r="B1562" s="8" t="s">
        <v>3226</v>
      </c>
      <c r="C1562" s="8" t="s">
        <v>62</v>
      </c>
      <c r="D1562" s="10">
        <v>5.4000000999999997</v>
      </c>
      <c r="E1562" s="10">
        <v>4</v>
      </c>
      <c r="F1562" s="10">
        <v>1.4</v>
      </c>
      <c r="G1562" s="10">
        <v>4</v>
      </c>
      <c r="H1562" s="10">
        <v>1.4</v>
      </c>
      <c r="I1562" s="10">
        <v>0</v>
      </c>
      <c r="J1562" s="10">
        <v>0</v>
      </c>
      <c r="K1562" s="10">
        <v>0</v>
      </c>
      <c r="L1562" s="10">
        <v>0.2</v>
      </c>
      <c r="M1562" s="10">
        <v>0</v>
      </c>
      <c r="N1562" s="10">
        <v>0.40000001000000002</v>
      </c>
      <c r="O1562" s="8" t="s">
        <v>57</v>
      </c>
      <c r="P1562" s="8" t="s">
        <v>31</v>
      </c>
      <c r="Q1562" s="8" t="s">
        <v>31</v>
      </c>
      <c r="R1562" s="8" t="s">
        <v>31</v>
      </c>
      <c r="S1562" s="8" t="s">
        <v>31</v>
      </c>
      <c r="T1562" s="8" t="s">
        <v>31</v>
      </c>
      <c r="U1562" s="8" t="s">
        <v>31</v>
      </c>
      <c r="V1562" s="8" t="s">
        <v>31</v>
      </c>
      <c r="W1562" s="8" t="s">
        <v>31</v>
      </c>
      <c r="X1562" s="8" t="s">
        <v>35</v>
      </c>
      <c r="Y1562" s="9">
        <v>213</v>
      </c>
      <c r="Z1562" s="9">
        <v>39.444443</v>
      </c>
      <c r="AA1562" s="9">
        <v>53.25</v>
      </c>
      <c r="AB1562" s="9">
        <v>152.14285000000001</v>
      </c>
    </row>
    <row r="1563" spans="1:28" x14ac:dyDescent="0.25">
      <c r="A1563" s="8" t="s">
        <v>3227</v>
      </c>
      <c r="B1563" s="8" t="s">
        <v>3228</v>
      </c>
      <c r="C1563" s="8" t="s">
        <v>38</v>
      </c>
      <c r="D1563" s="10">
        <v>6.9666699999999997</v>
      </c>
      <c r="E1563" s="10">
        <v>0</v>
      </c>
      <c r="F1563" s="10">
        <v>6.9666699999999997</v>
      </c>
      <c r="G1563" s="10">
        <v>0</v>
      </c>
      <c r="H1563" s="10">
        <v>6.9666699999999997</v>
      </c>
      <c r="I1563" s="10">
        <v>0</v>
      </c>
      <c r="J1563" s="10">
        <v>0</v>
      </c>
      <c r="K1563" s="10">
        <v>0</v>
      </c>
      <c r="L1563" s="10">
        <v>1.76667</v>
      </c>
      <c r="M1563" s="10">
        <v>0</v>
      </c>
      <c r="N1563" s="10">
        <v>0.96666998000000004</v>
      </c>
      <c r="O1563" s="8" t="s">
        <v>31</v>
      </c>
      <c r="P1563" s="8" t="s">
        <v>31</v>
      </c>
      <c r="Q1563" s="8" t="s">
        <v>31</v>
      </c>
      <c r="R1563" s="8" t="s">
        <v>31</v>
      </c>
      <c r="S1563" s="8" t="s">
        <v>31</v>
      </c>
      <c r="T1563" s="8" t="s">
        <v>31</v>
      </c>
      <c r="U1563" s="8" t="s">
        <v>31</v>
      </c>
      <c r="V1563" s="8" t="s">
        <v>31</v>
      </c>
      <c r="W1563" s="8" t="s">
        <v>57</v>
      </c>
      <c r="X1563" s="8" t="s">
        <v>35</v>
      </c>
      <c r="Y1563" s="9">
        <v>542</v>
      </c>
      <c r="Z1563" s="9">
        <v>77.799003999999996</v>
      </c>
      <c r="AA1563" s="9">
        <v>542</v>
      </c>
      <c r="AB1563" s="9">
        <v>77.799003999999996</v>
      </c>
    </row>
    <row r="1564" spans="1:28" x14ac:dyDescent="0.25">
      <c r="A1564" s="8" t="s">
        <v>3229</v>
      </c>
      <c r="B1564" s="8" t="s">
        <v>3230</v>
      </c>
      <c r="C1564" s="8" t="s">
        <v>38</v>
      </c>
      <c r="D1564" s="10">
        <v>5</v>
      </c>
      <c r="E1564" s="10">
        <v>2</v>
      </c>
      <c r="F1564" s="10">
        <v>3</v>
      </c>
      <c r="G1564" s="10">
        <v>2</v>
      </c>
      <c r="H1564" s="10">
        <v>3</v>
      </c>
      <c r="I1564" s="10">
        <v>0</v>
      </c>
      <c r="J1564" s="10">
        <v>0</v>
      </c>
      <c r="K1564" s="10">
        <v>0</v>
      </c>
      <c r="L1564" s="10">
        <v>0.5</v>
      </c>
      <c r="M1564" s="10">
        <v>0</v>
      </c>
      <c r="N1564" s="10">
        <v>1</v>
      </c>
      <c r="O1564" s="8" t="s">
        <v>31</v>
      </c>
      <c r="P1564" s="8" t="s">
        <v>31</v>
      </c>
      <c r="Q1564" s="8" t="s">
        <v>31</v>
      </c>
      <c r="R1564" s="8" t="s">
        <v>31</v>
      </c>
      <c r="S1564" s="8" t="s">
        <v>31</v>
      </c>
      <c r="T1564" s="8" t="s">
        <v>31</v>
      </c>
      <c r="U1564" s="8" t="s">
        <v>31</v>
      </c>
      <c r="V1564" s="8" t="s">
        <v>31</v>
      </c>
      <c r="W1564" s="8" t="s">
        <v>57</v>
      </c>
      <c r="X1564" s="8" t="s">
        <v>35</v>
      </c>
      <c r="Y1564" s="9">
        <v>534</v>
      </c>
      <c r="Z1564" s="9">
        <v>106.8</v>
      </c>
      <c r="AA1564" s="9">
        <v>267</v>
      </c>
      <c r="AB1564" s="9">
        <v>178</v>
      </c>
    </row>
    <row r="1565" spans="1:28" x14ac:dyDescent="0.25">
      <c r="A1565" s="8" t="s">
        <v>3231</v>
      </c>
      <c r="B1565" s="8" t="s">
        <v>3232</v>
      </c>
      <c r="C1565" s="8" t="s">
        <v>38</v>
      </c>
      <c r="D1565" s="10">
        <v>5.8000002000000004</v>
      </c>
      <c r="E1565" s="10">
        <v>1</v>
      </c>
      <c r="F1565" s="10">
        <v>4.8000002000000004</v>
      </c>
      <c r="G1565" s="10">
        <v>1</v>
      </c>
      <c r="H1565" s="10">
        <v>4.8000002000000004</v>
      </c>
      <c r="I1565" s="10">
        <v>0</v>
      </c>
      <c r="J1565" s="10">
        <v>0</v>
      </c>
      <c r="K1565" s="10">
        <v>0</v>
      </c>
      <c r="L1565" s="10">
        <v>1.7</v>
      </c>
      <c r="M1565" s="10">
        <v>0</v>
      </c>
      <c r="N1565" s="10">
        <v>0.80000000999999998</v>
      </c>
      <c r="O1565" s="8" t="s">
        <v>31</v>
      </c>
      <c r="P1565" s="8" t="s">
        <v>31</v>
      </c>
      <c r="Q1565" s="8" t="s">
        <v>31</v>
      </c>
      <c r="R1565" s="8" t="s">
        <v>31</v>
      </c>
      <c r="S1565" s="8" t="s">
        <v>31</v>
      </c>
      <c r="T1565" s="8" t="s">
        <v>31</v>
      </c>
      <c r="U1565" s="8" t="s">
        <v>31</v>
      </c>
      <c r="V1565" s="8" t="s">
        <v>31</v>
      </c>
      <c r="W1565" s="8" t="s">
        <v>57</v>
      </c>
      <c r="X1565" s="8" t="s">
        <v>35</v>
      </c>
      <c r="Y1565" s="9">
        <v>649</v>
      </c>
      <c r="Z1565" s="9">
        <v>111.89655</v>
      </c>
      <c r="AA1565" s="9">
        <v>649</v>
      </c>
      <c r="AB1565" s="9">
        <v>135.20832999999999</v>
      </c>
    </row>
    <row r="1566" spans="1:28" x14ac:dyDescent="0.25">
      <c r="A1566" s="8" t="s">
        <v>3233</v>
      </c>
      <c r="B1566" s="8" t="s">
        <v>3234</v>
      </c>
      <c r="C1566" s="8" t="s">
        <v>89</v>
      </c>
      <c r="D1566" s="10">
        <v>2</v>
      </c>
      <c r="E1566" s="10">
        <v>1</v>
      </c>
      <c r="F1566" s="10">
        <v>1</v>
      </c>
      <c r="G1566" s="10">
        <v>1</v>
      </c>
      <c r="H1566" s="10">
        <v>1</v>
      </c>
      <c r="I1566" s="10">
        <v>0</v>
      </c>
      <c r="J1566" s="10">
        <v>0</v>
      </c>
      <c r="K1566" s="10">
        <v>0</v>
      </c>
      <c r="L1566" s="10">
        <v>0</v>
      </c>
      <c r="M1566" s="10">
        <v>0</v>
      </c>
      <c r="N1566" s="10">
        <v>0</v>
      </c>
      <c r="O1566" s="8" t="s">
        <v>57</v>
      </c>
      <c r="P1566" s="8" t="s">
        <v>31</v>
      </c>
      <c r="Q1566" s="8" t="s">
        <v>31</v>
      </c>
      <c r="R1566" s="8" t="s">
        <v>31</v>
      </c>
      <c r="S1566" s="8" t="s">
        <v>31</v>
      </c>
      <c r="T1566" s="8" t="s">
        <v>31</v>
      </c>
      <c r="U1566" s="8" t="s">
        <v>31</v>
      </c>
      <c r="V1566" s="8" t="s">
        <v>31</v>
      </c>
      <c r="W1566" s="8" t="s">
        <v>31</v>
      </c>
      <c r="X1566" s="8" t="s">
        <v>35</v>
      </c>
      <c r="Y1566" s="9">
        <v>434</v>
      </c>
      <c r="Z1566" s="9">
        <v>217</v>
      </c>
      <c r="AA1566" s="9">
        <v>434</v>
      </c>
      <c r="AB1566" s="9">
        <v>434</v>
      </c>
    </row>
    <row r="1567" spans="1:28" x14ac:dyDescent="0.25">
      <c r="A1567" s="8" t="s">
        <v>3235</v>
      </c>
      <c r="B1567" s="8" t="s">
        <v>3236</v>
      </c>
      <c r="C1567" s="8" t="s">
        <v>38</v>
      </c>
      <c r="D1567" s="10">
        <v>5.5</v>
      </c>
      <c r="E1567" s="10">
        <v>3</v>
      </c>
      <c r="F1567" s="10">
        <v>2.5</v>
      </c>
      <c r="G1567" s="10">
        <v>3</v>
      </c>
      <c r="H1567" s="10">
        <v>2.5</v>
      </c>
      <c r="I1567" s="10">
        <v>0</v>
      </c>
      <c r="J1567" s="10">
        <v>0</v>
      </c>
      <c r="K1567" s="10">
        <v>0</v>
      </c>
      <c r="L1567" s="10">
        <v>0.69999999000000002</v>
      </c>
      <c r="M1567" s="10">
        <v>0</v>
      </c>
      <c r="N1567" s="10">
        <v>1.5</v>
      </c>
      <c r="O1567" s="8" t="s">
        <v>31</v>
      </c>
      <c r="P1567" s="8" t="s">
        <v>31</v>
      </c>
      <c r="Q1567" s="8" t="s">
        <v>31</v>
      </c>
      <c r="R1567" s="8" t="s">
        <v>31</v>
      </c>
      <c r="S1567" s="8" t="s">
        <v>31</v>
      </c>
      <c r="T1567" s="8" t="s">
        <v>31</v>
      </c>
      <c r="U1567" s="8" t="s">
        <v>31</v>
      </c>
      <c r="V1567" s="8" t="s">
        <v>31</v>
      </c>
      <c r="W1567" s="8" t="s">
        <v>57</v>
      </c>
      <c r="X1567" s="8" t="s">
        <v>35</v>
      </c>
      <c r="Y1567" s="9">
        <v>609</v>
      </c>
      <c r="Z1567" s="9">
        <v>110.72727</v>
      </c>
      <c r="AA1567" s="9">
        <v>203</v>
      </c>
      <c r="AB1567" s="9">
        <v>243.60001</v>
      </c>
    </row>
    <row r="1568" spans="1:28" x14ac:dyDescent="0.25">
      <c r="A1568" s="8" t="s">
        <v>3237</v>
      </c>
      <c r="B1568" s="8" t="s">
        <v>3238</v>
      </c>
      <c r="C1568" s="8" t="s">
        <v>89</v>
      </c>
      <c r="D1568" s="10">
        <v>5</v>
      </c>
      <c r="E1568" s="10">
        <v>2</v>
      </c>
      <c r="F1568" s="10">
        <v>3</v>
      </c>
      <c r="G1568" s="10">
        <v>2</v>
      </c>
      <c r="H1568" s="10">
        <v>3</v>
      </c>
      <c r="I1568" s="10">
        <v>0</v>
      </c>
      <c r="J1568" s="10">
        <v>0</v>
      </c>
      <c r="K1568" s="10">
        <v>0</v>
      </c>
      <c r="L1568" s="10">
        <v>0.5</v>
      </c>
      <c r="M1568" s="10">
        <v>0</v>
      </c>
      <c r="N1568" s="10">
        <v>1</v>
      </c>
      <c r="O1568" s="8" t="s">
        <v>31</v>
      </c>
      <c r="P1568" s="8" t="s">
        <v>31</v>
      </c>
      <c r="Q1568" s="8" t="s">
        <v>31</v>
      </c>
      <c r="R1568" s="8" t="s">
        <v>31</v>
      </c>
      <c r="S1568" s="8" t="s">
        <v>31</v>
      </c>
      <c r="T1568" s="8" t="s">
        <v>31</v>
      </c>
      <c r="U1568" s="8" t="s">
        <v>31</v>
      </c>
      <c r="V1568" s="8" t="s">
        <v>31</v>
      </c>
      <c r="W1568" s="8" t="s">
        <v>57</v>
      </c>
      <c r="X1568" s="8" t="s">
        <v>35</v>
      </c>
      <c r="Y1568" s="9">
        <v>642</v>
      </c>
      <c r="Z1568" s="9">
        <v>128.39999</v>
      </c>
      <c r="AA1568" s="9">
        <v>321</v>
      </c>
      <c r="AB1568" s="9">
        <v>214</v>
      </c>
    </row>
    <row r="1569" spans="1:28" x14ac:dyDescent="0.25">
      <c r="A1569" s="8" t="s">
        <v>3239</v>
      </c>
      <c r="B1569" s="8" t="s">
        <v>3240</v>
      </c>
      <c r="C1569" s="8" t="s">
        <v>38</v>
      </c>
      <c r="D1569" s="10">
        <v>4.2333297999999999</v>
      </c>
      <c r="E1569" s="10">
        <v>2</v>
      </c>
      <c r="F1569" s="10">
        <v>2.23333</v>
      </c>
      <c r="G1569" s="10">
        <v>2</v>
      </c>
      <c r="H1569" s="10">
        <v>2.23333</v>
      </c>
      <c r="I1569" s="10">
        <v>0</v>
      </c>
      <c r="J1569" s="10">
        <v>0</v>
      </c>
      <c r="K1569" s="10">
        <v>0</v>
      </c>
      <c r="L1569" s="10">
        <v>0.30000000999999998</v>
      </c>
      <c r="M1569" s="10">
        <v>0</v>
      </c>
      <c r="N1569" s="10">
        <v>1.23333</v>
      </c>
      <c r="O1569" s="8" t="s">
        <v>57</v>
      </c>
      <c r="P1569" s="8" t="s">
        <v>31</v>
      </c>
      <c r="Q1569" s="8" t="s">
        <v>31</v>
      </c>
      <c r="R1569" s="8" t="s">
        <v>31</v>
      </c>
      <c r="S1569" s="8" t="s">
        <v>31</v>
      </c>
      <c r="T1569" s="8" t="s">
        <v>31</v>
      </c>
      <c r="U1569" s="8" t="s">
        <v>31</v>
      </c>
      <c r="V1569" s="8" t="s">
        <v>31</v>
      </c>
      <c r="W1569" s="8" t="s">
        <v>57</v>
      </c>
      <c r="X1569" s="8" t="s">
        <v>35</v>
      </c>
      <c r="Y1569" s="9">
        <v>439</v>
      </c>
      <c r="Z1569" s="9">
        <v>103.70086999999999</v>
      </c>
      <c r="AA1569" s="9">
        <v>219.5</v>
      </c>
      <c r="AB1569" s="9">
        <v>196.56746000000001</v>
      </c>
    </row>
    <row r="1570" spans="1:28" x14ac:dyDescent="0.25">
      <c r="A1570" s="8" t="s">
        <v>3241</v>
      </c>
      <c r="B1570" s="8" t="s">
        <v>3242</v>
      </c>
      <c r="C1570" s="8" t="s">
        <v>89</v>
      </c>
      <c r="D1570" s="10">
        <v>3.6333300999999998</v>
      </c>
      <c r="E1570" s="10">
        <v>1</v>
      </c>
      <c r="F1570" s="10">
        <v>2.6333300999999998</v>
      </c>
      <c r="G1570" s="10">
        <v>1</v>
      </c>
      <c r="H1570" s="10">
        <v>2.6333300999999998</v>
      </c>
      <c r="I1570" s="10">
        <v>0</v>
      </c>
      <c r="J1570" s="10">
        <v>0</v>
      </c>
      <c r="K1570" s="10">
        <v>0</v>
      </c>
      <c r="L1570" s="10">
        <v>0.40000001000000002</v>
      </c>
      <c r="M1570" s="10">
        <v>0</v>
      </c>
      <c r="N1570" s="10">
        <v>1.6333299999999999</v>
      </c>
      <c r="O1570" s="8" t="s">
        <v>57</v>
      </c>
      <c r="P1570" s="8" t="s">
        <v>31</v>
      </c>
      <c r="Q1570" s="8" t="s">
        <v>31</v>
      </c>
      <c r="R1570" s="8" t="s">
        <v>31</v>
      </c>
      <c r="S1570" s="8" t="s">
        <v>31</v>
      </c>
      <c r="T1570" s="8" t="s">
        <v>31</v>
      </c>
      <c r="U1570" s="8" t="s">
        <v>31</v>
      </c>
      <c r="V1570" s="8" t="s">
        <v>31</v>
      </c>
      <c r="W1570" s="8" t="s">
        <v>57</v>
      </c>
      <c r="X1570" s="8" t="s">
        <v>35</v>
      </c>
      <c r="Y1570" s="9">
        <v>544</v>
      </c>
      <c r="Z1570" s="9">
        <v>149.72489999999999</v>
      </c>
      <c r="AA1570" s="9">
        <v>544</v>
      </c>
      <c r="AB1570" s="9">
        <v>206.58252999999999</v>
      </c>
    </row>
    <row r="1571" spans="1:28" x14ac:dyDescent="0.25">
      <c r="A1571" s="8" t="s">
        <v>3243</v>
      </c>
      <c r="B1571" s="8" t="s">
        <v>3244</v>
      </c>
      <c r="C1571" s="8" t="s">
        <v>89</v>
      </c>
      <c r="D1571" s="10">
        <v>3.5666698999999999</v>
      </c>
      <c r="E1571" s="10">
        <v>1</v>
      </c>
      <c r="F1571" s="10">
        <v>2.5666698999999999</v>
      </c>
      <c r="G1571" s="10">
        <v>1</v>
      </c>
      <c r="H1571" s="10">
        <v>2.5666698999999999</v>
      </c>
      <c r="I1571" s="10">
        <v>0</v>
      </c>
      <c r="J1571" s="10">
        <v>0</v>
      </c>
      <c r="K1571" s="10">
        <v>0</v>
      </c>
      <c r="L1571" s="10">
        <v>1.3666700000000001</v>
      </c>
      <c r="M1571" s="10">
        <v>0</v>
      </c>
      <c r="N1571" s="10">
        <v>1.5666698999999999</v>
      </c>
      <c r="O1571" s="8" t="s">
        <v>57</v>
      </c>
      <c r="P1571" s="8" t="s">
        <v>31</v>
      </c>
      <c r="Q1571" s="8" t="s">
        <v>31</v>
      </c>
      <c r="R1571" s="8" t="s">
        <v>31</v>
      </c>
      <c r="S1571" s="8" t="s">
        <v>31</v>
      </c>
      <c r="T1571" s="8" t="s">
        <v>31</v>
      </c>
      <c r="U1571" s="8" t="s">
        <v>31</v>
      </c>
      <c r="V1571" s="8" t="s">
        <v>31</v>
      </c>
      <c r="W1571" s="8" t="s">
        <v>57</v>
      </c>
      <c r="X1571" s="8" t="s">
        <v>35</v>
      </c>
      <c r="Y1571" s="9">
        <v>579</v>
      </c>
      <c r="Z1571" s="9">
        <v>162.33629999999999</v>
      </c>
      <c r="AA1571" s="9">
        <v>579</v>
      </c>
      <c r="AB1571" s="9">
        <v>225.58412000000001</v>
      </c>
    </row>
    <row r="1572" spans="1:28" x14ac:dyDescent="0.25">
      <c r="A1572" s="8" t="s">
        <v>3245</v>
      </c>
      <c r="B1572" s="8" t="s">
        <v>3246</v>
      </c>
      <c r="C1572" s="8" t="s">
        <v>89</v>
      </c>
      <c r="D1572" s="10">
        <v>6.1999997999999996</v>
      </c>
      <c r="E1572" s="10">
        <v>2</v>
      </c>
      <c r="F1572" s="10">
        <v>4.1999997999999996</v>
      </c>
      <c r="G1572" s="10">
        <v>2</v>
      </c>
      <c r="H1572" s="10">
        <v>4.1999997999999996</v>
      </c>
      <c r="I1572" s="10">
        <v>0</v>
      </c>
      <c r="J1572" s="10">
        <v>0</v>
      </c>
      <c r="K1572" s="10">
        <v>0</v>
      </c>
      <c r="L1572" s="10">
        <v>1.4</v>
      </c>
      <c r="M1572" s="10">
        <v>0</v>
      </c>
      <c r="N1572" s="10">
        <v>1.2</v>
      </c>
      <c r="O1572" s="8" t="s">
        <v>31</v>
      </c>
      <c r="P1572" s="8" t="s">
        <v>31</v>
      </c>
      <c r="Q1572" s="8" t="s">
        <v>31</v>
      </c>
      <c r="R1572" s="8" t="s">
        <v>31</v>
      </c>
      <c r="S1572" s="8" t="s">
        <v>31</v>
      </c>
      <c r="T1572" s="8" t="s">
        <v>31</v>
      </c>
      <c r="U1572" s="8" t="s">
        <v>31</v>
      </c>
      <c r="V1572" s="8" t="s">
        <v>31</v>
      </c>
      <c r="W1572" s="8" t="s">
        <v>31</v>
      </c>
      <c r="X1572" s="8" t="s">
        <v>35</v>
      </c>
      <c r="Y1572" s="9">
        <v>588</v>
      </c>
      <c r="Z1572" s="9">
        <v>94.838714999999993</v>
      </c>
      <c r="AA1572" s="9">
        <v>294</v>
      </c>
      <c r="AB1572" s="9">
        <v>140</v>
      </c>
    </row>
    <row r="1573" spans="1:28" x14ac:dyDescent="0.25">
      <c r="A1573" s="8" t="s">
        <v>3247</v>
      </c>
      <c r="B1573" s="8" t="s">
        <v>3248</v>
      </c>
      <c r="C1573" s="8" t="s">
        <v>89</v>
      </c>
      <c r="D1573" s="10">
        <v>2.8</v>
      </c>
      <c r="E1573" s="10">
        <v>0</v>
      </c>
      <c r="F1573" s="10">
        <v>2.8</v>
      </c>
      <c r="G1573" s="10">
        <v>0</v>
      </c>
      <c r="H1573" s="10">
        <v>2.8</v>
      </c>
      <c r="I1573" s="10">
        <v>0</v>
      </c>
      <c r="J1573" s="10">
        <v>0</v>
      </c>
      <c r="K1573" s="10">
        <v>0</v>
      </c>
      <c r="L1573" s="10">
        <v>1.5</v>
      </c>
      <c r="M1573" s="10">
        <v>0</v>
      </c>
      <c r="N1573" s="10">
        <v>1.8</v>
      </c>
      <c r="O1573" s="8" t="s">
        <v>31</v>
      </c>
      <c r="P1573" s="8" t="s">
        <v>31</v>
      </c>
      <c r="Q1573" s="8" t="s">
        <v>31</v>
      </c>
      <c r="R1573" s="8" t="s">
        <v>31</v>
      </c>
      <c r="S1573" s="8" t="s">
        <v>31</v>
      </c>
      <c r="T1573" s="8" t="s">
        <v>31</v>
      </c>
      <c r="U1573" s="8" t="s">
        <v>31</v>
      </c>
      <c r="V1573" s="8" t="s">
        <v>31</v>
      </c>
      <c r="W1573" s="8" t="s">
        <v>57</v>
      </c>
      <c r="X1573" s="8" t="s">
        <v>35</v>
      </c>
      <c r="Y1573" s="9">
        <v>847</v>
      </c>
      <c r="Z1573" s="9">
        <v>302.5</v>
      </c>
      <c r="AA1573" s="9">
        <v>847</v>
      </c>
      <c r="AB1573" s="9">
        <v>302.5</v>
      </c>
    </row>
    <row r="1574" spans="1:28" x14ac:dyDescent="0.25">
      <c r="A1574" s="8" t="s">
        <v>3249</v>
      </c>
      <c r="B1574" s="8" t="s">
        <v>3250</v>
      </c>
      <c r="C1574" s="8" t="s">
        <v>62</v>
      </c>
      <c r="D1574" s="10">
        <v>4.1999997999999996</v>
      </c>
      <c r="E1574" s="10">
        <v>3</v>
      </c>
      <c r="F1574" s="10">
        <v>1.2</v>
      </c>
      <c r="G1574" s="10">
        <v>3</v>
      </c>
      <c r="H1574" s="10">
        <v>1.2</v>
      </c>
      <c r="I1574" s="10">
        <v>0</v>
      </c>
      <c r="J1574" s="10">
        <v>0</v>
      </c>
      <c r="K1574" s="10">
        <v>1</v>
      </c>
      <c r="L1574" s="10">
        <v>0</v>
      </c>
      <c r="M1574" s="10">
        <v>0</v>
      </c>
      <c r="N1574" s="10">
        <v>0.2</v>
      </c>
      <c r="O1574" s="8" t="s">
        <v>31</v>
      </c>
      <c r="P1574" s="8" t="s">
        <v>31</v>
      </c>
      <c r="Q1574" s="8" t="s">
        <v>31</v>
      </c>
      <c r="R1574" s="8" t="s">
        <v>31</v>
      </c>
      <c r="S1574" s="8" t="s">
        <v>31</v>
      </c>
      <c r="T1574" s="8" t="s">
        <v>31</v>
      </c>
      <c r="U1574" s="8" t="s">
        <v>31</v>
      </c>
      <c r="V1574" s="8" t="s">
        <v>31</v>
      </c>
      <c r="W1574" s="8" t="s">
        <v>57</v>
      </c>
      <c r="X1574" s="8" t="s">
        <v>35</v>
      </c>
      <c r="Y1574" s="9">
        <v>552</v>
      </c>
      <c r="Z1574" s="9">
        <v>131.42857000000001</v>
      </c>
      <c r="AA1574" s="9">
        <v>184</v>
      </c>
      <c r="AB1574" s="9">
        <v>459.99997000000002</v>
      </c>
    </row>
    <row r="1575" spans="1:28" x14ac:dyDescent="0.25">
      <c r="A1575" s="8" t="s">
        <v>3251</v>
      </c>
      <c r="B1575" s="8" t="s">
        <v>3252</v>
      </c>
      <c r="C1575" s="8" t="s">
        <v>62</v>
      </c>
      <c r="D1575" s="10">
        <v>2.48333</v>
      </c>
      <c r="E1575" s="10">
        <v>2</v>
      </c>
      <c r="F1575" s="10">
        <v>0.48333000999999998</v>
      </c>
      <c r="G1575" s="10">
        <v>2</v>
      </c>
      <c r="H1575" s="10">
        <v>0.48333000999999998</v>
      </c>
      <c r="I1575" s="10">
        <v>0</v>
      </c>
      <c r="J1575" s="10">
        <v>0</v>
      </c>
      <c r="K1575" s="10">
        <v>0</v>
      </c>
      <c r="L1575" s="10">
        <v>1.05</v>
      </c>
      <c r="M1575" s="10">
        <v>0</v>
      </c>
      <c r="N1575" s="10">
        <v>0.48333000999999998</v>
      </c>
      <c r="O1575" s="8" t="s">
        <v>31</v>
      </c>
      <c r="P1575" s="8" t="s">
        <v>31</v>
      </c>
      <c r="Q1575" s="8" t="s">
        <v>31</v>
      </c>
      <c r="R1575" s="8" t="s">
        <v>31</v>
      </c>
      <c r="S1575" s="8" t="s">
        <v>31</v>
      </c>
      <c r="T1575" s="8" t="s">
        <v>57</v>
      </c>
      <c r="U1575" s="8" t="s">
        <v>31</v>
      </c>
      <c r="V1575" s="8" t="s">
        <v>31</v>
      </c>
      <c r="W1575" s="8" t="s">
        <v>57</v>
      </c>
      <c r="X1575" s="8" t="s">
        <v>3253</v>
      </c>
      <c r="Y1575" s="9">
        <v>509</v>
      </c>
      <c r="Z1575" s="9">
        <v>204.96672000000001</v>
      </c>
      <c r="AA1575" s="9">
        <v>254.5</v>
      </c>
      <c r="AB1575" s="9">
        <v>509</v>
      </c>
    </row>
    <row r="1576" spans="1:28" x14ac:dyDescent="0.25">
      <c r="A1576" s="8" t="s">
        <v>3254</v>
      </c>
      <c r="B1576" s="8" t="s">
        <v>3255</v>
      </c>
      <c r="C1576" s="8" t="s">
        <v>89</v>
      </c>
      <c r="D1576" s="10">
        <v>4.0333300000000003</v>
      </c>
      <c r="E1576" s="10">
        <v>1</v>
      </c>
      <c r="F1576" s="10">
        <v>3.0333299999999999</v>
      </c>
      <c r="G1576" s="10">
        <v>1</v>
      </c>
      <c r="H1576" s="10">
        <v>3.0333299999999999</v>
      </c>
      <c r="I1576" s="10">
        <v>0</v>
      </c>
      <c r="J1576" s="10">
        <v>0</v>
      </c>
      <c r="K1576" s="10">
        <v>1</v>
      </c>
      <c r="L1576" s="10">
        <v>1.6</v>
      </c>
      <c r="M1576" s="10">
        <v>0</v>
      </c>
      <c r="N1576" s="10">
        <v>2.0333299999999999</v>
      </c>
      <c r="O1576" s="8" t="s">
        <v>57</v>
      </c>
      <c r="P1576" s="8" t="s">
        <v>31</v>
      </c>
      <c r="Q1576" s="8" t="s">
        <v>31</v>
      </c>
      <c r="R1576" s="8" t="s">
        <v>31</v>
      </c>
      <c r="S1576" s="8" t="s">
        <v>31</v>
      </c>
      <c r="T1576" s="8" t="s">
        <v>31</v>
      </c>
      <c r="U1576" s="8" t="s">
        <v>31</v>
      </c>
      <c r="V1576" s="8" t="s">
        <v>31</v>
      </c>
      <c r="W1576" s="8" t="s">
        <v>57</v>
      </c>
      <c r="X1576" s="8" t="s">
        <v>35</v>
      </c>
      <c r="Y1576" s="9">
        <v>563</v>
      </c>
      <c r="Z1576" s="9">
        <v>139.58690000000001</v>
      </c>
      <c r="AA1576" s="9">
        <v>563</v>
      </c>
      <c r="AB1576" s="9">
        <v>185.6046</v>
      </c>
    </row>
    <row r="1577" spans="1:28" x14ac:dyDescent="0.25">
      <c r="A1577" s="8" t="s">
        <v>3256</v>
      </c>
      <c r="B1577" s="8" t="s">
        <v>3257</v>
      </c>
      <c r="C1577" s="8" t="s">
        <v>89</v>
      </c>
      <c r="D1577" s="10">
        <v>6.1666698000000002</v>
      </c>
      <c r="E1577" s="10">
        <v>2</v>
      </c>
      <c r="F1577" s="10">
        <v>4.1666698000000002</v>
      </c>
      <c r="G1577" s="10">
        <v>2</v>
      </c>
      <c r="H1577" s="10">
        <v>4.1666698000000002</v>
      </c>
      <c r="I1577" s="10">
        <v>0</v>
      </c>
      <c r="J1577" s="10">
        <v>0</v>
      </c>
      <c r="K1577" s="10">
        <v>0</v>
      </c>
      <c r="L1577" s="10">
        <v>0.40000001000000002</v>
      </c>
      <c r="M1577" s="10">
        <v>0</v>
      </c>
      <c r="N1577" s="10">
        <v>2.1666701000000002</v>
      </c>
      <c r="O1577" s="8" t="s">
        <v>57</v>
      </c>
      <c r="P1577" s="8" t="s">
        <v>31</v>
      </c>
      <c r="Q1577" s="8" t="s">
        <v>31</v>
      </c>
      <c r="R1577" s="8" t="s">
        <v>31</v>
      </c>
      <c r="S1577" s="8" t="s">
        <v>31</v>
      </c>
      <c r="T1577" s="8" t="s">
        <v>31</v>
      </c>
      <c r="U1577" s="8" t="s">
        <v>31</v>
      </c>
      <c r="V1577" s="8" t="s">
        <v>31</v>
      </c>
      <c r="W1577" s="8" t="s">
        <v>57</v>
      </c>
      <c r="X1577" s="8" t="s">
        <v>35</v>
      </c>
      <c r="Y1577" s="9">
        <v>663</v>
      </c>
      <c r="Z1577" s="9">
        <v>107.51345999999999</v>
      </c>
      <c r="AA1577" s="9">
        <v>331.5</v>
      </c>
      <c r="AB1577" s="9">
        <v>159.11986999999999</v>
      </c>
    </row>
    <row r="1578" spans="1:28" x14ac:dyDescent="0.25">
      <c r="A1578" s="8" t="s">
        <v>3258</v>
      </c>
      <c r="B1578" s="8" t="s">
        <v>3259</v>
      </c>
      <c r="C1578" s="8" t="s">
        <v>89</v>
      </c>
      <c r="D1578" s="10">
        <v>9.1666603000000002</v>
      </c>
      <c r="E1578" s="10">
        <v>3.5</v>
      </c>
      <c r="F1578" s="10">
        <v>5.6666597999999997</v>
      </c>
      <c r="G1578" s="10">
        <v>3</v>
      </c>
      <c r="H1578" s="10">
        <v>5.6666597999999997</v>
      </c>
      <c r="I1578" s="10">
        <v>0.5</v>
      </c>
      <c r="J1578" s="10">
        <v>0</v>
      </c>
      <c r="K1578" s="10">
        <v>0</v>
      </c>
      <c r="L1578" s="10">
        <v>0.2</v>
      </c>
      <c r="M1578" s="10">
        <v>1</v>
      </c>
      <c r="N1578" s="10">
        <v>2.6666601000000001</v>
      </c>
      <c r="O1578" s="8" t="s">
        <v>31</v>
      </c>
      <c r="P1578" s="8" t="s">
        <v>31</v>
      </c>
      <c r="Q1578" s="8" t="s">
        <v>31</v>
      </c>
      <c r="R1578" s="8" t="s">
        <v>31</v>
      </c>
      <c r="S1578" s="8" t="s">
        <v>31</v>
      </c>
      <c r="T1578" s="8" t="s">
        <v>57</v>
      </c>
      <c r="U1578" s="8" t="s">
        <v>31</v>
      </c>
      <c r="V1578" s="8" t="s">
        <v>31</v>
      </c>
      <c r="W1578" s="8" t="s">
        <v>57</v>
      </c>
      <c r="X1578" s="8" t="s">
        <v>35</v>
      </c>
      <c r="Y1578" s="9">
        <v>589</v>
      </c>
      <c r="Z1578" s="9">
        <v>64.254593</v>
      </c>
      <c r="AA1578" s="9">
        <v>168.28572</v>
      </c>
      <c r="AB1578" s="9">
        <v>103.9413</v>
      </c>
    </row>
    <row r="1579" spans="1:28" x14ac:dyDescent="0.25">
      <c r="A1579" s="8" t="s">
        <v>3260</v>
      </c>
      <c r="B1579" s="8" t="s">
        <v>3261</v>
      </c>
      <c r="C1579" s="8" t="s">
        <v>89</v>
      </c>
      <c r="D1579" s="10">
        <v>3.8499998999999998</v>
      </c>
      <c r="E1579" s="10">
        <v>0</v>
      </c>
      <c r="F1579" s="10">
        <v>3.8499998999999998</v>
      </c>
      <c r="G1579" s="10">
        <v>0</v>
      </c>
      <c r="H1579" s="10">
        <v>3.8499998999999998</v>
      </c>
      <c r="I1579" s="10">
        <v>0</v>
      </c>
      <c r="J1579" s="10">
        <v>0</v>
      </c>
      <c r="K1579" s="10">
        <v>0</v>
      </c>
      <c r="L1579" s="10">
        <v>1.3</v>
      </c>
      <c r="M1579" s="10">
        <v>0</v>
      </c>
      <c r="N1579" s="10">
        <v>1.85</v>
      </c>
      <c r="O1579" s="8" t="s">
        <v>31</v>
      </c>
      <c r="P1579" s="8" t="s">
        <v>31</v>
      </c>
      <c r="Q1579" s="8" t="s">
        <v>31</v>
      </c>
      <c r="R1579" s="8" t="s">
        <v>31</v>
      </c>
      <c r="S1579" s="8" t="s">
        <v>31</v>
      </c>
      <c r="T1579" s="8" t="s">
        <v>31</v>
      </c>
      <c r="U1579" s="8" t="s">
        <v>31</v>
      </c>
      <c r="V1579" s="8" t="s">
        <v>31</v>
      </c>
      <c r="W1579" s="8" t="s">
        <v>57</v>
      </c>
      <c r="X1579" s="8" t="s">
        <v>35</v>
      </c>
      <c r="Y1579" s="9">
        <v>562</v>
      </c>
      <c r="Z1579" s="9">
        <v>145.97403</v>
      </c>
      <c r="AA1579" s="9">
        <v>562</v>
      </c>
      <c r="AB1579" s="9">
        <v>145.97403</v>
      </c>
    </row>
    <row r="1580" spans="1:28" x14ac:dyDescent="0.25">
      <c r="A1580" s="8" t="s">
        <v>3262</v>
      </c>
      <c r="B1580" s="8" t="s">
        <v>3263</v>
      </c>
      <c r="C1580" s="8" t="s">
        <v>30</v>
      </c>
      <c r="D1580" s="10">
        <v>1</v>
      </c>
      <c r="E1580" s="10">
        <v>0</v>
      </c>
      <c r="F1580" s="10">
        <v>1</v>
      </c>
      <c r="G1580" s="10">
        <v>0</v>
      </c>
      <c r="H1580" s="10">
        <v>1</v>
      </c>
      <c r="I1580" s="10">
        <v>0</v>
      </c>
      <c r="J1580" s="10">
        <v>0</v>
      </c>
      <c r="K1580" s="10">
        <v>0</v>
      </c>
      <c r="L1580" s="10">
        <v>0</v>
      </c>
      <c r="M1580" s="10">
        <v>0</v>
      </c>
      <c r="N1580" s="10">
        <v>0</v>
      </c>
      <c r="O1580" s="8" t="s">
        <v>31</v>
      </c>
      <c r="P1580" s="8" t="s">
        <v>31</v>
      </c>
      <c r="Q1580" s="8" t="s">
        <v>31</v>
      </c>
      <c r="R1580" s="8" t="s">
        <v>31</v>
      </c>
      <c r="S1580" s="8" t="s">
        <v>31</v>
      </c>
      <c r="T1580" s="8" t="s">
        <v>31</v>
      </c>
      <c r="U1580" s="8" t="s">
        <v>31</v>
      </c>
      <c r="V1580" s="8" t="s">
        <v>31</v>
      </c>
      <c r="W1580" s="8" t="s">
        <v>31</v>
      </c>
      <c r="X1580" s="8" t="s">
        <v>35</v>
      </c>
      <c r="Y1580" s="9">
        <v>121</v>
      </c>
      <c r="Z1580" s="9">
        <v>121</v>
      </c>
      <c r="AA1580" s="9">
        <v>121</v>
      </c>
      <c r="AB1580" s="9">
        <v>121</v>
      </c>
    </row>
    <row r="1581" spans="1:28" x14ac:dyDescent="0.25">
      <c r="A1581" s="8" t="s">
        <v>3264</v>
      </c>
      <c r="B1581" s="8" t="s">
        <v>3265</v>
      </c>
      <c r="C1581" s="8" t="s">
        <v>38</v>
      </c>
      <c r="D1581" s="10">
        <v>12.55</v>
      </c>
      <c r="E1581" s="10">
        <v>6</v>
      </c>
      <c r="F1581" s="10">
        <v>6.5499996999999999</v>
      </c>
      <c r="G1581" s="10">
        <v>6</v>
      </c>
      <c r="H1581" s="10">
        <v>5.9499997999999996</v>
      </c>
      <c r="I1581" s="10">
        <v>0</v>
      </c>
      <c r="J1581" s="10">
        <v>0.60000001999999997</v>
      </c>
      <c r="K1581" s="10">
        <v>0</v>
      </c>
      <c r="L1581" s="10">
        <v>0</v>
      </c>
      <c r="M1581" s="10">
        <v>0</v>
      </c>
      <c r="N1581" s="10">
        <v>1.95</v>
      </c>
      <c r="O1581" s="8" t="s">
        <v>31</v>
      </c>
      <c r="P1581" s="8" t="s">
        <v>31</v>
      </c>
      <c r="Q1581" s="8" t="s">
        <v>31</v>
      </c>
      <c r="R1581" s="8" t="s">
        <v>31</v>
      </c>
      <c r="S1581" s="8" t="s">
        <v>31</v>
      </c>
      <c r="T1581" s="8" t="s">
        <v>31</v>
      </c>
      <c r="U1581" s="8" t="s">
        <v>31</v>
      </c>
      <c r="V1581" s="8" t="s">
        <v>31</v>
      </c>
      <c r="W1581" s="8" t="s">
        <v>31</v>
      </c>
      <c r="X1581" s="8" t="s">
        <v>35</v>
      </c>
      <c r="Y1581" s="9">
        <v>733</v>
      </c>
      <c r="Z1581" s="9">
        <v>58.406371999999998</v>
      </c>
      <c r="AA1581" s="9">
        <v>122.16665999999999</v>
      </c>
      <c r="AB1581" s="9">
        <v>111.9084</v>
      </c>
    </row>
    <row r="1582" spans="1:28" x14ac:dyDescent="0.25">
      <c r="A1582" s="8" t="s">
        <v>3266</v>
      </c>
      <c r="B1582" s="8" t="s">
        <v>3267</v>
      </c>
      <c r="C1582" s="8" t="s">
        <v>80</v>
      </c>
      <c r="D1582" s="10">
        <v>5.5166601999999996</v>
      </c>
      <c r="E1582" s="10">
        <v>3</v>
      </c>
      <c r="F1582" s="10">
        <v>2.5166599999999999</v>
      </c>
      <c r="G1582" s="10">
        <v>3</v>
      </c>
      <c r="H1582" s="10">
        <v>2.5166599999999999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1.5166599999999999</v>
      </c>
      <c r="O1582" s="8" t="s">
        <v>31</v>
      </c>
      <c r="P1582" s="8" t="s">
        <v>31</v>
      </c>
      <c r="Q1582" s="8" t="s">
        <v>31</v>
      </c>
      <c r="R1582" s="8" t="s">
        <v>31</v>
      </c>
      <c r="S1582" s="8" t="s">
        <v>31</v>
      </c>
      <c r="T1582" s="8" t="s">
        <v>31</v>
      </c>
      <c r="U1582" s="8" t="s">
        <v>31</v>
      </c>
      <c r="V1582" s="8" t="s">
        <v>31</v>
      </c>
      <c r="W1582" s="8" t="s">
        <v>31</v>
      </c>
      <c r="X1582" s="8" t="s">
        <v>35</v>
      </c>
      <c r="Y1582" s="9">
        <v>538</v>
      </c>
      <c r="Z1582" s="9">
        <v>97.522773999999998</v>
      </c>
      <c r="AA1582" s="9">
        <v>179.33332999999999</v>
      </c>
      <c r="AB1582" s="9">
        <v>213.77540999999999</v>
      </c>
    </row>
    <row r="1583" spans="1:28" x14ac:dyDescent="0.25">
      <c r="A1583" s="8" t="s">
        <v>3268</v>
      </c>
      <c r="B1583" s="8" t="s">
        <v>3269</v>
      </c>
      <c r="C1583" s="8" t="s">
        <v>89</v>
      </c>
      <c r="D1583" s="10">
        <v>4.7666702000000001</v>
      </c>
      <c r="E1583" s="10">
        <v>2</v>
      </c>
      <c r="F1583" s="10">
        <v>2.76667</v>
      </c>
      <c r="G1583" s="10">
        <v>2</v>
      </c>
      <c r="H1583" s="10">
        <v>2.76667</v>
      </c>
      <c r="I1583" s="10">
        <v>0</v>
      </c>
      <c r="J1583" s="10">
        <v>0</v>
      </c>
      <c r="K1583" s="10">
        <v>1</v>
      </c>
      <c r="L1583" s="10">
        <v>1.6</v>
      </c>
      <c r="M1583" s="10">
        <v>0</v>
      </c>
      <c r="N1583" s="10">
        <v>2.76667</v>
      </c>
      <c r="O1583" s="8" t="s">
        <v>31</v>
      </c>
      <c r="P1583" s="8" t="s">
        <v>31</v>
      </c>
      <c r="Q1583" s="8" t="s">
        <v>31</v>
      </c>
      <c r="R1583" s="8" t="s">
        <v>31</v>
      </c>
      <c r="S1583" s="8" t="s">
        <v>31</v>
      </c>
      <c r="T1583" s="8" t="s">
        <v>31</v>
      </c>
      <c r="U1583" s="8" t="s">
        <v>31</v>
      </c>
      <c r="V1583" s="8" t="s">
        <v>31</v>
      </c>
      <c r="W1583" s="8" t="s">
        <v>57</v>
      </c>
      <c r="X1583" s="8" t="s">
        <v>35</v>
      </c>
      <c r="Y1583" s="9">
        <v>602</v>
      </c>
      <c r="Z1583" s="9">
        <v>126.29361</v>
      </c>
      <c r="AA1583" s="9">
        <v>301</v>
      </c>
      <c r="AB1583" s="9">
        <v>217.59010000000001</v>
      </c>
    </row>
    <row r="1584" spans="1:28" x14ac:dyDescent="0.25">
      <c r="A1584" s="8" t="s">
        <v>3270</v>
      </c>
      <c r="B1584" s="8" t="s">
        <v>3271</v>
      </c>
      <c r="C1584" s="8" t="s">
        <v>80</v>
      </c>
      <c r="D1584" s="10">
        <v>2.5</v>
      </c>
      <c r="E1584" s="10">
        <v>2</v>
      </c>
      <c r="F1584" s="10">
        <v>0.5</v>
      </c>
      <c r="G1584" s="10">
        <v>2</v>
      </c>
      <c r="H1584" s="10">
        <v>0.5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0.5</v>
      </c>
      <c r="O1584" s="8" t="s">
        <v>31</v>
      </c>
      <c r="P1584" s="8" t="s">
        <v>31</v>
      </c>
      <c r="Q1584" s="8" t="s">
        <v>31</v>
      </c>
      <c r="R1584" s="8" t="s">
        <v>31</v>
      </c>
      <c r="S1584" s="8" t="s">
        <v>31</v>
      </c>
      <c r="T1584" s="8" t="s">
        <v>31</v>
      </c>
      <c r="U1584" s="8" t="s">
        <v>31</v>
      </c>
      <c r="V1584" s="8" t="s">
        <v>31</v>
      </c>
      <c r="W1584" s="8" t="s">
        <v>57</v>
      </c>
      <c r="X1584" s="8" t="s">
        <v>3272</v>
      </c>
      <c r="Y1584" s="9">
        <v>297</v>
      </c>
      <c r="Z1584" s="9">
        <v>118.8</v>
      </c>
      <c r="AA1584" s="9">
        <v>148.5</v>
      </c>
      <c r="AB1584" s="9">
        <v>297</v>
      </c>
    </row>
    <row r="1585" spans="1:28" x14ac:dyDescent="0.25">
      <c r="A1585" s="8" t="s">
        <v>3273</v>
      </c>
      <c r="B1585" s="8" t="s">
        <v>3274</v>
      </c>
      <c r="C1585" s="8" t="s">
        <v>89</v>
      </c>
      <c r="D1585" s="10">
        <v>6.0999999000000003</v>
      </c>
      <c r="E1585" s="10">
        <v>3</v>
      </c>
      <c r="F1585" s="10">
        <v>3.0999998999999998</v>
      </c>
      <c r="G1585" s="10">
        <v>3</v>
      </c>
      <c r="H1585" s="10">
        <v>3.0999998999999998</v>
      </c>
      <c r="I1585" s="10">
        <v>0</v>
      </c>
      <c r="J1585" s="10">
        <v>0</v>
      </c>
      <c r="K1585" s="10">
        <v>0</v>
      </c>
      <c r="L1585" s="10">
        <v>0.5</v>
      </c>
      <c r="M1585" s="10">
        <v>0</v>
      </c>
      <c r="N1585" s="10">
        <v>1.1000000000000001</v>
      </c>
      <c r="O1585" s="8" t="s">
        <v>31</v>
      </c>
      <c r="P1585" s="8" t="s">
        <v>31</v>
      </c>
      <c r="Q1585" s="8" t="s">
        <v>31</v>
      </c>
      <c r="R1585" s="8" t="s">
        <v>31</v>
      </c>
      <c r="S1585" s="8" t="s">
        <v>31</v>
      </c>
      <c r="T1585" s="8" t="s">
        <v>31</v>
      </c>
      <c r="U1585" s="8" t="s">
        <v>31</v>
      </c>
      <c r="V1585" s="8" t="s">
        <v>31</v>
      </c>
      <c r="W1585" s="8" t="s">
        <v>57</v>
      </c>
      <c r="X1585" s="8" t="s">
        <v>426</v>
      </c>
      <c r="Y1585" s="9">
        <v>732</v>
      </c>
      <c r="Z1585" s="9">
        <v>120</v>
      </c>
      <c r="AA1585" s="9">
        <v>244</v>
      </c>
      <c r="AB1585" s="9">
        <v>236.12904</v>
      </c>
    </row>
    <row r="1586" spans="1:28" x14ac:dyDescent="0.25">
      <c r="A1586" s="8" t="s">
        <v>3275</v>
      </c>
      <c r="B1586" s="8" t="s">
        <v>3276</v>
      </c>
      <c r="C1586" s="8" t="s">
        <v>89</v>
      </c>
      <c r="D1586" s="10">
        <v>4.9200001000000002</v>
      </c>
      <c r="E1586" s="10">
        <v>1</v>
      </c>
      <c r="F1586" s="10">
        <v>3.9200001000000002</v>
      </c>
      <c r="G1586" s="10">
        <v>1</v>
      </c>
      <c r="H1586" s="10">
        <v>3.9200001000000002</v>
      </c>
      <c r="I1586" s="10">
        <v>0</v>
      </c>
      <c r="J1586" s="10">
        <v>0</v>
      </c>
      <c r="K1586" s="10">
        <v>0</v>
      </c>
      <c r="L1586" s="10">
        <v>1.62</v>
      </c>
      <c r="M1586" s="10">
        <v>0</v>
      </c>
      <c r="N1586" s="10">
        <v>1.92</v>
      </c>
      <c r="O1586" s="8" t="s">
        <v>31</v>
      </c>
      <c r="P1586" s="8" t="s">
        <v>31</v>
      </c>
      <c r="Q1586" s="8" t="s">
        <v>31</v>
      </c>
      <c r="R1586" s="8" t="s">
        <v>31</v>
      </c>
      <c r="S1586" s="8" t="s">
        <v>31</v>
      </c>
      <c r="T1586" s="8" t="s">
        <v>31</v>
      </c>
      <c r="U1586" s="8" t="s">
        <v>31</v>
      </c>
      <c r="V1586" s="8" t="s">
        <v>31</v>
      </c>
      <c r="W1586" s="8" t="s">
        <v>57</v>
      </c>
      <c r="X1586" s="8" t="s">
        <v>35</v>
      </c>
      <c r="Y1586" s="9">
        <v>606</v>
      </c>
      <c r="Z1586" s="9">
        <v>123.17073000000001</v>
      </c>
      <c r="AA1586" s="9">
        <v>606</v>
      </c>
      <c r="AB1586" s="9">
        <v>154.59182999999999</v>
      </c>
    </row>
    <row r="1587" spans="1:28" x14ac:dyDescent="0.25">
      <c r="A1587" s="8" t="s">
        <v>3277</v>
      </c>
      <c r="B1587" s="8" t="s">
        <v>3278</v>
      </c>
      <c r="C1587" s="8" t="s">
        <v>80</v>
      </c>
      <c r="D1587" s="10">
        <v>2.7142799000000002</v>
      </c>
      <c r="E1587" s="10">
        <v>1</v>
      </c>
      <c r="F1587" s="10">
        <v>1.71428</v>
      </c>
      <c r="G1587" s="10">
        <v>1</v>
      </c>
      <c r="H1587" s="10">
        <v>1.71428</v>
      </c>
      <c r="I1587" s="10">
        <v>0</v>
      </c>
      <c r="J1587" s="10">
        <v>0</v>
      </c>
      <c r="K1587" s="10">
        <v>0</v>
      </c>
      <c r="L1587" s="10">
        <v>1.05714</v>
      </c>
      <c r="M1587" s="10">
        <v>0</v>
      </c>
      <c r="N1587" s="10">
        <v>0.71428000999999997</v>
      </c>
      <c r="O1587" s="8" t="s">
        <v>31</v>
      </c>
      <c r="P1587" s="8" t="s">
        <v>31</v>
      </c>
      <c r="Q1587" s="8" t="s">
        <v>31</v>
      </c>
      <c r="R1587" s="8" t="s">
        <v>31</v>
      </c>
      <c r="S1587" s="8" t="s">
        <v>31</v>
      </c>
      <c r="T1587" s="8" t="s">
        <v>31</v>
      </c>
      <c r="U1587" s="8" t="s">
        <v>31</v>
      </c>
      <c r="V1587" s="8" t="s">
        <v>31</v>
      </c>
      <c r="W1587" s="8" t="s">
        <v>57</v>
      </c>
      <c r="X1587" s="8" t="s">
        <v>35</v>
      </c>
      <c r="Y1587" s="9">
        <v>623</v>
      </c>
      <c r="Z1587" s="9">
        <v>229.52681000000001</v>
      </c>
      <c r="AA1587" s="9">
        <v>623</v>
      </c>
      <c r="AB1587" s="9">
        <v>363.41788000000003</v>
      </c>
    </row>
    <row r="1588" spans="1:28" x14ac:dyDescent="0.25">
      <c r="A1588" s="8" t="s">
        <v>3279</v>
      </c>
      <c r="B1588" s="8" t="s">
        <v>3280</v>
      </c>
      <c r="C1588" s="8" t="s">
        <v>38</v>
      </c>
      <c r="D1588" s="10">
        <v>8.0666703999999996</v>
      </c>
      <c r="E1588" s="10">
        <v>4</v>
      </c>
      <c r="F1588" s="10">
        <v>4.0666698999999999</v>
      </c>
      <c r="G1588" s="10">
        <v>4</v>
      </c>
      <c r="H1588" s="10">
        <v>4.0666698999999999</v>
      </c>
      <c r="I1588" s="10">
        <v>0</v>
      </c>
      <c r="J1588" s="10">
        <v>0</v>
      </c>
      <c r="K1588" s="10">
        <v>1</v>
      </c>
      <c r="L1588" s="10">
        <v>1.6666700000000001</v>
      </c>
      <c r="M1588" s="10">
        <v>0</v>
      </c>
      <c r="N1588" s="10">
        <v>2.0666698999999999</v>
      </c>
      <c r="O1588" s="8" t="s">
        <v>31</v>
      </c>
      <c r="P1588" s="8" t="s">
        <v>31</v>
      </c>
      <c r="Q1588" s="8" t="s">
        <v>31</v>
      </c>
      <c r="R1588" s="8" t="s">
        <v>31</v>
      </c>
      <c r="S1588" s="8" t="s">
        <v>31</v>
      </c>
      <c r="T1588" s="8" t="s">
        <v>31</v>
      </c>
      <c r="U1588" s="8" t="s">
        <v>31</v>
      </c>
      <c r="V1588" s="8" t="s">
        <v>31</v>
      </c>
      <c r="W1588" s="8" t="s">
        <v>57</v>
      </c>
      <c r="X1588" s="8" t="s">
        <v>35</v>
      </c>
      <c r="Y1588" s="9">
        <v>734</v>
      </c>
      <c r="Z1588" s="9">
        <v>90.991692</v>
      </c>
      <c r="AA1588" s="9">
        <v>183.5</v>
      </c>
      <c r="AB1588" s="9">
        <v>180.49164999999999</v>
      </c>
    </row>
    <row r="1589" spans="1:28" x14ac:dyDescent="0.25">
      <c r="A1589" s="8" t="s">
        <v>3281</v>
      </c>
      <c r="B1589" s="8" t="s">
        <v>3282</v>
      </c>
      <c r="C1589" s="8" t="s">
        <v>89</v>
      </c>
      <c r="D1589" s="10">
        <v>6.8000002000000004</v>
      </c>
      <c r="E1589" s="10">
        <v>4</v>
      </c>
      <c r="F1589" s="10">
        <v>2.8</v>
      </c>
      <c r="G1589" s="10">
        <v>4</v>
      </c>
      <c r="H1589" s="10">
        <v>2.8</v>
      </c>
      <c r="I1589" s="10">
        <v>0</v>
      </c>
      <c r="J1589" s="10">
        <v>0</v>
      </c>
      <c r="K1589" s="10">
        <v>1</v>
      </c>
      <c r="L1589" s="10">
        <v>1.1000000000000001</v>
      </c>
      <c r="M1589" s="10">
        <v>0</v>
      </c>
      <c r="N1589" s="10">
        <v>0.80000000999999998</v>
      </c>
      <c r="O1589" s="8" t="s">
        <v>31</v>
      </c>
      <c r="P1589" s="8" t="s">
        <v>31</v>
      </c>
      <c r="Q1589" s="8" t="s">
        <v>31</v>
      </c>
      <c r="R1589" s="8" t="s">
        <v>31</v>
      </c>
      <c r="S1589" s="8" t="s">
        <v>31</v>
      </c>
      <c r="T1589" s="8" t="s">
        <v>31</v>
      </c>
      <c r="U1589" s="8" t="s">
        <v>31</v>
      </c>
      <c r="V1589" s="8" t="s">
        <v>31</v>
      </c>
      <c r="W1589" s="8" t="s">
        <v>57</v>
      </c>
      <c r="X1589" s="8" t="s">
        <v>35</v>
      </c>
      <c r="Y1589" s="9">
        <v>496</v>
      </c>
      <c r="Z1589" s="9">
        <v>72.941176999999996</v>
      </c>
      <c r="AA1589" s="9">
        <v>124</v>
      </c>
      <c r="AB1589" s="9">
        <v>177.14285000000001</v>
      </c>
    </row>
    <row r="1590" spans="1:28" x14ac:dyDescent="0.25">
      <c r="A1590" s="8" t="s">
        <v>3283</v>
      </c>
      <c r="B1590" s="8" t="s">
        <v>3284</v>
      </c>
      <c r="C1590" s="8" t="s">
        <v>38</v>
      </c>
      <c r="D1590" s="10">
        <v>2.9666600000000001</v>
      </c>
      <c r="E1590" s="10">
        <v>0</v>
      </c>
      <c r="F1590" s="10">
        <v>2.9666600000000001</v>
      </c>
      <c r="G1590" s="10">
        <v>0</v>
      </c>
      <c r="H1590" s="10">
        <v>2.9666600000000001</v>
      </c>
      <c r="I1590" s="10">
        <v>0</v>
      </c>
      <c r="J1590" s="10">
        <v>0</v>
      </c>
      <c r="K1590" s="10">
        <v>0</v>
      </c>
      <c r="L1590" s="10">
        <v>1.3333299999999999</v>
      </c>
      <c r="M1590" s="10">
        <v>0</v>
      </c>
      <c r="N1590" s="10">
        <v>1.9666600000000001</v>
      </c>
      <c r="O1590" s="8" t="s">
        <v>31</v>
      </c>
      <c r="P1590" s="8" t="s">
        <v>31</v>
      </c>
      <c r="Q1590" s="8" t="s">
        <v>31</v>
      </c>
      <c r="R1590" s="8" t="s">
        <v>31</v>
      </c>
      <c r="S1590" s="8" t="s">
        <v>31</v>
      </c>
      <c r="T1590" s="8" t="s">
        <v>31</v>
      </c>
      <c r="U1590" s="8" t="s">
        <v>31</v>
      </c>
      <c r="V1590" s="8" t="s">
        <v>31</v>
      </c>
      <c r="W1590" s="8" t="s">
        <v>57</v>
      </c>
      <c r="X1590" s="8" t="s">
        <v>35</v>
      </c>
      <c r="Y1590" s="9">
        <v>541</v>
      </c>
      <c r="Z1590" s="9">
        <v>182.35995</v>
      </c>
      <c r="AA1590" s="9">
        <v>541</v>
      </c>
      <c r="AB1590" s="9">
        <v>182.35995</v>
      </c>
    </row>
    <row r="1591" spans="1:28" x14ac:dyDescent="0.25">
      <c r="A1591" s="8" t="s">
        <v>3285</v>
      </c>
      <c r="B1591" s="8" t="s">
        <v>3286</v>
      </c>
      <c r="C1591" s="8" t="s">
        <v>89</v>
      </c>
      <c r="D1591" s="10">
        <v>7.4857101000000004</v>
      </c>
      <c r="E1591" s="10">
        <v>4</v>
      </c>
      <c r="F1591" s="10">
        <v>3.4857100999999999</v>
      </c>
      <c r="G1591" s="10">
        <v>4</v>
      </c>
      <c r="H1591" s="10">
        <v>2.38571</v>
      </c>
      <c r="I1591" s="10">
        <v>0</v>
      </c>
      <c r="J1591" s="10">
        <v>1.1000000000000001</v>
      </c>
      <c r="K1591" s="10">
        <v>1</v>
      </c>
      <c r="L1591" s="10">
        <v>1.1952400000000001</v>
      </c>
      <c r="M1591" s="10">
        <v>0</v>
      </c>
      <c r="N1591" s="10">
        <v>2.38571</v>
      </c>
      <c r="O1591" s="8" t="s">
        <v>57</v>
      </c>
      <c r="P1591" s="8" t="s">
        <v>31</v>
      </c>
      <c r="Q1591" s="8" t="s">
        <v>31</v>
      </c>
      <c r="R1591" s="8" t="s">
        <v>31</v>
      </c>
      <c r="S1591" s="8" t="s">
        <v>31</v>
      </c>
      <c r="T1591" s="8" t="s">
        <v>57</v>
      </c>
      <c r="U1591" s="8" t="s">
        <v>31</v>
      </c>
      <c r="V1591" s="8" t="s">
        <v>31</v>
      </c>
      <c r="W1591" s="8" t="s">
        <v>57</v>
      </c>
      <c r="X1591" s="8" t="s">
        <v>35</v>
      </c>
      <c r="Y1591" s="9">
        <v>655</v>
      </c>
      <c r="Z1591" s="9">
        <v>87.500045999999998</v>
      </c>
      <c r="AA1591" s="9">
        <v>163.75</v>
      </c>
      <c r="AB1591" s="9">
        <v>187.91005999999999</v>
      </c>
    </row>
    <row r="1592" spans="1:28" x14ac:dyDescent="0.25">
      <c r="A1592" s="8" t="s">
        <v>3287</v>
      </c>
      <c r="B1592" s="8" t="s">
        <v>3288</v>
      </c>
      <c r="C1592" s="8" t="s">
        <v>30</v>
      </c>
      <c r="D1592" s="10">
        <v>1.8</v>
      </c>
      <c r="E1592" s="10">
        <v>0</v>
      </c>
      <c r="F1592" s="10">
        <v>1.8</v>
      </c>
      <c r="G1592" s="10">
        <v>0</v>
      </c>
      <c r="H1592" s="10">
        <v>1.8</v>
      </c>
      <c r="I1592" s="10">
        <v>0</v>
      </c>
      <c r="J1592" s="10">
        <v>0</v>
      </c>
      <c r="K1592" s="10">
        <v>0</v>
      </c>
      <c r="L1592" s="10">
        <v>1.3</v>
      </c>
      <c r="M1592" s="10">
        <v>0</v>
      </c>
      <c r="N1592" s="10">
        <v>0.80000000999999998</v>
      </c>
      <c r="O1592" s="8" t="s">
        <v>57</v>
      </c>
      <c r="P1592" s="8" t="s">
        <v>31</v>
      </c>
      <c r="Q1592" s="8" t="s">
        <v>31</v>
      </c>
      <c r="R1592" s="8" t="s">
        <v>31</v>
      </c>
      <c r="S1592" s="8" t="s">
        <v>31</v>
      </c>
      <c r="T1592" s="8" t="s">
        <v>31</v>
      </c>
      <c r="U1592" s="8" t="s">
        <v>31</v>
      </c>
      <c r="V1592" s="8" t="s">
        <v>31</v>
      </c>
      <c r="W1592" s="8" t="s">
        <v>57</v>
      </c>
      <c r="X1592" s="8" t="s">
        <v>35</v>
      </c>
      <c r="Y1592" s="9">
        <v>421</v>
      </c>
      <c r="Z1592" s="9">
        <v>233.88890000000001</v>
      </c>
      <c r="AA1592" s="9">
        <v>421</v>
      </c>
      <c r="AB1592" s="9">
        <v>233.88890000000001</v>
      </c>
    </row>
    <row r="1593" spans="1:28" x14ac:dyDescent="0.25">
      <c r="A1593" s="8" t="s">
        <v>3289</v>
      </c>
      <c r="B1593" s="8" t="s">
        <v>3290</v>
      </c>
      <c r="C1593" s="8" t="s">
        <v>38</v>
      </c>
      <c r="D1593" s="10">
        <v>2.7</v>
      </c>
      <c r="E1593" s="10">
        <v>1</v>
      </c>
      <c r="F1593" s="10">
        <v>1.7</v>
      </c>
      <c r="G1593" s="10">
        <v>1</v>
      </c>
      <c r="H1593" s="10">
        <v>1.7</v>
      </c>
      <c r="I1593" s="10">
        <v>0</v>
      </c>
      <c r="J1593" s="10">
        <v>0</v>
      </c>
      <c r="K1593" s="10">
        <v>0</v>
      </c>
      <c r="L1593" s="10">
        <v>0.5</v>
      </c>
      <c r="M1593" s="10">
        <v>0</v>
      </c>
      <c r="N1593" s="10">
        <v>0.69999999000000002</v>
      </c>
      <c r="O1593" s="8" t="s">
        <v>31</v>
      </c>
      <c r="P1593" s="8" t="s">
        <v>31</v>
      </c>
      <c r="Q1593" s="8" t="s">
        <v>31</v>
      </c>
      <c r="R1593" s="8" t="s">
        <v>31</v>
      </c>
      <c r="S1593" s="8" t="s">
        <v>31</v>
      </c>
      <c r="T1593" s="8" t="s">
        <v>31</v>
      </c>
      <c r="U1593" s="8" t="s">
        <v>31</v>
      </c>
      <c r="V1593" s="8" t="s">
        <v>31</v>
      </c>
      <c r="W1593" s="8" t="s">
        <v>31</v>
      </c>
      <c r="X1593" s="8" t="s">
        <v>35</v>
      </c>
      <c r="Y1593" s="9">
        <v>118</v>
      </c>
      <c r="Z1593" s="9">
        <v>43.703704999999999</v>
      </c>
      <c r="AA1593" s="9">
        <v>118</v>
      </c>
      <c r="AB1593" s="9">
        <v>69.411766</v>
      </c>
    </row>
    <row r="1594" spans="1:28" x14ac:dyDescent="0.25">
      <c r="A1594" s="8" t="s">
        <v>3291</v>
      </c>
      <c r="B1594" s="8" t="s">
        <v>3292</v>
      </c>
      <c r="C1594" s="8" t="s">
        <v>62</v>
      </c>
      <c r="D1594" s="10">
        <v>6.1466699</v>
      </c>
      <c r="E1594" s="10">
        <v>2</v>
      </c>
      <c r="F1594" s="10">
        <v>4.1466699</v>
      </c>
      <c r="G1594" s="10">
        <v>2</v>
      </c>
      <c r="H1594" s="10">
        <v>3.5466700000000002</v>
      </c>
      <c r="I1594" s="10">
        <v>0</v>
      </c>
      <c r="J1594" s="10">
        <v>0.60000001999999997</v>
      </c>
      <c r="K1594" s="10">
        <v>2</v>
      </c>
      <c r="L1594" s="10">
        <v>0.16</v>
      </c>
      <c r="M1594" s="10">
        <v>0</v>
      </c>
      <c r="N1594" s="10">
        <v>1.54667</v>
      </c>
      <c r="O1594" s="8" t="s">
        <v>31</v>
      </c>
      <c r="P1594" s="8" t="s">
        <v>31</v>
      </c>
      <c r="Q1594" s="8" t="s">
        <v>31</v>
      </c>
      <c r="R1594" s="8" t="s">
        <v>31</v>
      </c>
      <c r="S1594" s="8" t="s">
        <v>31</v>
      </c>
      <c r="T1594" s="8" t="s">
        <v>31</v>
      </c>
      <c r="U1594" s="8" t="s">
        <v>31</v>
      </c>
      <c r="V1594" s="8" t="s">
        <v>31</v>
      </c>
      <c r="W1594" s="8" t="s">
        <v>31</v>
      </c>
      <c r="X1594" s="8" t="s">
        <v>35</v>
      </c>
      <c r="Y1594" s="9">
        <v>526</v>
      </c>
      <c r="Z1594" s="9">
        <v>85.574791000000005</v>
      </c>
      <c r="AA1594" s="9">
        <v>263</v>
      </c>
      <c r="AB1594" s="9">
        <v>126.84878</v>
      </c>
    </row>
    <row r="1595" spans="1:28" x14ac:dyDescent="0.25">
      <c r="A1595" s="8" t="s">
        <v>3293</v>
      </c>
      <c r="B1595" s="8" t="s">
        <v>3294</v>
      </c>
      <c r="C1595" s="8" t="s">
        <v>89</v>
      </c>
      <c r="D1595" s="10">
        <v>4.4142799000000004</v>
      </c>
      <c r="E1595" s="10">
        <v>0</v>
      </c>
      <c r="F1595" s="10">
        <v>4.4142799000000004</v>
      </c>
      <c r="G1595" s="10">
        <v>0</v>
      </c>
      <c r="H1595" s="10">
        <v>4.4142799000000004</v>
      </c>
      <c r="I1595" s="10">
        <v>0</v>
      </c>
      <c r="J1595" s="10">
        <v>0</v>
      </c>
      <c r="K1595" s="10">
        <v>0</v>
      </c>
      <c r="L1595" s="10">
        <v>1.7571399999999999</v>
      </c>
      <c r="M1595" s="10">
        <v>0</v>
      </c>
      <c r="N1595" s="10">
        <v>2.4142798999999999</v>
      </c>
      <c r="O1595" s="8" t="s">
        <v>57</v>
      </c>
      <c r="P1595" s="8" t="s">
        <v>31</v>
      </c>
      <c r="Q1595" s="8" t="s">
        <v>31</v>
      </c>
      <c r="R1595" s="8" t="s">
        <v>31</v>
      </c>
      <c r="S1595" s="8" t="s">
        <v>31</v>
      </c>
      <c r="T1595" s="8" t="s">
        <v>31</v>
      </c>
      <c r="U1595" s="8" t="s">
        <v>31</v>
      </c>
      <c r="V1595" s="8" t="s">
        <v>31</v>
      </c>
      <c r="W1595" s="8" t="s">
        <v>57</v>
      </c>
      <c r="X1595" s="8" t="s">
        <v>35</v>
      </c>
      <c r="Y1595" s="9">
        <v>404</v>
      </c>
      <c r="Z1595" s="9">
        <v>91.521156000000005</v>
      </c>
      <c r="AA1595" s="9">
        <v>404</v>
      </c>
      <c r="AB1595" s="9">
        <v>91.521156000000005</v>
      </c>
    </row>
    <row r="1596" spans="1:28" x14ac:dyDescent="0.25">
      <c r="A1596" s="8" t="s">
        <v>3295</v>
      </c>
      <c r="B1596" s="8" t="s">
        <v>3296</v>
      </c>
      <c r="C1596" s="8" t="s">
        <v>62</v>
      </c>
      <c r="D1596" s="10">
        <v>7.7600002000000003</v>
      </c>
      <c r="E1596" s="10">
        <v>3</v>
      </c>
      <c r="F1596" s="10">
        <v>4.7600002000000003</v>
      </c>
      <c r="G1596" s="10">
        <v>3</v>
      </c>
      <c r="H1596" s="10">
        <v>4.7600002000000003</v>
      </c>
      <c r="I1596" s="10">
        <v>0</v>
      </c>
      <c r="J1596" s="10">
        <v>0</v>
      </c>
      <c r="K1596" s="10">
        <v>1</v>
      </c>
      <c r="L1596" s="10">
        <v>1.08</v>
      </c>
      <c r="M1596" s="10">
        <v>0</v>
      </c>
      <c r="N1596" s="10">
        <v>0.75999998999999996</v>
      </c>
      <c r="O1596" s="8" t="s">
        <v>31</v>
      </c>
      <c r="P1596" s="8" t="s">
        <v>31</v>
      </c>
      <c r="Q1596" s="8" t="s">
        <v>31</v>
      </c>
      <c r="R1596" s="8" t="s">
        <v>31</v>
      </c>
      <c r="S1596" s="8" t="s">
        <v>31</v>
      </c>
      <c r="T1596" s="8" t="s">
        <v>31</v>
      </c>
      <c r="U1596" s="8" t="s">
        <v>31</v>
      </c>
      <c r="V1596" s="8" t="s">
        <v>31</v>
      </c>
      <c r="W1596" s="8" t="s">
        <v>57</v>
      </c>
      <c r="X1596" s="8" t="s">
        <v>35</v>
      </c>
      <c r="Y1596" s="9">
        <v>439</v>
      </c>
      <c r="Z1596" s="9">
        <v>56.572163000000003</v>
      </c>
      <c r="AA1596" s="9">
        <v>146.33332999999999</v>
      </c>
      <c r="AB1596" s="9">
        <v>92.226883000000001</v>
      </c>
    </row>
    <row r="1597" spans="1:28" x14ac:dyDescent="0.25">
      <c r="A1597" s="8" t="s">
        <v>3297</v>
      </c>
      <c r="B1597" s="8" t="s">
        <v>3298</v>
      </c>
      <c r="C1597" s="8" t="s">
        <v>80</v>
      </c>
      <c r="D1597" s="10">
        <v>3.6666701000000002</v>
      </c>
      <c r="E1597" s="10">
        <v>1.6</v>
      </c>
      <c r="F1597" s="10">
        <v>2.0666698999999999</v>
      </c>
      <c r="G1597" s="10">
        <v>1</v>
      </c>
      <c r="H1597" s="10">
        <v>2.0666698999999999</v>
      </c>
      <c r="I1597" s="10">
        <v>0.60000001999999997</v>
      </c>
      <c r="J1597" s="10">
        <v>0</v>
      </c>
      <c r="K1597" s="10">
        <v>0</v>
      </c>
      <c r="L1597" s="10">
        <v>0</v>
      </c>
      <c r="M1597" s="10">
        <v>0</v>
      </c>
      <c r="N1597" s="10">
        <v>6.6670001000000007E-2</v>
      </c>
      <c r="O1597" s="8" t="s">
        <v>31</v>
      </c>
      <c r="P1597" s="8" t="s">
        <v>31</v>
      </c>
      <c r="Q1597" s="8" t="s">
        <v>31</v>
      </c>
      <c r="R1597" s="8" t="s">
        <v>31</v>
      </c>
      <c r="S1597" s="8" t="s">
        <v>31</v>
      </c>
      <c r="T1597" s="8" t="s">
        <v>31</v>
      </c>
      <c r="U1597" s="8" t="s">
        <v>31</v>
      </c>
      <c r="V1597" s="8" t="s">
        <v>31</v>
      </c>
      <c r="W1597" s="8" t="s">
        <v>57</v>
      </c>
      <c r="X1597" s="8" t="s">
        <v>35</v>
      </c>
      <c r="Y1597" s="9">
        <v>700</v>
      </c>
      <c r="Z1597" s="9">
        <v>190.90891999999999</v>
      </c>
      <c r="AA1597" s="9">
        <v>437.5</v>
      </c>
      <c r="AB1597" s="9">
        <v>338.70913999999999</v>
      </c>
    </row>
    <row r="1598" spans="1:28" x14ac:dyDescent="0.25">
      <c r="A1598" s="8" t="s">
        <v>3299</v>
      </c>
      <c r="B1598" s="8" t="s">
        <v>3300</v>
      </c>
      <c r="C1598" s="8" t="s">
        <v>3301</v>
      </c>
      <c r="D1598" s="10">
        <v>4</v>
      </c>
      <c r="E1598" s="10">
        <v>4</v>
      </c>
      <c r="F1598" s="10">
        <v>0</v>
      </c>
      <c r="G1598" s="10">
        <v>4</v>
      </c>
      <c r="H1598" s="10">
        <v>0</v>
      </c>
      <c r="I1598" s="10">
        <v>0</v>
      </c>
      <c r="J1598" s="10">
        <v>0</v>
      </c>
      <c r="K1598" s="10">
        <v>0</v>
      </c>
      <c r="L1598" s="10">
        <v>0</v>
      </c>
      <c r="M1598" s="10">
        <v>0</v>
      </c>
      <c r="N1598" s="10">
        <v>0</v>
      </c>
      <c r="O1598" s="8" t="s">
        <v>31</v>
      </c>
      <c r="P1598" s="8" t="s">
        <v>31</v>
      </c>
      <c r="Q1598" s="8" t="s">
        <v>31</v>
      </c>
      <c r="R1598" s="8" t="s">
        <v>31</v>
      </c>
      <c r="S1598" s="8" t="s">
        <v>31</v>
      </c>
      <c r="T1598" s="8" t="s">
        <v>31</v>
      </c>
      <c r="U1598" s="8" t="s">
        <v>31</v>
      </c>
      <c r="V1598" s="8" t="s">
        <v>31</v>
      </c>
      <c r="W1598" s="8" t="s">
        <v>3302</v>
      </c>
      <c r="X1598" s="8" t="s">
        <v>35</v>
      </c>
      <c r="Y1598" s="9">
        <v>969</v>
      </c>
      <c r="Z1598" s="9">
        <v>242.25</v>
      </c>
      <c r="AA1598" s="9">
        <v>242.25</v>
      </c>
      <c r="AB1598" s="9">
        <v>969</v>
      </c>
    </row>
    <row r="1599" spans="1:28" x14ac:dyDescent="0.25">
      <c r="A1599" s="8" t="s">
        <v>3303</v>
      </c>
      <c r="B1599" s="8" t="s">
        <v>3304</v>
      </c>
      <c r="C1599" s="8" t="s">
        <v>3305</v>
      </c>
      <c r="D1599" s="10">
        <v>12</v>
      </c>
      <c r="E1599" s="10">
        <v>5</v>
      </c>
      <c r="F1599" s="10">
        <v>7</v>
      </c>
      <c r="G1599" s="10">
        <v>5</v>
      </c>
      <c r="H1599" s="10">
        <v>7</v>
      </c>
      <c r="I1599" s="10">
        <v>0</v>
      </c>
      <c r="J1599" s="10">
        <v>0</v>
      </c>
      <c r="K1599" s="10">
        <v>0</v>
      </c>
      <c r="L1599" s="10">
        <v>0</v>
      </c>
      <c r="M1599" s="10">
        <v>0</v>
      </c>
      <c r="N1599" s="10">
        <v>0</v>
      </c>
      <c r="O1599" s="8" t="s">
        <v>31</v>
      </c>
      <c r="P1599" s="8" t="s">
        <v>31</v>
      </c>
      <c r="Q1599" s="8" t="s">
        <v>31</v>
      </c>
      <c r="R1599" s="8" t="s">
        <v>31</v>
      </c>
      <c r="S1599" s="8" t="s">
        <v>31</v>
      </c>
      <c r="T1599" s="8" t="s">
        <v>31</v>
      </c>
      <c r="U1599" s="8" t="s">
        <v>31</v>
      </c>
      <c r="V1599" s="8" t="s">
        <v>31</v>
      </c>
      <c r="W1599" s="8" t="s">
        <v>3302</v>
      </c>
      <c r="X1599" s="8" t="s">
        <v>35</v>
      </c>
      <c r="Y1599" s="9">
        <v>21</v>
      </c>
      <c r="Z1599" s="9">
        <v>3.5</v>
      </c>
      <c r="AA1599" s="9">
        <v>7</v>
      </c>
      <c r="AB1599" s="9">
        <v>7</v>
      </c>
    </row>
    <row r="1600" spans="1:28" x14ac:dyDescent="0.25">
      <c r="A1600" s="8" t="s">
        <v>3306</v>
      </c>
      <c r="B1600" s="8" t="s">
        <v>3307</v>
      </c>
      <c r="C1600" s="8" t="s">
        <v>3301</v>
      </c>
      <c r="D1600" s="10">
        <v>7</v>
      </c>
      <c r="E1600" s="10">
        <v>7</v>
      </c>
      <c r="F1600" s="10">
        <v>0</v>
      </c>
      <c r="G1600" s="10">
        <v>7</v>
      </c>
      <c r="H1600" s="10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8" t="s">
        <v>31</v>
      </c>
      <c r="P1600" s="8" t="s">
        <v>31</v>
      </c>
      <c r="Q1600" s="8" t="s">
        <v>31</v>
      </c>
      <c r="R1600" s="8" t="s">
        <v>31</v>
      </c>
      <c r="S1600" s="8" t="s">
        <v>31</v>
      </c>
      <c r="T1600" s="8" t="s">
        <v>31</v>
      </c>
      <c r="U1600" s="8" t="s">
        <v>31</v>
      </c>
      <c r="V1600" s="8" t="s">
        <v>31</v>
      </c>
      <c r="W1600" s="8" t="s">
        <v>3302</v>
      </c>
      <c r="X1600" s="8" t="s">
        <v>35</v>
      </c>
      <c r="Y1600" s="9">
        <v>576</v>
      </c>
      <c r="Z1600" s="9">
        <v>82.285713000000001</v>
      </c>
      <c r="AA1600" s="9">
        <v>82.285713000000001</v>
      </c>
      <c r="AB1600" s="9">
        <v>576</v>
      </c>
    </row>
    <row r="1601" spans="1:28" x14ac:dyDescent="0.25">
      <c r="A1601" s="8" t="s">
        <v>3308</v>
      </c>
      <c r="B1601" s="8" t="s">
        <v>219</v>
      </c>
      <c r="C1601" s="8" t="s">
        <v>62</v>
      </c>
      <c r="D1601" s="10">
        <v>4</v>
      </c>
      <c r="E1601" s="10">
        <v>3</v>
      </c>
      <c r="F1601" s="10">
        <v>1</v>
      </c>
      <c r="G1601" s="10">
        <v>3</v>
      </c>
      <c r="H1601" s="10">
        <v>1</v>
      </c>
      <c r="I1601" s="10">
        <v>0</v>
      </c>
      <c r="J1601" s="10">
        <v>0</v>
      </c>
      <c r="K1601" s="10">
        <v>0</v>
      </c>
      <c r="L1601" s="10">
        <v>0</v>
      </c>
      <c r="M1601" s="10">
        <v>0</v>
      </c>
      <c r="N1601" s="10">
        <v>0</v>
      </c>
      <c r="O1601" s="8" t="s">
        <v>31</v>
      </c>
      <c r="P1601" s="8" t="s">
        <v>31</v>
      </c>
      <c r="Q1601" s="8" t="s">
        <v>31</v>
      </c>
      <c r="R1601" s="8" t="s">
        <v>31</v>
      </c>
      <c r="S1601" s="8" t="s">
        <v>31</v>
      </c>
      <c r="T1601" s="8" t="s">
        <v>31</v>
      </c>
      <c r="U1601" s="8" t="s">
        <v>31</v>
      </c>
      <c r="V1601" s="8" t="s">
        <v>31</v>
      </c>
      <c r="W1601" s="8" t="s">
        <v>3302</v>
      </c>
      <c r="X1601" s="8" t="s">
        <v>35</v>
      </c>
      <c r="Y1601" s="9">
        <v>1189</v>
      </c>
      <c r="Z1601" s="9">
        <v>297.25</v>
      </c>
      <c r="AA1601" s="9">
        <v>396.33334000000002</v>
      </c>
      <c r="AB1601" s="9">
        <v>1189</v>
      </c>
    </row>
    <row r="1602" spans="1:28" x14ac:dyDescent="0.25">
      <c r="A1602" s="8" t="s">
        <v>3309</v>
      </c>
      <c r="B1602" s="8" t="s">
        <v>91</v>
      </c>
      <c r="C1602" s="8" t="s">
        <v>3305</v>
      </c>
      <c r="D1602" s="10">
        <v>16</v>
      </c>
      <c r="E1602" s="10">
        <v>14</v>
      </c>
      <c r="F1602" s="10">
        <v>2</v>
      </c>
      <c r="G1602" s="10">
        <v>14</v>
      </c>
      <c r="H1602" s="10">
        <v>2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  <c r="N1602" s="10">
        <v>0</v>
      </c>
      <c r="O1602" s="8" t="s">
        <v>31</v>
      </c>
      <c r="P1602" s="8" t="s">
        <v>31</v>
      </c>
      <c r="Q1602" s="8" t="s">
        <v>31</v>
      </c>
      <c r="R1602" s="8" t="s">
        <v>31</v>
      </c>
      <c r="S1602" s="8" t="s">
        <v>31</v>
      </c>
      <c r="T1602" s="8" t="s">
        <v>31</v>
      </c>
      <c r="U1602" s="8" t="s">
        <v>31</v>
      </c>
      <c r="V1602" s="8" t="s">
        <v>31</v>
      </c>
      <c r="W1602" s="8" t="s">
        <v>3302</v>
      </c>
      <c r="X1602" s="8" t="s">
        <v>35</v>
      </c>
      <c r="Y1602" s="9">
        <v>378</v>
      </c>
      <c r="Z1602" s="9">
        <v>23.625</v>
      </c>
      <c r="AA1602" s="9">
        <v>27</v>
      </c>
      <c r="AB1602" s="9">
        <v>189</v>
      </c>
    </row>
    <row r="1603" spans="1:28" x14ac:dyDescent="0.25">
      <c r="A1603" s="8" t="s">
        <v>3310</v>
      </c>
      <c r="B1603" s="8" t="s">
        <v>3311</v>
      </c>
      <c r="C1603" s="8" t="s">
        <v>3305</v>
      </c>
      <c r="D1603" s="10">
        <v>20</v>
      </c>
      <c r="E1603" s="10">
        <v>1</v>
      </c>
      <c r="F1603" s="10">
        <v>19</v>
      </c>
      <c r="G1603" s="10">
        <v>1</v>
      </c>
      <c r="H1603" s="10">
        <v>19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8" t="s">
        <v>31</v>
      </c>
      <c r="P1603" s="8" t="s">
        <v>31</v>
      </c>
      <c r="Q1603" s="8" t="s">
        <v>31</v>
      </c>
      <c r="R1603" s="8" t="s">
        <v>31</v>
      </c>
      <c r="S1603" s="8" t="s">
        <v>31</v>
      </c>
      <c r="T1603" s="8" t="s">
        <v>31</v>
      </c>
      <c r="U1603" s="8" t="s">
        <v>31</v>
      </c>
      <c r="V1603" s="8" t="s">
        <v>31</v>
      </c>
      <c r="W1603" s="8" t="s">
        <v>3302</v>
      </c>
      <c r="X1603" s="8" t="s">
        <v>35</v>
      </c>
      <c r="Y1603" s="9">
        <v>259</v>
      </c>
      <c r="Z1603" s="9" t="s">
        <v>3312</v>
      </c>
      <c r="AA1603" s="9" t="s">
        <v>3312</v>
      </c>
      <c r="AB1603" s="9" t="s">
        <v>3312</v>
      </c>
    </row>
    <row r="1604" spans="1:28" x14ac:dyDescent="0.25">
      <c r="A1604" s="8" t="s">
        <v>3313</v>
      </c>
      <c r="B1604" s="8" t="s">
        <v>3314</v>
      </c>
      <c r="C1604" s="8" t="s">
        <v>62</v>
      </c>
      <c r="D1604" s="10">
        <v>7</v>
      </c>
      <c r="E1604" s="10">
        <v>3</v>
      </c>
      <c r="F1604" s="10">
        <v>4</v>
      </c>
      <c r="G1604" s="10">
        <v>3</v>
      </c>
      <c r="H1604" s="10">
        <v>4</v>
      </c>
      <c r="I1604" s="10">
        <v>0</v>
      </c>
      <c r="J1604" s="10">
        <v>0</v>
      </c>
      <c r="K1604" s="10">
        <v>0</v>
      </c>
      <c r="L1604" s="10">
        <v>0</v>
      </c>
      <c r="M1604" s="10">
        <v>0</v>
      </c>
      <c r="N1604" s="10">
        <v>0</v>
      </c>
      <c r="O1604" s="8" t="s">
        <v>31</v>
      </c>
      <c r="P1604" s="8" t="s">
        <v>31</v>
      </c>
      <c r="Q1604" s="8" t="s">
        <v>31</v>
      </c>
      <c r="R1604" s="8" t="s">
        <v>31</v>
      </c>
      <c r="S1604" s="8" t="s">
        <v>31</v>
      </c>
      <c r="T1604" s="8" t="s">
        <v>31</v>
      </c>
      <c r="U1604" s="8" t="s">
        <v>31</v>
      </c>
      <c r="V1604" s="8" t="s">
        <v>31</v>
      </c>
      <c r="W1604" s="8" t="s">
        <v>3302</v>
      </c>
      <c r="X1604" s="8" t="s">
        <v>35</v>
      </c>
      <c r="Y1604" s="9">
        <v>224</v>
      </c>
      <c r="Z1604" s="9">
        <v>32</v>
      </c>
      <c r="AA1604" s="9">
        <v>74.666663999999997</v>
      </c>
      <c r="AB1604" s="9">
        <v>56</v>
      </c>
    </row>
    <row r="1605" spans="1:28" x14ac:dyDescent="0.25">
      <c r="A1605" s="8" t="s">
        <v>3315</v>
      </c>
      <c r="B1605" s="8" t="s">
        <v>2740</v>
      </c>
      <c r="C1605" s="8" t="s">
        <v>62</v>
      </c>
      <c r="D1605" s="10">
        <v>62</v>
      </c>
      <c r="E1605" s="10">
        <v>39</v>
      </c>
      <c r="F1605" s="10">
        <v>23</v>
      </c>
      <c r="G1605" s="10">
        <v>39</v>
      </c>
      <c r="H1605" s="10">
        <v>23</v>
      </c>
      <c r="I1605" s="10">
        <v>0</v>
      </c>
      <c r="J1605" s="10">
        <v>0</v>
      </c>
      <c r="K1605" s="10">
        <v>4</v>
      </c>
      <c r="L1605" s="10">
        <v>1</v>
      </c>
      <c r="M1605" s="10">
        <v>0</v>
      </c>
      <c r="N1605" s="10">
        <v>0</v>
      </c>
      <c r="O1605" s="8" t="s">
        <v>31</v>
      </c>
      <c r="P1605" s="8" t="s">
        <v>31</v>
      </c>
      <c r="Q1605" s="8" t="s">
        <v>31</v>
      </c>
      <c r="R1605" s="8" t="s">
        <v>31</v>
      </c>
      <c r="S1605" s="8" t="s">
        <v>31</v>
      </c>
      <c r="T1605" s="8" t="s">
        <v>31</v>
      </c>
      <c r="U1605" s="8" t="s">
        <v>31</v>
      </c>
      <c r="V1605" s="8" t="s">
        <v>31</v>
      </c>
      <c r="W1605" s="8" t="s">
        <v>3302</v>
      </c>
      <c r="X1605" s="8" t="s">
        <v>35</v>
      </c>
      <c r="Y1605" s="9">
        <v>3178</v>
      </c>
      <c r="Z1605" s="9">
        <v>51.258063999999997</v>
      </c>
      <c r="AA1605" s="9">
        <v>81.487183000000002</v>
      </c>
      <c r="AB1605" s="9">
        <v>138.17392000000001</v>
      </c>
    </row>
    <row r="1606" spans="1:28" x14ac:dyDescent="0.25">
      <c r="A1606" s="8" t="s">
        <v>3316</v>
      </c>
      <c r="B1606" s="8" t="s">
        <v>3317</v>
      </c>
      <c r="C1606" s="8" t="s">
        <v>89</v>
      </c>
      <c r="D1606" s="10">
        <v>17.799999</v>
      </c>
      <c r="E1606" s="10">
        <v>4</v>
      </c>
      <c r="F1606" s="10">
        <v>13.8</v>
      </c>
      <c r="G1606" s="10">
        <v>4</v>
      </c>
      <c r="H1606" s="10">
        <v>13</v>
      </c>
      <c r="I1606" s="10">
        <v>0</v>
      </c>
      <c r="J1606" s="10">
        <v>0.80000000999999998</v>
      </c>
      <c r="K1606" s="10">
        <v>0</v>
      </c>
      <c r="L1606" s="10">
        <v>0</v>
      </c>
      <c r="M1606" s="10">
        <v>0</v>
      </c>
      <c r="N1606" s="10">
        <v>0</v>
      </c>
      <c r="O1606" s="8" t="s">
        <v>31</v>
      </c>
      <c r="P1606" s="8" t="s">
        <v>31</v>
      </c>
      <c r="Q1606" s="8" t="s">
        <v>31</v>
      </c>
      <c r="R1606" s="8" t="s">
        <v>31</v>
      </c>
      <c r="S1606" s="8" t="s">
        <v>31</v>
      </c>
      <c r="T1606" s="8" t="s">
        <v>31</v>
      </c>
      <c r="U1606" s="8" t="s">
        <v>31</v>
      </c>
      <c r="V1606" s="8" t="s">
        <v>31</v>
      </c>
      <c r="W1606" s="8" t="s">
        <v>3302</v>
      </c>
      <c r="X1606" s="8" t="s">
        <v>35</v>
      </c>
      <c r="Y1606" s="9">
        <v>404</v>
      </c>
      <c r="Z1606" s="9">
        <v>22.696629999999999</v>
      </c>
      <c r="AA1606" s="9">
        <v>101</v>
      </c>
      <c r="AB1606" s="9">
        <v>29.275362000000001</v>
      </c>
    </row>
    <row r="1607" spans="1:28" x14ac:dyDescent="0.25">
      <c r="A1607" s="8" t="s">
        <v>3318</v>
      </c>
      <c r="B1607" s="8" t="s">
        <v>3319</v>
      </c>
      <c r="C1607" s="8" t="s">
        <v>3320</v>
      </c>
      <c r="D1607" s="10">
        <v>7</v>
      </c>
      <c r="E1607" s="10">
        <v>6</v>
      </c>
      <c r="F1607" s="10">
        <v>1</v>
      </c>
      <c r="G1607" s="10">
        <v>6</v>
      </c>
      <c r="H1607" s="10">
        <v>1</v>
      </c>
      <c r="I1607" s="10">
        <v>0</v>
      </c>
      <c r="J1607" s="10">
        <v>0</v>
      </c>
      <c r="K1607" s="10">
        <v>0</v>
      </c>
      <c r="L1607" s="10">
        <v>0</v>
      </c>
      <c r="M1607" s="10">
        <v>0</v>
      </c>
      <c r="N1607" s="10">
        <v>0</v>
      </c>
      <c r="O1607" s="8" t="s">
        <v>31</v>
      </c>
      <c r="P1607" s="8" t="s">
        <v>31</v>
      </c>
      <c r="Q1607" s="8" t="s">
        <v>31</v>
      </c>
      <c r="R1607" s="8" t="s">
        <v>31</v>
      </c>
      <c r="S1607" s="8" t="s">
        <v>31</v>
      </c>
      <c r="T1607" s="8" t="s">
        <v>31</v>
      </c>
      <c r="U1607" s="8" t="s">
        <v>31</v>
      </c>
      <c r="V1607" s="8" t="s">
        <v>31</v>
      </c>
      <c r="W1607" s="8" t="s">
        <v>3302</v>
      </c>
      <c r="X1607" s="8" t="s">
        <v>35</v>
      </c>
      <c r="Y1607" s="9">
        <v>0</v>
      </c>
      <c r="Z1607" s="9" t="s">
        <v>3312</v>
      </c>
      <c r="AA1607" s="9" t="s">
        <v>3312</v>
      </c>
      <c r="AB1607" s="9" t="s">
        <v>3312</v>
      </c>
    </row>
    <row r="1608" spans="1:28" x14ac:dyDescent="0.25">
      <c r="A1608" s="8" t="s">
        <v>3321</v>
      </c>
      <c r="B1608" s="8" t="s">
        <v>3322</v>
      </c>
      <c r="C1608" s="8" t="s">
        <v>3320</v>
      </c>
      <c r="D1608" s="10">
        <v>6</v>
      </c>
      <c r="E1608" s="10">
        <v>4</v>
      </c>
      <c r="F1608" s="10">
        <v>2</v>
      </c>
      <c r="G1608" s="10">
        <v>4</v>
      </c>
      <c r="H1608" s="10">
        <v>2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  <c r="N1608" s="10">
        <v>0</v>
      </c>
      <c r="O1608" s="8" t="s">
        <v>31</v>
      </c>
      <c r="P1608" s="8" t="s">
        <v>31</v>
      </c>
      <c r="Q1608" s="8" t="s">
        <v>31</v>
      </c>
      <c r="R1608" s="8" t="s">
        <v>31</v>
      </c>
      <c r="S1608" s="8" t="s">
        <v>31</v>
      </c>
      <c r="T1608" s="8" t="s">
        <v>31</v>
      </c>
      <c r="U1608" s="8" t="s">
        <v>31</v>
      </c>
      <c r="V1608" s="8" t="s">
        <v>31</v>
      </c>
      <c r="W1608" s="8" t="s">
        <v>3302</v>
      </c>
      <c r="X1608" s="8" t="s">
        <v>35</v>
      </c>
      <c r="Y1608" s="9">
        <v>0</v>
      </c>
      <c r="Z1608" s="9" t="s">
        <v>3312</v>
      </c>
      <c r="AA1608" s="9" t="s">
        <v>3312</v>
      </c>
      <c r="AB1608" s="9" t="s">
        <v>3312</v>
      </c>
    </row>
    <row r="1609" spans="1:28" x14ac:dyDescent="0.25">
      <c r="A1609" s="8" t="s">
        <v>3323</v>
      </c>
      <c r="B1609" s="8" t="s">
        <v>3324</v>
      </c>
      <c r="C1609" s="8" t="s">
        <v>3320</v>
      </c>
      <c r="D1609" s="10">
        <v>7</v>
      </c>
      <c r="E1609" s="10">
        <v>6</v>
      </c>
      <c r="F1609" s="10">
        <v>1</v>
      </c>
      <c r="G1609" s="10">
        <v>6</v>
      </c>
      <c r="H1609" s="10">
        <v>1</v>
      </c>
      <c r="I1609" s="10">
        <v>0</v>
      </c>
      <c r="J1609" s="10">
        <v>0</v>
      </c>
      <c r="K1609" s="10">
        <v>1</v>
      </c>
      <c r="L1609" s="10">
        <v>0</v>
      </c>
      <c r="M1609" s="10">
        <v>0</v>
      </c>
      <c r="N1609" s="10">
        <v>0</v>
      </c>
      <c r="O1609" s="8" t="s">
        <v>31</v>
      </c>
      <c r="P1609" s="8" t="s">
        <v>31</v>
      </c>
      <c r="Q1609" s="8" t="s">
        <v>31</v>
      </c>
      <c r="R1609" s="8" t="s">
        <v>31</v>
      </c>
      <c r="S1609" s="8" t="s">
        <v>31</v>
      </c>
      <c r="T1609" s="8" t="s">
        <v>31</v>
      </c>
      <c r="U1609" s="8" t="s">
        <v>31</v>
      </c>
      <c r="V1609" s="8" t="s">
        <v>31</v>
      </c>
      <c r="W1609" s="8" t="s">
        <v>3302</v>
      </c>
      <c r="X1609" s="8" t="s">
        <v>35</v>
      </c>
      <c r="Y1609" s="9">
        <v>0</v>
      </c>
      <c r="Z1609" s="9" t="s">
        <v>3312</v>
      </c>
      <c r="AA1609" s="9" t="s">
        <v>3312</v>
      </c>
      <c r="AB1609" s="9" t="s">
        <v>3312</v>
      </c>
    </row>
    <row r="1610" spans="1:28" x14ac:dyDescent="0.25">
      <c r="A1610" s="8" t="s">
        <v>3325</v>
      </c>
      <c r="B1610" s="8" t="s">
        <v>3326</v>
      </c>
      <c r="C1610" s="8" t="s">
        <v>3320</v>
      </c>
      <c r="D1610" s="10">
        <v>8</v>
      </c>
      <c r="E1610" s="10">
        <v>5</v>
      </c>
      <c r="F1610" s="10">
        <v>3</v>
      </c>
      <c r="G1610" s="10">
        <v>5</v>
      </c>
      <c r="H1610" s="10">
        <v>3</v>
      </c>
      <c r="I1610" s="10">
        <v>0</v>
      </c>
      <c r="J1610" s="10">
        <v>0</v>
      </c>
      <c r="K1610" s="10">
        <v>1</v>
      </c>
      <c r="L1610" s="10">
        <v>0</v>
      </c>
      <c r="M1610" s="10">
        <v>0</v>
      </c>
      <c r="N1610" s="10">
        <v>0</v>
      </c>
      <c r="O1610" s="8" t="s">
        <v>31</v>
      </c>
      <c r="P1610" s="8" t="s">
        <v>31</v>
      </c>
      <c r="Q1610" s="8" t="s">
        <v>31</v>
      </c>
      <c r="R1610" s="8" t="s">
        <v>31</v>
      </c>
      <c r="S1610" s="8" t="s">
        <v>31</v>
      </c>
      <c r="T1610" s="8" t="s">
        <v>31</v>
      </c>
      <c r="U1610" s="8" t="s">
        <v>31</v>
      </c>
      <c r="V1610" s="8" t="s">
        <v>31</v>
      </c>
      <c r="W1610" s="8" t="s">
        <v>3302</v>
      </c>
      <c r="X1610" s="8" t="s">
        <v>35</v>
      </c>
      <c r="Y1610" s="9">
        <v>0</v>
      </c>
      <c r="Z1610" s="9" t="s">
        <v>3312</v>
      </c>
      <c r="AA1610" s="9" t="s">
        <v>3312</v>
      </c>
      <c r="AB1610" s="9" t="s">
        <v>3312</v>
      </c>
    </row>
    <row r="1611" spans="1:28" x14ac:dyDescent="0.25">
      <c r="A1611" s="8" t="s">
        <v>3327</v>
      </c>
      <c r="B1611" s="8" t="s">
        <v>3328</v>
      </c>
      <c r="C1611" s="8" t="s">
        <v>3320</v>
      </c>
      <c r="D1611" s="10">
        <v>6</v>
      </c>
      <c r="E1611" s="10">
        <v>4</v>
      </c>
      <c r="F1611" s="10">
        <v>2</v>
      </c>
      <c r="G1611" s="10">
        <v>4</v>
      </c>
      <c r="H1611" s="10">
        <v>2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0</v>
      </c>
      <c r="O1611" s="8" t="s">
        <v>31</v>
      </c>
      <c r="P1611" s="8" t="s">
        <v>31</v>
      </c>
      <c r="Q1611" s="8" t="s">
        <v>31</v>
      </c>
      <c r="R1611" s="8" t="s">
        <v>31</v>
      </c>
      <c r="S1611" s="8" t="s">
        <v>31</v>
      </c>
      <c r="T1611" s="8" t="s">
        <v>31</v>
      </c>
      <c r="U1611" s="8" t="s">
        <v>31</v>
      </c>
      <c r="V1611" s="8" t="s">
        <v>31</v>
      </c>
      <c r="W1611" s="8" t="s">
        <v>3302</v>
      </c>
      <c r="X1611" s="8" t="s">
        <v>35</v>
      </c>
      <c r="Y1611" s="9">
        <v>0</v>
      </c>
      <c r="Z1611" s="9" t="s">
        <v>3312</v>
      </c>
      <c r="AA1611" s="9" t="s">
        <v>3312</v>
      </c>
      <c r="AB1611" s="9" t="s">
        <v>3312</v>
      </c>
    </row>
    <row r="1612" spans="1:28" x14ac:dyDescent="0.25">
      <c r="A1612" s="6" t="s">
        <v>3329</v>
      </c>
      <c r="B1612" s="8"/>
      <c r="C1612" s="8"/>
      <c r="D1612" s="11">
        <v>5345.0198428399963</v>
      </c>
      <c r="E1612" s="11">
        <v>3296.0999984900009</v>
      </c>
      <c r="F1612" s="11">
        <v>2048.9198604240082</v>
      </c>
      <c r="G1612" s="11">
        <v>3255.5</v>
      </c>
      <c r="H1612" s="11">
        <f>SUM(H2:H1611)</f>
        <v>2038.8198605040077</v>
      </c>
      <c r="I1612" s="11">
        <v>40.600000519999995</v>
      </c>
      <c r="J1612" s="11">
        <v>10.100000159999999</v>
      </c>
      <c r="K1612" s="11">
        <v>280</v>
      </c>
      <c r="L1612" s="11">
        <v>352.90000437499924</v>
      </c>
      <c r="M1612" s="11">
        <v>16</v>
      </c>
      <c r="N1612" s="11">
        <v>568.81986748999702</v>
      </c>
      <c r="O1612" s="8"/>
      <c r="P1612" s="8"/>
      <c r="Q1612" s="8"/>
      <c r="R1612" s="8"/>
      <c r="S1612" s="8"/>
      <c r="T1612" s="8"/>
      <c r="U1612" s="8"/>
      <c r="V1612" s="8"/>
      <c r="W1612" s="8"/>
      <c r="X1612" s="8" t="s">
        <v>35</v>
      </c>
      <c r="Y1612" s="11">
        <v>842379</v>
      </c>
      <c r="Z1612" s="8"/>
      <c r="AA1612" s="8"/>
      <c r="AB1612" s="8"/>
    </row>
    <row r="1613" spans="1:28" x14ac:dyDescent="0.25">
      <c r="G1613" s="26"/>
      <c r="N1613" s="26"/>
    </row>
    <row r="1615" spans="1:28" x14ac:dyDescent="0.25">
      <c r="Y1615" s="7"/>
    </row>
    <row r="1616" spans="1:28" x14ac:dyDescent="0.25">
      <c r="Y1616" s="7"/>
    </row>
  </sheetData>
  <autoFilter ref="A1:AB1612" xr:uid="{0118E360-BFBE-4A0F-8B6D-50624CDA226F}"/>
  <sortState xmlns:xlrd2="http://schemas.microsoft.com/office/spreadsheetml/2017/richdata2" ref="A2:AB1611">
    <sortCondition ref="A2:A161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42A8-8CC3-4E2A-9C49-3690C021B306}">
  <dimension ref="A1:F573"/>
  <sheetViews>
    <sheetView topLeftCell="A547" workbookViewId="0">
      <selection activeCell="C573" sqref="C573"/>
    </sheetView>
  </sheetViews>
  <sheetFormatPr defaultRowHeight="15" x14ac:dyDescent="0.25"/>
  <cols>
    <col min="2" max="2" width="52.7109375" customWidth="1"/>
    <col min="3" max="3" width="20.7109375" customWidth="1"/>
    <col min="5" max="5" width="13" customWidth="1"/>
  </cols>
  <sheetData>
    <row r="1" spans="1:6" ht="16.5" thickBot="1" x14ac:dyDescent="0.3">
      <c r="A1" s="12" t="s">
        <v>0</v>
      </c>
      <c r="B1" s="13" t="s">
        <v>1</v>
      </c>
      <c r="C1" s="16" t="s">
        <v>3330</v>
      </c>
      <c r="E1" s="17" t="s">
        <v>3331</v>
      </c>
      <c r="F1" s="18">
        <v>8125</v>
      </c>
    </row>
    <row r="2" spans="1:6" x14ac:dyDescent="0.25">
      <c r="A2" s="14" t="s">
        <v>60</v>
      </c>
      <c r="B2" s="14" t="s">
        <v>61</v>
      </c>
      <c r="C2" s="8">
        <v>11</v>
      </c>
    </row>
    <row r="3" spans="1:6" x14ac:dyDescent="0.25">
      <c r="A3" s="15" t="s">
        <v>76</v>
      </c>
      <c r="B3" s="15" t="s">
        <v>77</v>
      </c>
      <c r="C3" s="8">
        <v>22</v>
      </c>
    </row>
    <row r="4" spans="1:6" x14ac:dyDescent="0.25">
      <c r="A4" s="15" t="s">
        <v>78</v>
      </c>
      <c r="B4" s="15" t="s">
        <v>79</v>
      </c>
      <c r="C4" s="8">
        <v>5</v>
      </c>
    </row>
    <row r="5" spans="1:6" x14ac:dyDescent="0.25">
      <c r="A5" s="15" t="s">
        <v>81</v>
      </c>
      <c r="B5" s="15" t="s">
        <v>82</v>
      </c>
      <c r="C5" s="8">
        <v>17</v>
      </c>
    </row>
    <row r="6" spans="1:6" x14ac:dyDescent="0.25">
      <c r="A6" s="15" t="s">
        <v>84</v>
      </c>
      <c r="B6" s="15" t="s">
        <v>85</v>
      </c>
      <c r="C6" s="8">
        <v>20</v>
      </c>
    </row>
    <row r="7" spans="1:6" x14ac:dyDescent="0.25">
      <c r="A7" s="15" t="s">
        <v>87</v>
      </c>
      <c r="B7" s="15" t="s">
        <v>3332</v>
      </c>
      <c r="C7" s="8">
        <v>15</v>
      </c>
    </row>
    <row r="8" spans="1:6" x14ac:dyDescent="0.25">
      <c r="A8" s="15" t="s">
        <v>90</v>
      </c>
      <c r="B8" s="15" t="s">
        <v>3333</v>
      </c>
      <c r="C8" s="8">
        <v>12</v>
      </c>
    </row>
    <row r="9" spans="1:6" x14ac:dyDescent="0.25">
      <c r="A9" s="15" t="s">
        <v>92</v>
      </c>
      <c r="B9" s="15" t="s">
        <v>93</v>
      </c>
      <c r="C9" s="8">
        <v>16</v>
      </c>
    </row>
    <row r="10" spans="1:6" x14ac:dyDescent="0.25">
      <c r="A10" s="15" t="s">
        <v>114</v>
      </c>
      <c r="B10" s="15" t="s">
        <v>3334</v>
      </c>
      <c r="C10" s="8">
        <v>11</v>
      </c>
    </row>
    <row r="11" spans="1:6" x14ac:dyDescent="0.25">
      <c r="A11" s="15" t="s">
        <v>140</v>
      </c>
      <c r="B11" s="15" t="s">
        <v>3335</v>
      </c>
      <c r="C11" s="8">
        <v>14</v>
      </c>
    </row>
    <row r="12" spans="1:6" x14ac:dyDescent="0.25">
      <c r="A12" s="15" t="s">
        <v>142</v>
      </c>
      <c r="B12" s="15" t="s">
        <v>3336</v>
      </c>
      <c r="C12" s="8">
        <v>10</v>
      </c>
    </row>
    <row r="13" spans="1:6" x14ac:dyDescent="0.25">
      <c r="A13" s="15" t="s">
        <v>168</v>
      </c>
      <c r="B13" s="15" t="s">
        <v>169</v>
      </c>
      <c r="C13" s="8">
        <v>6</v>
      </c>
    </row>
    <row r="14" spans="1:6" x14ac:dyDescent="0.25">
      <c r="A14" s="15" t="s">
        <v>174</v>
      </c>
      <c r="B14" s="15" t="s">
        <v>3337</v>
      </c>
      <c r="C14" s="8">
        <v>11</v>
      </c>
    </row>
    <row r="15" spans="1:6" x14ac:dyDescent="0.25">
      <c r="A15" s="15" t="s">
        <v>178</v>
      </c>
      <c r="B15" s="15" t="s">
        <v>179</v>
      </c>
      <c r="C15" s="8">
        <v>10</v>
      </c>
    </row>
    <row r="16" spans="1:6" x14ac:dyDescent="0.25">
      <c r="A16" s="15" t="s">
        <v>180</v>
      </c>
      <c r="B16" s="15" t="s">
        <v>181</v>
      </c>
      <c r="C16" s="8">
        <v>16</v>
      </c>
    </row>
    <row r="17" spans="1:3" x14ac:dyDescent="0.25">
      <c r="A17" s="15" t="s">
        <v>186</v>
      </c>
      <c r="B17" s="15" t="s">
        <v>187</v>
      </c>
      <c r="C17" s="8">
        <v>4</v>
      </c>
    </row>
    <row r="18" spans="1:3" x14ac:dyDescent="0.25">
      <c r="A18" s="15" t="s">
        <v>188</v>
      </c>
      <c r="B18" s="15" t="s">
        <v>189</v>
      </c>
      <c r="C18" s="8">
        <v>20</v>
      </c>
    </row>
    <row r="19" spans="1:3" x14ac:dyDescent="0.25">
      <c r="A19" s="15" t="s">
        <v>192</v>
      </c>
      <c r="B19" s="15" t="s">
        <v>193</v>
      </c>
      <c r="C19" s="8">
        <v>18</v>
      </c>
    </row>
    <row r="20" spans="1:3" x14ac:dyDescent="0.25">
      <c r="A20" s="15" t="s">
        <v>194</v>
      </c>
      <c r="B20" s="15" t="s">
        <v>3338</v>
      </c>
      <c r="C20" s="8">
        <v>14</v>
      </c>
    </row>
    <row r="21" spans="1:3" x14ac:dyDescent="0.25">
      <c r="A21" s="15" t="s">
        <v>196</v>
      </c>
      <c r="B21" s="15" t="s">
        <v>197</v>
      </c>
      <c r="C21" s="8">
        <v>7</v>
      </c>
    </row>
    <row r="22" spans="1:3" x14ac:dyDescent="0.25">
      <c r="A22" s="15" t="s">
        <v>198</v>
      </c>
      <c r="B22" s="15" t="s">
        <v>199</v>
      </c>
      <c r="C22" s="8">
        <v>22</v>
      </c>
    </row>
    <row r="23" spans="1:3" x14ac:dyDescent="0.25">
      <c r="A23" s="15" t="s">
        <v>200</v>
      </c>
      <c r="B23" s="15" t="s">
        <v>201</v>
      </c>
      <c r="C23" s="8">
        <v>7</v>
      </c>
    </row>
    <row r="24" spans="1:3" x14ac:dyDescent="0.25">
      <c r="A24" s="15" t="s">
        <v>204</v>
      </c>
      <c r="B24" s="15" t="s">
        <v>3339</v>
      </c>
      <c r="C24" s="8">
        <v>20</v>
      </c>
    </row>
    <row r="25" spans="1:3" x14ac:dyDescent="0.25">
      <c r="A25" s="15" t="s">
        <v>206</v>
      </c>
      <c r="B25" s="15" t="s">
        <v>3340</v>
      </c>
      <c r="C25" s="8">
        <v>13</v>
      </c>
    </row>
    <row r="26" spans="1:3" x14ac:dyDescent="0.25">
      <c r="A26" s="15" t="s">
        <v>214</v>
      </c>
      <c r="B26" s="15" t="s">
        <v>215</v>
      </c>
      <c r="C26" s="8">
        <v>17</v>
      </c>
    </row>
    <row r="27" spans="1:3" x14ac:dyDescent="0.25">
      <c r="A27" s="15" t="s">
        <v>216</v>
      </c>
      <c r="B27" s="15" t="s">
        <v>217</v>
      </c>
      <c r="C27" s="8">
        <v>12</v>
      </c>
    </row>
    <row r="28" spans="1:3" x14ac:dyDescent="0.25">
      <c r="A28" s="15" t="s">
        <v>218</v>
      </c>
      <c r="B28" s="15" t="s">
        <v>3341</v>
      </c>
      <c r="C28" s="8">
        <v>3</v>
      </c>
    </row>
    <row r="29" spans="1:3" x14ac:dyDescent="0.25">
      <c r="A29" s="15" t="s">
        <v>220</v>
      </c>
      <c r="B29" s="15" t="s">
        <v>3342</v>
      </c>
      <c r="C29" s="8">
        <v>12</v>
      </c>
    </row>
    <row r="30" spans="1:3" x14ac:dyDescent="0.25">
      <c r="A30" s="15" t="s">
        <v>221</v>
      </c>
      <c r="B30" s="15" t="s">
        <v>222</v>
      </c>
      <c r="C30" s="8">
        <v>20</v>
      </c>
    </row>
    <row r="31" spans="1:3" x14ac:dyDescent="0.25">
      <c r="A31" s="15" t="s">
        <v>223</v>
      </c>
      <c r="B31" s="15" t="s">
        <v>3343</v>
      </c>
      <c r="C31" s="8">
        <v>5</v>
      </c>
    </row>
    <row r="32" spans="1:3" x14ac:dyDescent="0.25">
      <c r="A32" s="15" t="s">
        <v>227</v>
      </c>
      <c r="B32" s="15" t="s">
        <v>228</v>
      </c>
      <c r="C32" s="8">
        <v>21</v>
      </c>
    </row>
    <row r="33" spans="1:3" x14ac:dyDescent="0.25">
      <c r="A33" s="15" t="s">
        <v>229</v>
      </c>
      <c r="B33" s="15" t="s">
        <v>230</v>
      </c>
      <c r="C33" s="8">
        <v>20</v>
      </c>
    </row>
    <row r="34" spans="1:3" x14ac:dyDescent="0.25">
      <c r="A34" s="15" t="s">
        <v>231</v>
      </c>
      <c r="B34" s="15" t="s">
        <v>232</v>
      </c>
      <c r="C34" s="8">
        <v>6</v>
      </c>
    </row>
    <row r="35" spans="1:3" x14ac:dyDescent="0.25">
      <c r="A35" s="15" t="s">
        <v>233</v>
      </c>
      <c r="B35" s="15" t="s">
        <v>234</v>
      </c>
      <c r="C35" s="8">
        <v>9</v>
      </c>
    </row>
    <row r="36" spans="1:3" x14ac:dyDescent="0.25">
      <c r="A36" s="15" t="s">
        <v>235</v>
      </c>
      <c r="B36" s="15" t="s">
        <v>236</v>
      </c>
      <c r="C36" s="8">
        <v>6</v>
      </c>
    </row>
    <row r="37" spans="1:3" x14ac:dyDescent="0.25">
      <c r="A37" s="15" t="s">
        <v>237</v>
      </c>
      <c r="B37" s="15" t="s">
        <v>238</v>
      </c>
      <c r="C37" s="8">
        <v>5</v>
      </c>
    </row>
    <row r="38" spans="1:3" x14ac:dyDescent="0.25">
      <c r="A38" s="15" t="s">
        <v>239</v>
      </c>
      <c r="B38" s="15" t="s">
        <v>240</v>
      </c>
      <c r="C38" s="8">
        <v>14</v>
      </c>
    </row>
    <row r="39" spans="1:3" x14ac:dyDescent="0.25">
      <c r="A39" s="15" t="s">
        <v>241</v>
      </c>
      <c r="B39" s="15" t="s">
        <v>242</v>
      </c>
      <c r="C39" s="8">
        <v>15</v>
      </c>
    </row>
    <row r="40" spans="1:3" x14ac:dyDescent="0.25">
      <c r="A40" s="15" t="s">
        <v>243</v>
      </c>
      <c r="B40" s="15" t="s">
        <v>244</v>
      </c>
      <c r="C40" s="8">
        <v>7</v>
      </c>
    </row>
    <row r="41" spans="1:3" x14ac:dyDescent="0.25">
      <c r="A41" s="15" t="s">
        <v>245</v>
      </c>
      <c r="B41" s="15" t="s">
        <v>246</v>
      </c>
      <c r="C41" s="8">
        <v>3</v>
      </c>
    </row>
    <row r="42" spans="1:3" x14ac:dyDescent="0.25">
      <c r="A42" s="15" t="s">
        <v>247</v>
      </c>
      <c r="B42" s="15" t="s">
        <v>248</v>
      </c>
      <c r="C42" s="8">
        <v>8</v>
      </c>
    </row>
    <row r="43" spans="1:3" x14ac:dyDescent="0.25">
      <c r="A43" s="15" t="s">
        <v>249</v>
      </c>
      <c r="B43" s="15" t="s">
        <v>3344</v>
      </c>
      <c r="C43" s="8">
        <v>34</v>
      </c>
    </row>
    <row r="44" spans="1:3" x14ac:dyDescent="0.25">
      <c r="A44" s="15" t="s">
        <v>251</v>
      </c>
      <c r="B44" s="15" t="s">
        <v>252</v>
      </c>
      <c r="C44" s="8">
        <v>10</v>
      </c>
    </row>
    <row r="45" spans="1:3" x14ac:dyDescent="0.25">
      <c r="A45" s="15" t="s">
        <v>253</v>
      </c>
      <c r="B45" s="15" t="s">
        <v>254</v>
      </c>
      <c r="C45" s="8">
        <v>8</v>
      </c>
    </row>
    <row r="46" spans="1:3" x14ac:dyDescent="0.25">
      <c r="A46" s="15" t="s">
        <v>255</v>
      </c>
      <c r="B46" s="15" t="s">
        <v>256</v>
      </c>
      <c r="C46" s="8">
        <v>6</v>
      </c>
    </row>
    <row r="47" spans="1:3" x14ac:dyDescent="0.25">
      <c r="A47" s="15" t="s">
        <v>257</v>
      </c>
      <c r="B47" s="15" t="s">
        <v>258</v>
      </c>
      <c r="C47" s="8">
        <v>16</v>
      </c>
    </row>
    <row r="48" spans="1:3" x14ac:dyDescent="0.25">
      <c r="A48" s="15" t="s">
        <v>259</v>
      </c>
      <c r="B48" s="15" t="s">
        <v>260</v>
      </c>
      <c r="C48" s="8">
        <v>9</v>
      </c>
    </row>
    <row r="49" spans="1:3" x14ac:dyDescent="0.25">
      <c r="A49" s="15" t="s">
        <v>261</v>
      </c>
      <c r="B49" s="15" t="s">
        <v>262</v>
      </c>
      <c r="C49" s="8">
        <v>21</v>
      </c>
    </row>
    <row r="50" spans="1:3" x14ac:dyDescent="0.25">
      <c r="A50" s="15" t="s">
        <v>263</v>
      </c>
      <c r="B50" s="15" t="s">
        <v>264</v>
      </c>
      <c r="C50" s="8">
        <v>16</v>
      </c>
    </row>
    <row r="51" spans="1:3" x14ac:dyDescent="0.25">
      <c r="A51" s="15" t="s">
        <v>267</v>
      </c>
      <c r="B51" s="15" t="s">
        <v>268</v>
      </c>
      <c r="C51" s="8">
        <v>29</v>
      </c>
    </row>
    <row r="52" spans="1:3" x14ac:dyDescent="0.25">
      <c r="A52" s="15" t="s">
        <v>269</v>
      </c>
      <c r="B52" s="15" t="s">
        <v>270</v>
      </c>
      <c r="C52" s="8">
        <v>8</v>
      </c>
    </row>
    <row r="53" spans="1:3" x14ac:dyDescent="0.25">
      <c r="A53" s="15" t="s">
        <v>3345</v>
      </c>
      <c r="B53" s="15" t="s">
        <v>3346</v>
      </c>
      <c r="C53" s="8">
        <v>3</v>
      </c>
    </row>
    <row r="54" spans="1:3" x14ac:dyDescent="0.25">
      <c r="A54" s="15" t="s">
        <v>271</v>
      </c>
      <c r="B54" s="15" t="s">
        <v>272</v>
      </c>
      <c r="C54" s="8">
        <v>15</v>
      </c>
    </row>
    <row r="55" spans="1:3" x14ac:dyDescent="0.25">
      <c r="A55" s="15" t="s">
        <v>273</v>
      </c>
      <c r="B55" s="15" t="s">
        <v>274</v>
      </c>
      <c r="C55" s="8">
        <v>7</v>
      </c>
    </row>
    <row r="56" spans="1:3" x14ac:dyDescent="0.25">
      <c r="A56" s="15" t="s">
        <v>275</v>
      </c>
      <c r="B56" s="15" t="s">
        <v>276</v>
      </c>
      <c r="C56" s="8">
        <v>13</v>
      </c>
    </row>
    <row r="57" spans="1:3" x14ac:dyDescent="0.25">
      <c r="A57" s="15" t="s">
        <v>277</v>
      </c>
      <c r="B57" s="15" t="s">
        <v>278</v>
      </c>
      <c r="C57" s="8">
        <v>21</v>
      </c>
    </row>
    <row r="58" spans="1:3" x14ac:dyDescent="0.25">
      <c r="A58" s="15" t="s">
        <v>279</v>
      </c>
      <c r="B58" s="15" t="s">
        <v>280</v>
      </c>
      <c r="C58" s="8">
        <v>4</v>
      </c>
    </row>
    <row r="59" spans="1:3" x14ac:dyDescent="0.25">
      <c r="A59" s="15" t="s">
        <v>281</v>
      </c>
      <c r="B59" s="15" t="s">
        <v>282</v>
      </c>
      <c r="C59" s="8">
        <v>11</v>
      </c>
    </row>
    <row r="60" spans="1:3" x14ac:dyDescent="0.25">
      <c r="A60" s="15" t="s">
        <v>285</v>
      </c>
      <c r="B60" s="15" t="s">
        <v>286</v>
      </c>
      <c r="C60" s="8">
        <v>10</v>
      </c>
    </row>
    <row r="61" spans="1:3" x14ac:dyDescent="0.25">
      <c r="A61" s="15" t="s">
        <v>287</v>
      </c>
      <c r="B61" s="15" t="s">
        <v>288</v>
      </c>
      <c r="C61" s="8">
        <v>9</v>
      </c>
    </row>
    <row r="62" spans="1:3" x14ac:dyDescent="0.25">
      <c r="A62" s="15" t="s">
        <v>289</v>
      </c>
      <c r="B62" s="15" t="s">
        <v>290</v>
      </c>
      <c r="C62" s="8">
        <v>18</v>
      </c>
    </row>
    <row r="63" spans="1:3" x14ac:dyDescent="0.25">
      <c r="A63" s="15" t="s">
        <v>291</v>
      </c>
      <c r="B63" s="15" t="s">
        <v>292</v>
      </c>
      <c r="C63" s="8">
        <v>26</v>
      </c>
    </row>
    <row r="64" spans="1:3" x14ac:dyDescent="0.25">
      <c r="A64" s="15" t="s">
        <v>293</v>
      </c>
      <c r="B64" s="15" t="s">
        <v>294</v>
      </c>
      <c r="C64" s="8">
        <v>18</v>
      </c>
    </row>
    <row r="65" spans="1:3" x14ac:dyDescent="0.25">
      <c r="A65" s="15" t="s">
        <v>295</v>
      </c>
      <c r="B65" s="15" t="s">
        <v>296</v>
      </c>
      <c r="C65" s="8">
        <v>15</v>
      </c>
    </row>
    <row r="66" spans="1:3" x14ac:dyDescent="0.25">
      <c r="A66" s="15" t="s">
        <v>297</v>
      </c>
      <c r="B66" s="15" t="s">
        <v>298</v>
      </c>
      <c r="C66" s="8">
        <v>14</v>
      </c>
    </row>
    <row r="67" spans="1:3" x14ac:dyDescent="0.25">
      <c r="A67" s="15" t="s">
        <v>299</v>
      </c>
      <c r="B67" s="15" t="s">
        <v>300</v>
      </c>
      <c r="C67" s="8">
        <v>6</v>
      </c>
    </row>
    <row r="68" spans="1:3" x14ac:dyDescent="0.25">
      <c r="A68" s="15" t="s">
        <v>301</v>
      </c>
      <c r="B68" s="15" t="s">
        <v>302</v>
      </c>
      <c r="C68" s="8">
        <v>20</v>
      </c>
    </row>
    <row r="69" spans="1:3" x14ac:dyDescent="0.25">
      <c r="A69" s="15" t="s">
        <v>303</v>
      </c>
      <c r="B69" s="15" t="s">
        <v>304</v>
      </c>
      <c r="C69" s="8">
        <v>17</v>
      </c>
    </row>
    <row r="70" spans="1:3" x14ac:dyDescent="0.25">
      <c r="A70" s="15" t="s">
        <v>305</v>
      </c>
      <c r="B70" s="15" t="s">
        <v>306</v>
      </c>
      <c r="C70" s="8">
        <v>16</v>
      </c>
    </row>
    <row r="71" spans="1:3" x14ac:dyDescent="0.25">
      <c r="A71" s="15" t="s">
        <v>307</v>
      </c>
      <c r="B71" s="15" t="s">
        <v>308</v>
      </c>
      <c r="C71" s="8">
        <v>18</v>
      </c>
    </row>
    <row r="72" spans="1:3" x14ac:dyDescent="0.25">
      <c r="A72" s="15" t="s">
        <v>309</v>
      </c>
      <c r="B72" s="15" t="s">
        <v>310</v>
      </c>
      <c r="C72" s="8">
        <v>7</v>
      </c>
    </row>
    <row r="73" spans="1:3" x14ac:dyDescent="0.25">
      <c r="A73" s="15" t="s">
        <v>311</v>
      </c>
      <c r="B73" s="15" t="s">
        <v>312</v>
      </c>
      <c r="C73" s="8">
        <v>11</v>
      </c>
    </row>
    <row r="74" spans="1:3" x14ac:dyDescent="0.25">
      <c r="A74" s="15" t="s">
        <v>313</v>
      </c>
      <c r="B74" s="15" t="s">
        <v>314</v>
      </c>
      <c r="C74" s="8">
        <v>19</v>
      </c>
    </row>
    <row r="75" spans="1:3" x14ac:dyDescent="0.25">
      <c r="A75" s="15" t="s">
        <v>315</v>
      </c>
      <c r="B75" s="15" t="s">
        <v>316</v>
      </c>
      <c r="C75" s="8">
        <v>24</v>
      </c>
    </row>
    <row r="76" spans="1:3" x14ac:dyDescent="0.25">
      <c r="A76" s="15" t="s">
        <v>317</v>
      </c>
      <c r="B76" s="15" t="s">
        <v>318</v>
      </c>
      <c r="C76" s="8">
        <v>8</v>
      </c>
    </row>
    <row r="77" spans="1:3" x14ac:dyDescent="0.25">
      <c r="A77" s="15" t="s">
        <v>319</v>
      </c>
      <c r="B77" s="15" t="s">
        <v>320</v>
      </c>
      <c r="C77" s="8">
        <v>25</v>
      </c>
    </row>
    <row r="78" spans="1:3" x14ac:dyDescent="0.25">
      <c r="A78" s="15" t="s">
        <v>321</v>
      </c>
      <c r="B78" s="15" t="s">
        <v>322</v>
      </c>
      <c r="C78" s="8">
        <v>9</v>
      </c>
    </row>
    <row r="79" spans="1:3" x14ac:dyDescent="0.25">
      <c r="A79" s="15" t="s">
        <v>323</v>
      </c>
      <c r="B79" s="15" t="s">
        <v>324</v>
      </c>
      <c r="C79" s="8">
        <v>24</v>
      </c>
    </row>
    <row r="80" spans="1:3" x14ac:dyDescent="0.25">
      <c r="A80" s="15" t="s">
        <v>325</v>
      </c>
      <c r="B80" s="15" t="s">
        <v>326</v>
      </c>
      <c r="C80" s="8">
        <v>18</v>
      </c>
    </row>
    <row r="81" spans="1:3" x14ac:dyDescent="0.25">
      <c r="A81" s="15" t="s">
        <v>327</v>
      </c>
      <c r="B81" s="15" t="s">
        <v>3347</v>
      </c>
      <c r="C81" s="8">
        <v>9</v>
      </c>
    </row>
    <row r="82" spans="1:3" x14ac:dyDescent="0.25">
      <c r="A82" s="15" t="s">
        <v>376</v>
      </c>
      <c r="B82" s="15" t="s">
        <v>377</v>
      </c>
      <c r="C82" s="8">
        <v>1</v>
      </c>
    </row>
    <row r="83" spans="1:3" x14ac:dyDescent="0.25">
      <c r="A83" s="15" t="s">
        <v>3348</v>
      </c>
      <c r="B83" s="15" t="s">
        <v>3349</v>
      </c>
      <c r="C83" s="8">
        <v>7</v>
      </c>
    </row>
    <row r="84" spans="1:3" x14ac:dyDescent="0.25">
      <c r="A84" s="15" t="s">
        <v>378</v>
      </c>
      <c r="B84" s="15" t="s">
        <v>379</v>
      </c>
      <c r="C84" s="8">
        <v>5</v>
      </c>
    </row>
    <row r="85" spans="1:3" x14ac:dyDescent="0.25">
      <c r="A85" s="15" t="s">
        <v>384</v>
      </c>
      <c r="B85" s="15" t="s">
        <v>385</v>
      </c>
      <c r="C85" s="8">
        <v>14</v>
      </c>
    </row>
    <row r="86" spans="1:3" x14ac:dyDescent="0.25">
      <c r="A86" s="15" t="s">
        <v>386</v>
      </c>
      <c r="B86" s="15" t="s">
        <v>387</v>
      </c>
      <c r="C86" s="8">
        <v>15</v>
      </c>
    </row>
    <row r="87" spans="1:3" x14ac:dyDescent="0.25">
      <c r="A87" s="15" t="s">
        <v>388</v>
      </c>
      <c r="B87" s="15" t="s">
        <v>389</v>
      </c>
      <c r="C87" s="8">
        <v>43</v>
      </c>
    </row>
    <row r="88" spans="1:3" x14ac:dyDescent="0.25">
      <c r="A88" s="15" t="s">
        <v>390</v>
      </c>
      <c r="B88" s="15" t="s">
        <v>3350</v>
      </c>
      <c r="C88" s="8">
        <v>13</v>
      </c>
    </row>
    <row r="89" spans="1:3" x14ac:dyDescent="0.25">
      <c r="A89" s="15" t="s">
        <v>393</v>
      </c>
      <c r="B89" s="15" t="s">
        <v>394</v>
      </c>
      <c r="C89" s="8">
        <v>8</v>
      </c>
    </row>
    <row r="90" spans="1:3" x14ac:dyDescent="0.25">
      <c r="A90" s="15" t="s">
        <v>399</v>
      </c>
      <c r="B90" s="15" t="s">
        <v>400</v>
      </c>
      <c r="C90" s="8">
        <v>19</v>
      </c>
    </row>
    <row r="91" spans="1:3" x14ac:dyDescent="0.25">
      <c r="A91" s="15" t="s">
        <v>401</v>
      </c>
      <c r="B91" s="15" t="s">
        <v>3351</v>
      </c>
      <c r="C91" s="8">
        <v>40</v>
      </c>
    </row>
    <row r="92" spans="1:3" x14ac:dyDescent="0.25">
      <c r="A92" s="15" t="s">
        <v>403</v>
      </c>
      <c r="B92" s="15" t="s">
        <v>3352</v>
      </c>
      <c r="C92" s="8">
        <v>17</v>
      </c>
    </row>
    <row r="93" spans="1:3" x14ac:dyDescent="0.25">
      <c r="A93" s="15" t="s">
        <v>405</v>
      </c>
      <c r="B93" s="15" t="s">
        <v>406</v>
      </c>
      <c r="C93" s="8">
        <v>12</v>
      </c>
    </row>
    <row r="94" spans="1:3" x14ac:dyDescent="0.25">
      <c r="A94" s="15" t="s">
        <v>407</v>
      </c>
      <c r="B94" s="15" t="s">
        <v>408</v>
      </c>
      <c r="C94" s="8">
        <v>10</v>
      </c>
    </row>
    <row r="95" spans="1:3" x14ac:dyDescent="0.25">
      <c r="A95" s="15" t="s">
        <v>411</v>
      </c>
      <c r="B95" s="15" t="s">
        <v>412</v>
      </c>
      <c r="C95" s="8">
        <v>7</v>
      </c>
    </row>
    <row r="96" spans="1:3" x14ac:dyDescent="0.25">
      <c r="A96" s="15" t="s">
        <v>413</v>
      </c>
      <c r="B96" s="15" t="s">
        <v>414</v>
      </c>
      <c r="C96" s="8">
        <v>13</v>
      </c>
    </row>
    <row r="97" spans="1:3" x14ac:dyDescent="0.25">
      <c r="A97" s="15" t="s">
        <v>458</v>
      </c>
      <c r="B97" s="15" t="s">
        <v>459</v>
      </c>
      <c r="C97" s="8">
        <v>8</v>
      </c>
    </row>
    <row r="98" spans="1:3" x14ac:dyDescent="0.25">
      <c r="A98" s="15" t="s">
        <v>462</v>
      </c>
      <c r="B98" s="15" t="s">
        <v>3353</v>
      </c>
      <c r="C98" s="8">
        <v>3</v>
      </c>
    </row>
    <row r="99" spans="1:3" x14ac:dyDescent="0.25">
      <c r="A99" s="15" t="s">
        <v>468</v>
      </c>
      <c r="B99" s="15" t="s">
        <v>469</v>
      </c>
      <c r="C99" s="8">
        <v>6</v>
      </c>
    </row>
    <row r="100" spans="1:3" x14ac:dyDescent="0.25">
      <c r="A100" s="15" t="s">
        <v>470</v>
      </c>
      <c r="B100" s="15" t="s">
        <v>471</v>
      </c>
      <c r="C100" s="8">
        <v>17</v>
      </c>
    </row>
    <row r="101" spans="1:3" x14ac:dyDescent="0.25">
      <c r="A101" s="15" t="s">
        <v>474</v>
      </c>
      <c r="B101" s="15" t="s">
        <v>475</v>
      </c>
      <c r="C101" s="8">
        <v>17</v>
      </c>
    </row>
    <row r="102" spans="1:3" x14ac:dyDescent="0.25">
      <c r="A102" s="15" t="s">
        <v>476</v>
      </c>
      <c r="B102" s="15" t="s">
        <v>477</v>
      </c>
      <c r="C102" s="8">
        <v>3</v>
      </c>
    </row>
    <row r="103" spans="1:3" x14ac:dyDescent="0.25">
      <c r="A103" s="15" t="s">
        <v>3354</v>
      </c>
      <c r="B103" s="15" t="s">
        <v>410</v>
      </c>
      <c r="C103" s="8">
        <v>6</v>
      </c>
    </row>
    <row r="104" spans="1:3" x14ac:dyDescent="0.25">
      <c r="A104" s="15" t="s">
        <v>478</v>
      </c>
      <c r="B104" s="15" t="s">
        <v>479</v>
      </c>
      <c r="C104" s="8">
        <v>7</v>
      </c>
    </row>
    <row r="105" spans="1:3" x14ac:dyDescent="0.25">
      <c r="A105" s="15" t="s">
        <v>504</v>
      </c>
      <c r="B105" s="15" t="s">
        <v>505</v>
      </c>
      <c r="C105" s="8">
        <v>19</v>
      </c>
    </row>
    <row r="106" spans="1:3" x14ac:dyDescent="0.25">
      <c r="A106" s="15" t="s">
        <v>508</v>
      </c>
      <c r="B106" s="15" t="s">
        <v>509</v>
      </c>
      <c r="C106" s="8">
        <v>9</v>
      </c>
    </row>
    <row r="107" spans="1:3" x14ac:dyDescent="0.25">
      <c r="A107" s="15" t="s">
        <v>521</v>
      </c>
      <c r="B107" s="15" t="s">
        <v>522</v>
      </c>
      <c r="C107" s="8">
        <v>18</v>
      </c>
    </row>
    <row r="108" spans="1:3" x14ac:dyDescent="0.25">
      <c r="A108" s="15" t="s">
        <v>525</v>
      </c>
      <c r="B108" s="15" t="s">
        <v>526</v>
      </c>
      <c r="C108" s="8">
        <v>18</v>
      </c>
    </row>
    <row r="109" spans="1:3" x14ac:dyDescent="0.25">
      <c r="A109" s="15" t="s">
        <v>529</v>
      </c>
      <c r="B109" s="15" t="s">
        <v>530</v>
      </c>
      <c r="C109" s="8">
        <v>10</v>
      </c>
    </row>
    <row r="110" spans="1:3" x14ac:dyDescent="0.25">
      <c r="A110" s="15" t="s">
        <v>531</v>
      </c>
      <c r="B110" s="15" t="s">
        <v>532</v>
      </c>
      <c r="C110" s="8">
        <v>3</v>
      </c>
    </row>
    <row r="111" spans="1:3" x14ac:dyDescent="0.25">
      <c r="A111" s="15" t="s">
        <v>535</v>
      </c>
      <c r="B111" s="15" t="s">
        <v>536</v>
      </c>
      <c r="C111" s="8">
        <v>21</v>
      </c>
    </row>
    <row r="112" spans="1:3" x14ac:dyDescent="0.25">
      <c r="A112" s="15" t="s">
        <v>541</v>
      </c>
      <c r="B112" s="15" t="s">
        <v>3355</v>
      </c>
      <c r="C112" s="8">
        <v>20</v>
      </c>
    </row>
    <row r="113" spans="1:3" x14ac:dyDescent="0.25">
      <c r="A113" s="15" t="s">
        <v>543</v>
      </c>
      <c r="B113" s="15" t="s">
        <v>3356</v>
      </c>
      <c r="C113" s="8">
        <v>13</v>
      </c>
    </row>
    <row r="114" spans="1:3" x14ac:dyDescent="0.25">
      <c r="A114" s="15" t="s">
        <v>591</v>
      </c>
      <c r="B114" s="15" t="s">
        <v>3357</v>
      </c>
      <c r="C114" s="8">
        <v>25</v>
      </c>
    </row>
    <row r="115" spans="1:3" x14ac:dyDescent="0.25">
      <c r="A115" s="15" t="s">
        <v>597</v>
      </c>
      <c r="B115" s="15" t="s">
        <v>3358</v>
      </c>
      <c r="C115" s="8">
        <v>4</v>
      </c>
    </row>
    <row r="116" spans="1:3" x14ac:dyDescent="0.25">
      <c r="A116" s="15" t="s">
        <v>611</v>
      </c>
      <c r="B116" s="15" t="s">
        <v>612</v>
      </c>
      <c r="C116" s="8">
        <v>0</v>
      </c>
    </row>
    <row r="117" spans="1:3" x14ac:dyDescent="0.25">
      <c r="A117" s="15" t="s">
        <v>613</v>
      </c>
      <c r="B117" s="15" t="s">
        <v>614</v>
      </c>
      <c r="C117" s="8">
        <v>20</v>
      </c>
    </row>
    <row r="118" spans="1:3" x14ac:dyDescent="0.25">
      <c r="A118" s="15" t="s">
        <v>620</v>
      </c>
      <c r="B118" s="15" t="s">
        <v>621</v>
      </c>
      <c r="C118" s="8">
        <v>30</v>
      </c>
    </row>
    <row r="119" spans="1:3" x14ac:dyDescent="0.25">
      <c r="A119" s="15" t="s">
        <v>622</v>
      </c>
      <c r="B119" s="15" t="s">
        <v>623</v>
      </c>
      <c r="C119" s="8">
        <v>13</v>
      </c>
    </row>
    <row r="120" spans="1:3" x14ac:dyDescent="0.25">
      <c r="A120" s="15" t="s">
        <v>624</v>
      </c>
      <c r="B120" s="15" t="s">
        <v>625</v>
      </c>
      <c r="C120" s="8">
        <v>12</v>
      </c>
    </row>
    <row r="121" spans="1:3" x14ac:dyDescent="0.25">
      <c r="A121" s="15" t="s">
        <v>626</v>
      </c>
      <c r="B121" s="15" t="s">
        <v>627</v>
      </c>
      <c r="C121" s="8">
        <v>12</v>
      </c>
    </row>
    <row r="122" spans="1:3" x14ac:dyDescent="0.25">
      <c r="A122" s="15" t="s">
        <v>628</v>
      </c>
      <c r="B122" s="15" t="s">
        <v>629</v>
      </c>
      <c r="C122" s="8">
        <v>7</v>
      </c>
    </row>
    <row r="123" spans="1:3" x14ac:dyDescent="0.25">
      <c r="A123" s="15" t="s">
        <v>634</v>
      </c>
      <c r="B123" s="15" t="s">
        <v>635</v>
      </c>
      <c r="C123" s="8">
        <v>22</v>
      </c>
    </row>
    <row r="124" spans="1:3" x14ac:dyDescent="0.25">
      <c r="A124" s="15" t="s">
        <v>636</v>
      </c>
      <c r="B124" s="15" t="s">
        <v>3359</v>
      </c>
      <c r="C124" s="8">
        <v>12</v>
      </c>
    </row>
    <row r="125" spans="1:3" x14ac:dyDescent="0.25">
      <c r="A125" s="15" t="s">
        <v>667</v>
      </c>
      <c r="B125" s="15" t="s">
        <v>668</v>
      </c>
      <c r="C125" s="8">
        <v>12</v>
      </c>
    </row>
    <row r="126" spans="1:3" x14ac:dyDescent="0.25">
      <c r="A126" s="15" t="s">
        <v>669</v>
      </c>
      <c r="B126" s="15" t="s">
        <v>3360</v>
      </c>
      <c r="C126" s="8">
        <v>28</v>
      </c>
    </row>
    <row r="127" spans="1:3" x14ac:dyDescent="0.25">
      <c r="A127" s="15" t="s">
        <v>673</v>
      </c>
      <c r="B127" s="15" t="s">
        <v>3361</v>
      </c>
      <c r="C127" s="8">
        <v>26</v>
      </c>
    </row>
    <row r="128" spans="1:3" x14ac:dyDescent="0.25">
      <c r="A128" s="15" t="s">
        <v>681</v>
      </c>
      <c r="B128" s="15" t="s">
        <v>682</v>
      </c>
      <c r="C128" s="8">
        <v>38</v>
      </c>
    </row>
    <row r="129" spans="1:3" x14ac:dyDescent="0.25">
      <c r="A129" s="15" t="s">
        <v>689</v>
      </c>
      <c r="B129" s="15" t="s">
        <v>690</v>
      </c>
      <c r="C129" s="8">
        <v>12</v>
      </c>
    </row>
    <row r="130" spans="1:3" x14ac:dyDescent="0.25">
      <c r="A130" s="15" t="s">
        <v>692</v>
      </c>
      <c r="B130" s="15" t="s">
        <v>693</v>
      </c>
      <c r="C130" s="8">
        <v>18</v>
      </c>
    </row>
    <row r="131" spans="1:3" x14ac:dyDescent="0.25">
      <c r="A131" s="15" t="s">
        <v>694</v>
      </c>
      <c r="B131" s="15" t="s">
        <v>695</v>
      </c>
      <c r="C131" s="8">
        <v>13</v>
      </c>
    </row>
    <row r="132" spans="1:3" x14ac:dyDescent="0.25">
      <c r="A132" s="15" t="s">
        <v>696</v>
      </c>
      <c r="B132" s="15" t="s">
        <v>697</v>
      </c>
      <c r="C132" s="8">
        <v>13</v>
      </c>
    </row>
    <row r="133" spans="1:3" x14ac:dyDescent="0.25">
      <c r="A133" s="15" t="s">
        <v>698</v>
      </c>
      <c r="B133" s="15" t="s">
        <v>699</v>
      </c>
      <c r="C133" s="8">
        <v>20</v>
      </c>
    </row>
    <row r="134" spans="1:3" x14ac:dyDescent="0.25">
      <c r="A134" s="15" t="s">
        <v>700</v>
      </c>
      <c r="B134" s="15" t="s">
        <v>701</v>
      </c>
      <c r="C134" s="8">
        <v>15</v>
      </c>
    </row>
    <row r="135" spans="1:3" x14ac:dyDescent="0.25">
      <c r="A135" s="15" t="s">
        <v>702</v>
      </c>
      <c r="B135" s="15" t="s">
        <v>703</v>
      </c>
      <c r="C135" s="8">
        <v>35</v>
      </c>
    </row>
    <row r="136" spans="1:3" x14ac:dyDescent="0.25">
      <c r="A136" s="15" t="s">
        <v>704</v>
      </c>
      <c r="B136" s="15" t="s">
        <v>705</v>
      </c>
      <c r="C136" s="8">
        <v>10</v>
      </c>
    </row>
    <row r="137" spans="1:3" x14ac:dyDescent="0.25">
      <c r="A137" s="15" t="s">
        <v>706</v>
      </c>
      <c r="B137" s="15" t="s">
        <v>707</v>
      </c>
      <c r="C137" s="8">
        <v>12</v>
      </c>
    </row>
    <row r="138" spans="1:3" x14ac:dyDescent="0.25">
      <c r="A138" s="15" t="s">
        <v>708</v>
      </c>
      <c r="B138" s="15" t="s">
        <v>709</v>
      </c>
      <c r="C138" s="8">
        <v>11</v>
      </c>
    </row>
    <row r="139" spans="1:3" x14ac:dyDescent="0.25">
      <c r="A139" s="15" t="s">
        <v>710</v>
      </c>
      <c r="B139" s="15" t="s">
        <v>711</v>
      </c>
      <c r="C139" s="8">
        <v>11</v>
      </c>
    </row>
    <row r="140" spans="1:3" x14ac:dyDescent="0.25">
      <c r="A140" s="15" t="s">
        <v>714</v>
      </c>
      <c r="B140" s="15" t="s">
        <v>3362</v>
      </c>
      <c r="C140" s="8">
        <v>13</v>
      </c>
    </row>
    <row r="141" spans="1:3" x14ac:dyDescent="0.25">
      <c r="A141" s="15" t="s">
        <v>716</v>
      </c>
      <c r="B141" s="15" t="s">
        <v>3363</v>
      </c>
      <c r="C141" s="8">
        <v>13</v>
      </c>
    </row>
    <row r="142" spans="1:3" x14ac:dyDescent="0.25">
      <c r="A142" s="15" t="s">
        <v>720</v>
      </c>
      <c r="B142" s="15" t="s">
        <v>721</v>
      </c>
      <c r="C142" s="8">
        <v>28</v>
      </c>
    </row>
    <row r="143" spans="1:3" x14ac:dyDescent="0.25">
      <c r="A143" s="15" t="s">
        <v>766</v>
      </c>
      <c r="B143" s="15" t="s">
        <v>767</v>
      </c>
      <c r="C143" s="8">
        <v>19</v>
      </c>
    </row>
    <row r="144" spans="1:3" x14ac:dyDescent="0.25">
      <c r="A144" s="15" t="s">
        <v>768</v>
      </c>
      <c r="B144" s="15" t="s">
        <v>769</v>
      </c>
      <c r="C144" s="8">
        <v>17</v>
      </c>
    </row>
    <row r="145" spans="1:3" x14ac:dyDescent="0.25">
      <c r="A145" s="15" t="s">
        <v>770</v>
      </c>
      <c r="B145" s="15" t="s">
        <v>3364</v>
      </c>
      <c r="C145" s="8">
        <v>15</v>
      </c>
    </row>
    <row r="146" spans="1:3" x14ac:dyDescent="0.25">
      <c r="A146" s="15" t="s">
        <v>778</v>
      </c>
      <c r="B146" s="15" t="s">
        <v>779</v>
      </c>
      <c r="C146" s="8">
        <v>10</v>
      </c>
    </row>
    <row r="147" spans="1:3" x14ac:dyDescent="0.25">
      <c r="A147" s="15" t="s">
        <v>780</v>
      </c>
      <c r="B147" s="15" t="s">
        <v>781</v>
      </c>
      <c r="C147" s="8">
        <v>11</v>
      </c>
    </row>
    <row r="148" spans="1:3" x14ac:dyDescent="0.25">
      <c r="A148" s="15" t="s">
        <v>786</v>
      </c>
      <c r="B148" s="15" t="s">
        <v>787</v>
      </c>
      <c r="C148" s="8">
        <v>5</v>
      </c>
    </row>
    <row r="149" spans="1:3" x14ac:dyDescent="0.25">
      <c r="A149" s="15" t="s">
        <v>788</v>
      </c>
      <c r="B149" s="15" t="s">
        <v>789</v>
      </c>
      <c r="C149" s="8">
        <v>19</v>
      </c>
    </row>
    <row r="150" spans="1:3" x14ac:dyDescent="0.25">
      <c r="A150" s="15" t="s">
        <v>790</v>
      </c>
      <c r="B150" s="15" t="s">
        <v>3365</v>
      </c>
      <c r="C150" s="8">
        <v>8</v>
      </c>
    </row>
    <row r="151" spans="1:3" x14ac:dyDescent="0.25">
      <c r="A151" s="15" t="s">
        <v>797</v>
      </c>
      <c r="B151" s="15" t="s">
        <v>3366</v>
      </c>
      <c r="C151" s="8">
        <v>9</v>
      </c>
    </row>
    <row r="152" spans="1:3" x14ac:dyDescent="0.25">
      <c r="A152" s="15" t="s">
        <v>800</v>
      </c>
      <c r="B152" s="15" t="s">
        <v>801</v>
      </c>
      <c r="C152" s="8">
        <v>19</v>
      </c>
    </row>
    <row r="153" spans="1:3" x14ac:dyDescent="0.25">
      <c r="A153" s="15" t="s">
        <v>804</v>
      </c>
      <c r="B153" s="15" t="s">
        <v>805</v>
      </c>
      <c r="C153" s="8">
        <v>23</v>
      </c>
    </row>
    <row r="154" spans="1:3" x14ac:dyDescent="0.25">
      <c r="A154" s="15" t="s">
        <v>810</v>
      </c>
      <c r="B154" s="15" t="s">
        <v>811</v>
      </c>
      <c r="C154" s="8">
        <v>12</v>
      </c>
    </row>
    <row r="155" spans="1:3" x14ac:dyDescent="0.25">
      <c r="A155" s="15" t="s">
        <v>814</v>
      </c>
      <c r="B155" s="15" t="s">
        <v>815</v>
      </c>
      <c r="C155" s="8">
        <v>20</v>
      </c>
    </row>
    <row r="156" spans="1:3" x14ac:dyDescent="0.25">
      <c r="A156" s="15" t="s">
        <v>818</v>
      </c>
      <c r="B156" s="15" t="s">
        <v>819</v>
      </c>
      <c r="C156" s="8">
        <v>22</v>
      </c>
    </row>
    <row r="157" spans="1:3" x14ac:dyDescent="0.25">
      <c r="A157" s="15" t="s">
        <v>820</v>
      </c>
      <c r="B157" s="15" t="s">
        <v>821</v>
      </c>
      <c r="C157" s="8">
        <v>12</v>
      </c>
    </row>
    <row r="158" spans="1:3" x14ac:dyDescent="0.25">
      <c r="A158" s="15" t="s">
        <v>822</v>
      </c>
      <c r="B158" s="15" t="s">
        <v>823</v>
      </c>
      <c r="C158" s="8">
        <v>19</v>
      </c>
    </row>
    <row r="159" spans="1:3" x14ac:dyDescent="0.25">
      <c r="A159" s="15" t="s">
        <v>824</v>
      </c>
      <c r="B159" s="15" t="s">
        <v>825</v>
      </c>
      <c r="C159" s="8">
        <v>15</v>
      </c>
    </row>
    <row r="160" spans="1:3" x14ac:dyDescent="0.25">
      <c r="A160" s="15" t="s">
        <v>830</v>
      </c>
      <c r="B160" s="15" t="s">
        <v>831</v>
      </c>
      <c r="C160" s="8">
        <v>10</v>
      </c>
    </row>
    <row r="161" spans="1:3" x14ac:dyDescent="0.25">
      <c r="A161" s="15" t="s">
        <v>888</v>
      </c>
      <c r="B161" s="15" t="s">
        <v>889</v>
      </c>
      <c r="C161" s="8">
        <v>16</v>
      </c>
    </row>
    <row r="162" spans="1:3" x14ac:dyDescent="0.25">
      <c r="A162" s="15" t="s">
        <v>892</v>
      </c>
      <c r="B162" s="15" t="s">
        <v>893</v>
      </c>
      <c r="C162" s="8">
        <v>17</v>
      </c>
    </row>
    <row r="163" spans="1:3" x14ac:dyDescent="0.25">
      <c r="A163" s="15" t="s">
        <v>898</v>
      </c>
      <c r="B163" s="15" t="s">
        <v>3367</v>
      </c>
      <c r="C163" s="8">
        <v>10</v>
      </c>
    </row>
    <row r="164" spans="1:3" x14ac:dyDescent="0.25">
      <c r="A164" s="15" t="s">
        <v>900</v>
      </c>
      <c r="B164" s="15" t="s">
        <v>3368</v>
      </c>
      <c r="C164" s="8">
        <v>11</v>
      </c>
    </row>
    <row r="165" spans="1:3" x14ac:dyDescent="0.25">
      <c r="A165" s="15" t="s">
        <v>902</v>
      </c>
      <c r="B165" s="15" t="s">
        <v>903</v>
      </c>
      <c r="C165" s="8">
        <v>9</v>
      </c>
    </row>
    <row r="166" spans="1:3" x14ac:dyDescent="0.25">
      <c r="A166" s="15" t="s">
        <v>904</v>
      </c>
      <c r="B166" s="15" t="s">
        <v>905</v>
      </c>
      <c r="C166" s="8">
        <v>10</v>
      </c>
    </row>
    <row r="167" spans="1:3" x14ac:dyDescent="0.25">
      <c r="A167" s="15" t="s">
        <v>906</v>
      </c>
      <c r="B167" s="15" t="s">
        <v>907</v>
      </c>
      <c r="C167" s="8">
        <v>16</v>
      </c>
    </row>
    <row r="168" spans="1:3" x14ac:dyDescent="0.25">
      <c r="A168" s="15" t="s">
        <v>913</v>
      </c>
      <c r="B168" s="15" t="s">
        <v>914</v>
      </c>
      <c r="C168" s="8">
        <v>11</v>
      </c>
    </row>
    <row r="169" spans="1:3" x14ac:dyDescent="0.25">
      <c r="A169" s="15" t="s">
        <v>923</v>
      </c>
      <c r="B169" s="15" t="s">
        <v>3369</v>
      </c>
      <c r="C169" s="8">
        <v>7</v>
      </c>
    </row>
    <row r="170" spans="1:3" x14ac:dyDescent="0.25">
      <c r="A170" s="15" t="s">
        <v>925</v>
      </c>
      <c r="B170" s="15" t="s">
        <v>926</v>
      </c>
      <c r="C170" s="8">
        <v>10</v>
      </c>
    </row>
    <row r="171" spans="1:3" x14ac:dyDescent="0.25">
      <c r="A171" s="15" t="s">
        <v>927</v>
      </c>
      <c r="B171" s="15" t="s">
        <v>928</v>
      </c>
      <c r="C171" s="8">
        <v>13</v>
      </c>
    </row>
    <row r="172" spans="1:3" x14ac:dyDescent="0.25">
      <c r="A172" s="15" t="s">
        <v>931</v>
      </c>
      <c r="B172" s="15" t="s">
        <v>932</v>
      </c>
      <c r="C172" s="8">
        <v>15</v>
      </c>
    </row>
    <row r="173" spans="1:3" x14ac:dyDescent="0.25">
      <c r="A173" s="15" t="s">
        <v>935</v>
      </c>
      <c r="B173" s="15" t="s">
        <v>936</v>
      </c>
      <c r="C173" s="8">
        <v>3</v>
      </c>
    </row>
    <row r="174" spans="1:3" x14ac:dyDescent="0.25">
      <c r="A174" s="15" t="s">
        <v>937</v>
      </c>
      <c r="B174" s="15" t="s">
        <v>938</v>
      </c>
      <c r="C174" s="8">
        <v>12</v>
      </c>
    </row>
    <row r="175" spans="1:3" x14ac:dyDescent="0.25">
      <c r="A175" s="15" t="s">
        <v>3370</v>
      </c>
      <c r="B175" s="15" t="s">
        <v>3371</v>
      </c>
      <c r="C175" s="8">
        <v>4</v>
      </c>
    </row>
    <row r="176" spans="1:3" x14ac:dyDescent="0.25">
      <c r="A176" s="15" t="s">
        <v>939</v>
      </c>
      <c r="B176" s="15" t="s">
        <v>940</v>
      </c>
      <c r="C176" s="8">
        <v>19</v>
      </c>
    </row>
    <row r="177" spans="1:3" x14ac:dyDescent="0.25">
      <c r="A177" s="15" t="s">
        <v>941</v>
      </c>
      <c r="B177" s="15" t="s">
        <v>942</v>
      </c>
      <c r="C177" s="8">
        <v>12</v>
      </c>
    </row>
    <row r="178" spans="1:3" x14ac:dyDescent="0.25">
      <c r="A178" s="15" t="s">
        <v>951</v>
      </c>
      <c r="B178" s="15" t="s">
        <v>952</v>
      </c>
      <c r="C178" s="8">
        <v>13</v>
      </c>
    </row>
    <row r="179" spans="1:3" x14ac:dyDescent="0.25">
      <c r="A179" s="15" t="s">
        <v>953</v>
      </c>
      <c r="B179" s="15" t="s">
        <v>954</v>
      </c>
      <c r="C179" s="8">
        <v>15</v>
      </c>
    </row>
    <row r="180" spans="1:3" x14ac:dyDescent="0.25">
      <c r="A180" s="15" t="s">
        <v>955</v>
      </c>
      <c r="B180" s="15" t="s">
        <v>956</v>
      </c>
      <c r="C180" s="8">
        <v>26</v>
      </c>
    </row>
    <row r="181" spans="1:3" x14ac:dyDescent="0.25">
      <c r="A181" s="15" t="s">
        <v>957</v>
      </c>
      <c r="B181" s="15" t="s">
        <v>958</v>
      </c>
      <c r="C181" s="8">
        <v>17</v>
      </c>
    </row>
    <row r="182" spans="1:3" x14ac:dyDescent="0.25">
      <c r="A182" s="15" t="s">
        <v>961</v>
      </c>
      <c r="B182" s="15" t="s">
        <v>962</v>
      </c>
      <c r="C182" s="8">
        <v>15</v>
      </c>
    </row>
    <row r="183" spans="1:3" x14ac:dyDescent="0.25">
      <c r="A183" s="15" t="s">
        <v>964</v>
      </c>
      <c r="B183" s="15" t="s">
        <v>965</v>
      </c>
      <c r="C183" s="8">
        <v>12</v>
      </c>
    </row>
    <row r="184" spans="1:3" x14ac:dyDescent="0.25">
      <c r="A184" s="15" t="s">
        <v>1025</v>
      </c>
      <c r="B184" s="15" t="s">
        <v>3372</v>
      </c>
      <c r="C184" s="8">
        <v>13</v>
      </c>
    </row>
    <row r="185" spans="1:3" x14ac:dyDescent="0.25">
      <c r="A185" s="15" t="s">
        <v>1037</v>
      </c>
      <c r="B185" s="15" t="s">
        <v>1038</v>
      </c>
      <c r="C185" s="8">
        <v>15</v>
      </c>
    </row>
    <row r="186" spans="1:3" x14ac:dyDescent="0.25">
      <c r="A186" s="15" t="s">
        <v>1039</v>
      </c>
      <c r="B186" s="15" t="s">
        <v>1040</v>
      </c>
      <c r="C186" s="8">
        <v>14</v>
      </c>
    </row>
    <row r="187" spans="1:3" x14ac:dyDescent="0.25">
      <c r="A187" s="15" t="s">
        <v>1045</v>
      </c>
      <c r="B187" s="15" t="s">
        <v>3373</v>
      </c>
      <c r="C187" s="8">
        <v>22</v>
      </c>
    </row>
    <row r="188" spans="1:3" x14ac:dyDescent="0.25">
      <c r="A188" s="15" t="s">
        <v>1047</v>
      </c>
      <c r="B188" s="15" t="s">
        <v>1048</v>
      </c>
      <c r="C188" s="8">
        <v>11</v>
      </c>
    </row>
    <row r="189" spans="1:3" x14ac:dyDescent="0.25">
      <c r="A189" s="15" t="s">
        <v>1055</v>
      </c>
      <c r="B189" s="15" t="s">
        <v>1056</v>
      </c>
      <c r="C189" s="8">
        <v>12</v>
      </c>
    </row>
    <row r="190" spans="1:3" x14ac:dyDescent="0.25">
      <c r="A190" s="15" t="s">
        <v>1057</v>
      </c>
      <c r="B190" s="15" t="s">
        <v>1058</v>
      </c>
      <c r="C190" s="8">
        <v>9</v>
      </c>
    </row>
    <row r="191" spans="1:3" x14ac:dyDescent="0.25">
      <c r="A191" s="15" t="s">
        <v>1063</v>
      </c>
      <c r="B191" s="15" t="s">
        <v>1064</v>
      </c>
      <c r="C191" s="8">
        <v>14</v>
      </c>
    </row>
    <row r="192" spans="1:3" x14ac:dyDescent="0.25">
      <c r="A192" s="15" t="s">
        <v>1075</v>
      </c>
      <c r="B192" s="15" t="s">
        <v>3374</v>
      </c>
      <c r="C192" s="8">
        <v>15</v>
      </c>
    </row>
    <row r="193" spans="1:3" x14ac:dyDescent="0.25">
      <c r="A193" s="15" t="s">
        <v>1082</v>
      </c>
      <c r="B193" s="15" t="s">
        <v>1083</v>
      </c>
      <c r="C193" s="8">
        <v>14</v>
      </c>
    </row>
    <row r="194" spans="1:3" x14ac:dyDescent="0.25">
      <c r="A194" s="15" t="s">
        <v>1086</v>
      </c>
      <c r="B194" s="15" t="s">
        <v>1087</v>
      </c>
      <c r="C194" s="8">
        <v>19</v>
      </c>
    </row>
    <row r="195" spans="1:3" x14ac:dyDescent="0.25">
      <c r="A195" s="15" t="s">
        <v>1088</v>
      </c>
      <c r="B195" s="15" t="s">
        <v>1089</v>
      </c>
      <c r="C195" s="8">
        <v>6</v>
      </c>
    </row>
    <row r="196" spans="1:3" x14ac:dyDescent="0.25">
      <c r="A196" s="15" t="s">
        <v>1094</v>
      </c>
      <c r="B196" s="15" t="s">
        <v>1095</v>
      </c>
      <c r="C196" s="8">
        <v>19</v>
      </c>
    </row>
    <row r="197" spans="1:3" x14ac:dyDescent="0.25">
      <c r="A197" s="15" t="s">
        <v>1096</v>
      </c>
      <c r="B197" s="15" t="s">
        <v>3375</v>
      </c>
      <c r="C197" s="8">
        <v>7</v>
      </c>
    </row>
    <row r="198" spans="1:3" x14ac:dyDescent="0.25">
      <c r="A198" s="15" t="s">
        <v>1106</v>
      </c>
      <c r="B198" s="15" t="s">
        <v>3376</v>
      </c>
      <c r="C198" s="8">
        <v>9</v>
      </c>
    </row>
    <row r="199" spans="1:3" x14ac:dyDescent="0.25">
      <c r="A199" s="15" t="s">
        <v>1108</v>
      </c>
      <c r="B199" s="15" t="s">
        <v>1109</v>
      </c>
      <c r="C199" s="8">
        <v>23</v>
      </c>
    </row>
    <row r="200" spans="1:3" x14ac:dyDescent="0.25">
      <c r="A200" s="15" t="s">
        <v>1110</v>
      </c>
      <c r="B200" s="15" t="s">
        <v>1111</v>
      </c>
      <c r="C200" s="8">
        <v>24</v>
      </c>
    </row>
    <row r="201" spans="1:3" x14ac:dyDescent="0.25">
      <c r="A201" s="15" t="s">
        <v>1112</v>
      </c>
      <c r="B201" s="15" t="s">
        <v>1113</v>
      </c>
      <c r="C201" s="8">
        <v>21</v>
      </c>
    </row>
    <row r="202" spans="1:3" x14ac:dyDescent="0.25">
      <c r="A202" s="15" t="s">
        <v>1114</v>
      </c>
      <c r="B202" s="15" t="s">
        <v>1115</v>
      </c>
      <c r="C202" s="8">
        <v>15</v>
      </c>
    </row>
    <row r="203" spans="1:3" x14ac:dyDescent="0.25">
      <c r="A203" s="15" t="s">
        <v>1116</v>
      </c>
      <c r="B203" s="15" t="s">
        <v>1117</v>
      </c>
      <c r="C203" s="8">
        <v>9</v>
      </c>
    </row>
    <row r="204" spans="1:3" x14ac:dyDescent="0.25">
      <c r="A204" s="15" t="s">
        <v>1118</v>
      </c>
      <c r="B204" s="15" t="s">
        <v>1119</v>
      </c>
      <c r="C204" s="8">
        <v>23</v>
      </c>
    </row>
    <row r="205" spans="1:3" x14ac:dyDescent="0.25">
      <c r="A205" s="15" t="s">
        <v>1121</v>
      </c>
      <c r="B205" s="15" t="s">
        <v>1122</v>
      </c>
      <c r="C205" s="8">
        <v>17</v>
      </c>
    </row>
    <row r="206" spans="1:3" x14ac:dyDescent="0.25">
      <c r="A206" s="15" t="s">
        <v>1123</v>
      </c>
      <c r="B206" s="15" t="s">
        <v>1124</v>
      </c>
      <c r="C206" s="8">
        <v>10</v>
      </c>
    </row>
    <row r="207" spans="1:3" x14ac:dyDescent="0.25">
      <c r="A207" s="15" t="s">
        <v>1127</v>
      </c>
      <c r="B207" s="15" t="s">
        <v>1128</v>
      </c>
      <c r="C207" s="8">
        <v>6</v>
      </c>
    </row>
    <row r="208" spans="1:3" x14ac:dyDescent="0.25">
      <c r="A208" s="15" t="s">
        <v>1129</v>
      </c>
      <c r="B208" s="15" t="s">
        <v>1130</v>
      </c>
      <c r="C208" s="8">
        <v>13</v>
      </c>
    </row>
    <row r="209" spans="1:3" x14ac:dyDescent="0.25">
      <c r="A209" s="15" t="s">
        <v>1131</v>
      </c>
      <c r="B209" s="15" t="s">
        <v>1132</v>
      </c>
      <c r="C209" s="8">
        <v>16</v>
      </c>
    </row>
    <row r="210" spans="1:3" x14ac:dyDescent="0.25">
      <c r="A210" s="15" t="s">
        <v>1133</v>
      </c>
      <c r="B210" s="15" t="s">
        <v>1134</v>
      </c>
      <c r="C210" s="8">
        <v>7</v>
      </c>
    </row>
    <row r="211" spans="1:3" x14ac:dyDescent="0.25">
      <c r="A211" s="15" t="s">
        <v>1135</v>
      </c>
      <c r="B211" s="15" t="s">
        <v>1136</v>
      </c>
      <c r="C211" s="8">
        <v>17</v>
      </c>
    </row>
    <row r="212" spans="1:3" x14ac:dyDescent="0.25">
      <c r="A212" s="15" t="s">
        <v>1137</v>
      </c>
      <c r="B212" s="15" t="s">
        <v>1138</v>
      </c>
      <c r="C212" s="8">
        <v>0</v>
      </c>
    </row>
    <row r="213" spans="1:3" x14ac:dyDescent="0.25">
      <c r="A213" s="15" t="s">
        <v>1199</v>
      </c>
      <c r="B213" s="15" t="s">
        <v>1200</v>
      </c>
      <c r="C213" s="8">
        <v>12</v>
      </c>
    </row>
    <row r="214" spans="1:3" x14ac:dyDescent="0.25">
      <c r="A214" s="15" t="s">
        <v>3377</v>
      </c>
      <c r="B214" s="15" t="s">
        <v>3378</v>
      </c>
      <c r="C214" s="8">
        <v>15</v>
      </c>
    </row>
    <row r="215" spans="1:3" x14ac:dyDescent="0.25">
      <c r="A215" s="15" t="s">
        <v>1201</v>
      </c>
      <c r="B215" s="15" t="s">
        <v>1202</v>
      </c>
      <c r="C215" s="8">
        <v>26</v>
      </c>
    </row>
    <row r="216" spans="1:3" x14ac:dyDescent="0.25">
      <c r="A216" s="15" t="s">
        <v>1203</v>
      </c>
      <c r="B216" s="15" t="s">
        <v>3379</v>
      </c>
      <c r="C216" s="8">
        <v>25</v>
      </c>
    </row>
    <row r="217" spans="1:3" x14ac:dyDescent="0.25">
      <c r="A217" s="15" t="s">
        <v>1205</v>
      </c>
      <c r="B217" s="15" t="s">
        <v>1206</v>
      </c>
      <c r="C217" s="8">
        <v>18</v>
      </c>
    </row>
    <row r="218" spans="1:3" x14ac:dyDescent="0.25">
      <c r="A218" s="15" t="s">
        <v>1207</v>
      </c>
      <c r="B218" s="15" t="s">
        <v>1208</v>
      </c>
      <c r="C218" s="8">
        <v>10</v>
      </c>
    </row>
    <row r="219" spans="1:3" x14ac:dyDescent="0.25">
      <c r="A219" s="15" t="s">
        <v>1209</v>
      </c>
      <c r="B219" s="15" t="s">
        <v>1210</v>
      </c>
      <c r="C219" s="8">
        <v>27</v>
      </c>
    </row>
    <row r="220" spans="1:3" x14ac:dyDescent="0.25">
      <c r="A220" s="15" t="s">
        <v>1211</v>
      </c>
      <c r="B220" s="15" t="s">
        <v>1212</v>
      </c>
      <c r="C220" s="8">
        <v>36</v>
      </c>
    </row>
    <row r="221" spans="1:3" x14ac:dyDescent="0.25">
      <c r="A221" s="15" t="s">
        <v>1221</v>
      </c>
      <c r="B221" s="15" t="s">
        <v>1222</v>
      </c>
      <c r="C221" s="8">
        <v>18</v>
      </c>
    </row>
    <row r="222" spans="1:3" x14ac:dyDescent="0.25">
      <c r="A222" s="15" t="s">
        <v>1223</v>
      </c>
      <c r="B222" s="15" t="s">
        <v>1224</v>
      </c>
      <c r="C222" s="8">
        <v>41</v>
      </c>
    </row>
    <row r="223" spans="1:3" x14ac:dyDescent="0.25">
      <c r="A223" s="15" t="s">
        <v>1235</v>
      </c>
      <c r="B223" s="15" t="s">
        <v>1236</v>
      </c>
      <c r="C223" s="8">
        <v>6</v>
      </c>
    </row>
    <row r="224" spans="1:3" x14ac:dyDescent="0.25">
      <c r="A224" s="15" t="s">
        <v>1237</v>
      </c>
      <c r="B224" s="15" t="s">
        <v>1238</v>
      </c>
      <c r="C224" s="8">
        <v>11</v>
      </c>
    </row>
    <row r="225" spans="1:3" x14ac:dyDescent="0.25">
      <c r="A225" s="15" t="s">
        <v>1239</v>
      </c>
      <c r="B225" s="15" t="s">
        <v>1240</v>
      </c>
      <c r="C225" s="8">
        <v>8</v>
      </c>
    </row>
    <row r="226" spans="1:3" x14ac:dyDescent="0.25">
      <c r="A226" s="15" t="s">
        <v>1241</v>
      </c>
      <c r="B226" s="15" t="s">
        <v>1242</v>
      </c>
      <c r="C226" s="8">
        <v>24</v>
      </c>
    </row>
    <row r="227" spans="1:3" x14ac:dyDescent="0.25">
      <c r="A227" s="15" t="s">
        <v>1247</v>
      </c>
      <c r="B227" s="15" t="s">
        <v>1248</v>
      </c>
      <c r="C227" s="8">
        <v>13</v>
      </c>
    </row>
    <row r="228" spans="1:3" x14ac:dyDescent="0.25">
      <c r="A228" s="15" t="s">
        <v>1249</v>
      </c>
      <c r="B228" s="15" t="s">
        <v>1250</v>
      </c>
      <c r="C228" s="8">
        <v>14</v>
      </c>
    </row>
    <row r="229" spans="1:3" x14ac:dyDescent="0.25">
      <c r="A229" s="15" t="s">
        <v>1251</v>
      </c>
      <c r="B229" s="15" t="s">
        <v>1252</v>
      </c>
      <c r="C229" s="8">
        <v>20</v>
      </c>
    </row>
    <row r="230" spans="1:3" x14ac:dyDescent="0.25">
      <c r="A230" s="15" t="s">
        <v>1292</v>
      </c>
      <c r="B230" s="15" t="s">
        <v>1293</v>
      </c>
      <c r="C230" s="8">
        <v>10</v>
      </c>
    </row>
    <row r="231" spans="1:3" x14ac:dyDescent="0.25">
      <c r="A231" s="15" t="s">
        <v>1294</v>
      </c>
      <c r="B231" s="15" t="s">
        <v>1295</v>
      </c>
      <c r="C231" s="8">
        <v>23</v>
      </c>
    </row>
    <row r="232" spans="1:3" x14ac:dyDescent="0.25">
      <c r="A232" s="15" t="s">
        <v>1296</v>
      </c>
      <c r="B232" s="15" t="s">
        <v>1297</v>
      </c>
      <c r="C232" s="8">
        <v>13</v>
      </c>
    </row>
    <row r="233" spans="1:3" x14ac:dyDescent="0.25">
      <c r="A233" s="15" t="s">
        <v>1298</v>
      </c>
      <c r="B233" s="15" t="s">
        <v>1299</v>
      </c>
      <c r="C233" s="8">
        <v>11</v>
      </c>
    </row>
    <row r="234" spans="1:3" x14ac:dyDescent="0.25">
      <c r="A234" s="15" t="s">
        <v>1300</v>
      </c>
      <c r="B234" s="15" t="s">
        <v>1301</v>
      </c>
      <c r="C234" s="8">
        <v>18</v>
      </c>
    </row>
    <row r="235" spans="1:3" x14ac:dyDescent="0.25">
      <c r="A235" s="15" t="s">
        <v>1318</v>
      </c>
      <c r="B235" s="15" t="s">
        <v>1319</v>
      </c>
      <c r="C235" s="8">
        <v>23</v>
      </c>
    </row>
    <row r="236" spans="1:3" x14ac:dyDescent="0.25">
      <c r="A236" s="15" t="s">
        <v>1320</v>
      </c>
      <c r="B236" s="15" t="s">
        <v>1321</v>
      </c>
      <c r="C236" s="8">
        <v>19</v>
      </c>
    </row>
    <row r="237" spans="1:3" x14ac:dyDescent="0.25">
      <c r="A237" s="15" t="s">
        <v>1326</v>
      </c>
      <c r="B237" s="15" t="s">
        <v>1327</v>
      </c>
      <c r="C237" s="8">
        <v>5</v>
      </c>
    </row>
    <row r="238" spans="1:3" x14ac:dyDescent="0.25">
      <c r="A238" s="15" t="s">
        <v>1328</v>
      </c>
      <c r="B238" s="15" t="s">
        <v>1329</v>
      </c>
      <c r="C238" s="8">
        <v>26</v>
      </c>
    </row>
    <row r="239" spans="1:3" x14ac:dyDescent="0.25">
      <c r="A239" s="15" t="s">
        <v>1330</v>
      </c>
      <c r="B239" s="15" t="s">
        <v>1331</v>
      </c>
      <c r="C239" s="8">
        <v>12</v>
      </c>
    </row>
    <row r="240" spans="1:3" x14ac:dyDescent="0.25">
      <c r="A240" s="15" t="s">
        <v>1332</v>
      </c>
      <c r="B240" s="15" t="s">
        <v>1333</v>
      </c>
      <c r="C240" s="8">
        <v>16</v>
      </c>
    </row>
    <row r="241" spans="1:3" x14ac:dyDescent="0.25">
      <c r="A241" s="15" t="s">
        <v>1335</v>
      </c>
      <c r="B241" s="15" t="s">
        <v>1336</v>
      </c>
      <c r="C241" s="8">
        <v>7</v>
      </c>
    </row>
    <row r="242" spans="1:3" x14ac:dyDescent="0.25">
      <c r="A242" s="15" t="s">
        <v>1341</v>
      </c>
      <c r="B242" s="15" t="s">
        <v>1342</v>
      </c>
      <c r="C242" s="8">
        <v>19</v>
      </c>
    </row>
    <row r="243" spans="1:3" x14ac:dyDescent="0.25">
      <c r="A243" s="15" t="s">
        <v>1345</v>
      </c>
      <c r="B243" s="15" t="s">
        <v>1346</v>
      </c>
      <c r="C243" s="8">
        <v>1</v>
      </c>
    </row>
    <row r="244" spans="1:3" x14ac:dyDescent="0.25">
      <c r="A244" s="15" t="s">
        <v>1347</v>
      </c>
      <c r="B244" s="15" t="s">
        <v>1348</v>
      </c>
      <c r="C244" s="8">
        <v>26</v>
      </c>
    </row>
    <row r="245" spans="1:3" x14ac:dyDescent="0.25">
      <c r="A245" s="15" t="s">
        <v>1349</v>
      </c>
      <c r="B245" s="15" t="s">
        <v>1350</v>
      </c>
      <c r="C245" s="8">
        <v>24</v>
      </c>
    </row>
    <row r="246" spans="1:3" x14ac:dyDescent="0.25">
      <c r="A246" s="15" t="s">
        <v>1382</v>
      </c>
      <c r="B246" s="15" t="s">
        <v>1383</v>
      </c>
      <c r="C246" s="8">
        <v>10</v>
      </c>
    </row>
    <row r="247" spans="1:3" x14ac:dyDescent="0.25">
      <c r="A247" s="15" t="s">
        <v>1398</v>
      </c>
      <c r="B247" s="15" t="s">
        <v>3380</v>
      </c>
      <c r="C247" s="8">
        <v>11</v>
      </c>
    </row>
    <row r="248" spans="1:3" x14ac:dyDescent="0.25">
      <c r="A248" s="15" t="s">
        <v>1402</v>
      </c>
      <c r="B248" s="15" t="s">
        <v>1403</v>
      </c>
      <c r="C248" s="8">
        <v>25</v>
      </c>
    </row>
    <row r="249" spans="1:3" x14ac:dyDescent="0.25">
      <c r="A249" s="15" t="s">
        <v>1404</v>
      </c>
      <c r="B249" s="15" t="s">
        <v>3381</v>
      </c>
      <c r="C249" s="8">
        <v>20</v>
      </c>
    </row>
    <row r="250" spans="1:3" x14ac:dyDescent="0.25">
      <c r="A250" s="15" t="s">
        <v>1406</v>
      </c>
      <c r="B250" s="15" t="s">
        <v>1407</v>
      </c>
      <c r="C250" s="8">
        <v>72</v>
      </c>
    </row>
    <row r="251" spans="1:3" x14ac:dyDescent="0.25">
      <c r="A251" s="15" t="s">
        <v>1408</v>
      </c>
      <c r="B251" s="15" t="s">
        <v>1409</v>
      </c>
      <c r="C251" s="8">
        <v>11</v>
      </c>
    </row>
    <row r="252" spans="1:3" x14ac:dyDescent="0.25">
      <c r="A252" s="15" t="s">
        <v>1412</v>
      </c>
      <c r="B252" s="15" t="s">
        <v>1413</v>
      </c>
      <c r="C252" s="8">
        <v>9</v>
      </c>
    </row>
    <row r="253" spans="1:3" x14ac:dyDescent="0.25">
      <c r="A253" s="15" t="s">
        <v>1416</v>
      </c>
      <c r="B253" s="15" t="s">
        <v>3382</v>
      </c>
      <c r="C253" s="8">
        <v>44</v>
      </c>
    </row>
    <row r="254" spans="1:3" x14ac:dyDescent="0.25">
      <c r="A254" s="15" t="s">
        <v>1418</v>
      </c>
      <c r="B254" s="15" t="s">
        <v>1419</v>
      </c>
      <c r="C254" s="8">
        <v>27</v>
      </c>
    </row>
    <row r="255" spans="1:3" x14ac:dyDescent="0.25">
      <c r="A255" s="15" t="s">
        <v>1420</v>
      </c>
      <c r="B255" s="15" t="s">
        <v>1421</v>
      </c>
      <c r="C255" s="8">
        <v>20</v>
      </c>
    </row>
    <row r="256" spans="1:3" x14ac:dyDescent="0.25">
      <c r="A256" s="15" t="s">
        <v>1422</v>
      </c>
      <c r="B256" s="15" t="s">
        <v>1423</v>
      </c>
      <c r="C256" s="8">
        <v>14</v>
      </c>
    </row>
    <row r="257" spans="1:3" x14ac:dyDescent="0.25">
      <c r="A257" s="15" t="s">
        <v>1424</v>
      </c>
      <c r="B257" s="15" t="s">
        <v>3383</v>
      </c>
      <c r="C257" s="8">
        <v>28</v>
      </c>
    </row>
    <row r="258" spans="1:3" x14ac:dyDescent="0.25">
      <c r="A258" s="15" t="s">
        <v>1426</v>
      </c>
      <c r="B258" s="15" t="s">
        <v>3384</v>
      </c>
      <c r="C258" s="8">
        <v>27</v>
      </c>
    </row>
    <row r="259" spans="1:3" x14ac:dyDescent="0.25">
      <c r="A259" s="15" t="s">
        <v>1428</v>
      </c>
      <c r="B259" s="15" t="s">
        <v>1429</v>
      </c>
      <c r="C259" s="8">
        <v>16</v>
      </c>
    </row>
    <row r="260" spans="1:3" x14ac:dyDescent="0.25">
      <c r="A260" s="15" t="s">
        <v>1430</v>
      </c>
      <c r="B260" s="15" t="s">
        <v>3385</v>
      </c>
      <c r="C260" s="8">
        <v>23</v>
      </c>
    </row>
    <row r="261" spans="1:3" x14ac:dyDescent="0.25">
      <c r="A261" s="15" t="s">
        <v>1436</v>
      </c>
      <c r="B261" s="15" t="s">
        <v>1437</v>
      </c>
      <c r="C261" s="8">
        <v>5</v>
      </c>
    </row>
    <row r="262" spans="1:3" x14ac:dyDescent="0.25">
      <c r="A262" s="15" t="s">
        <v>1456</v>
      </c>
      <c r="B262" s="15" t="s">
        <v>1457</v>
      </c>
      <c r="C262" s="8">
        <v>9</v>
      </c>
    </row>
    <row r="263" spans="1:3" x14ac:dyDescent="0.25">
      <c r="A263" s="15" t="s">
        <v>1489</v>
      </c>
      <c r="B263" s="15" t="s">
        <v>1490</v>
      </c>
      <c r="C263" s="8">
        <v>22</v>
      </c>
    </row>
    <row r="264" spans="1:3" x14ac:dyDescent="0.25">
      <c r="A264" s="15" t="s">
        <v>1491</v>
      </c>
      <c r="B264" s="15" t="s">
        <v>1492</v>
      </c>
      <c r="C264" s="8">
        <v>26</v>
      </c>
    </row>
    <row r="265" spans="1:3" x14ac:dyDescent="0.25">
      <c r="A265" s="15" t="s">
        <v>1493</v>
      </c>
      <c r="B265" s="15" t="s">
        <v>1494</v>
      </c>
      <c r="C265" s="8">
        <v>21</v>
      </c>
    </row>
    <row r="266" spans="1:3" x14ac:dyDescent="0.25">
      <c r="A266" s="15" t="s">
        <v>1495</v>
      </c>
      <c r="B266" s="15" t="s">
        <v>1496</v>
      </c>
      <c r="C266" s="8">
        <v>22</v>
      </c>
    </row>
    <row r="267" spans="1:3" x14ac:dyDescent="0.25">
      <c r="A267" s="15" t="s">
        <v>1497</v>
      </c>
      <c r="B267" s="15" t="s">
        <v>3386</v>
      </c>
      <c r="C267" s="8">
        <v>27</v>
      </c>
    </row>
    <row r="268" spans="1:3" x14ac:dyDescent="0.25">
      <c r="A268" s="15" t="s">
        <v>1499</v>
      </c>
      <c r="B268" s="15" t="s">
        <v>1500</v>
      </c>
      <c r="C268" s="8">
        <v>18</v>
      </c>
    </row>
    <row r="269" spans="1:3" x14ac:dyDescent="0.25">
      <c r="A269" s="15" t="s">
        <v>1501</v>
      </c>
      <c r="B269" s="15" t="s">
        <v>3387</v>
      </c>
      <c r="C269" s="8">
        <v>10</v>
      </c>
    </row>
    <row r="270" spans="1:3" x14ac:dyDescent="0.25">
      <c r="A270" s="15" t="s">
        <v>1503</v>
      </c>
      <c r="B270" s="15" t="s">
        <v>1504</v>
      </c>
      <c r="C270" s="8">
        <v>20</v>
      </c>
    </row>
    <row r="271" spans="1:3" x14ac:dyDescent="0.25">
      <c r="A271" s="15" t="s">
        <v>1509</v>
      </c>
      <c r="B271" s="15" t="s">
        <v>1510</v>
      </c>
      <c r="C271" s="8">
        <v>13</v>
      </c>
    </row>
    <row r="272" spans="1:3" x14ac:dyDescent="0.25">
      <c r="A272" s="15" t="s">
        <v>1511</v>
      </c>
      <c r="B272" s="15" t="s">
        <v>1512</v>
      </c>
      <c r="C272" s="8">
        <v>34</v>
      </c>
    </row>
    <row r="273" spans="1:3" x14ac:dyDescent="0.25">
      <c r="A273" s="15" t="s">
        <v>1513</v>
      </c>
      <c r="B273" s="15" t="s">
        <v>1514</v>
      </c>
      <c r="C273" s="8">
        <v>5</v>
      </c>
    </row>
    <row r="274" spans="1:3" x14ac:dyDescent="0.25">
      <c r="A274" s="15" t="s">
        <v>1515</v>
      </c>
      <c r="B274" s="15" t="s">
        <v>1516</v>
      </c>
      <c r="C274" s="8">
        <v>9</v>
      </c>
    </row>
    <row r="275" spans="1:3" x14ac:dyDescent="0.25">
      <c r="A275" s="15" t="s">
        <v>1572</v>
      </c>
      <c r="B275" s="15" t="s">
        <v>1573</v>
      </c>
      <c r="C275" s="8">
        <v>23</v>
      </c>
    </row>
    <row r="276" spans="1:3" x14ac:dyDescent="0.25">
      <c r="A276" s="15" t="s">
        <v>1576</v>
      </c>
      <c r="B276" s="15" t="s">
        <v>1577</v>
      </c>
      <c r="C276" s="8">
        <v>10</v>
      </c>
    </row>
    <row r="277" spans="1:3" x14ac:dyDescent="0.25">
      <c r="A277" s="15" t="s">
        <v>1584</v>
      </c>
      <c r="B277" s="15" t="s">
        <v>1585</v>
      </c>
      <c r="C277" s="8">
        <v>23</v>
      </c>
    </row>
    <row r="278" spans="1:3" x14ac:dyDescent="0.25">
      <c r="A278" s="15" t="s">
        <v>1588</v>
      </c>
      <c r="B278" s="15" t="s">
        <v>1589</v>
      </c>
      <c r="C278" s="8">
        <v>16</v>
      </c>
    </row>
    <row r="279" spans="1:3" x14ac:dyDescent="0.25">
      <c r="A279" s="15" t="s">
        <v>1590</v>
      </c>
      <c r="B279" s="15" t="s">
        <v>1591</v>
      </c>
      <c r="C279" s="8">
        <v>15</v>
      </c>
    </row>
    <row r="280" spans="1:3" x14ac:dyDescent="0.25">
      <c r="A280" s="15" t="s">
        <v>1592</v>
      </c>
      <c r="B280" s="15" t="s">
        <v>1593</v>
      </c>
      <c r="C280" s="8">
        <v>14</v>
      </c>
    </row>
    <row r="281" spans="1:3" x14ac:dyDescent="0.25">
      <c r="A281" s="15" t="s">
        <v>1594</v>
      </c>
      <c r="B281" s="15" t="s">
        <v>1595</v>
      </c>
      <c r="C281" s="8">
        <v>16</v>
      </c>
    </row>
    <row r="282" spans="1:3" x14ac:dyDescent="0.25">
      <c r="A282" s="15" t="s">
        <v>1598</v>
      </c>
      <c r="B282" s="15" t="s">
        <v>1599</v>
      </c>
      <c r="C282" s="8">
        <v>13</v>
      </c>
    </row>
    <row r="283" spans="1:3" x14ac:dyDescent="0.25">
      <c r="A283" s="15" t="s">
        <v>1600</v>
      </c>
      <c r="B283" s="15" t="s">
        <v>1601</v>
      </c>
      <c r="C283" s="8">
        <v>9</v>
      </c>
    </row>
    <row r="284" spans="1:3" x14ac:dyDescent="0.25">
      <c r="A284" s="15" t="s">
        <v>1602</v>
      </c>
      <c r="B284" s="15" t="s">
        <v>1603</v>
      </c>
      <c r="C284" s="8">
        <v>12</v>
      </c>
    </row>
    <row r="285" spans="1:3" x14ac:dyDescent="0.25">
      <c r="A285" s="15" t="s">
        <v>1604</v>
      </c>
      <c r="B285" s="15" t="s">
        <v>1605</v>
      </c>
      <c r="C285" s="8">
        <v>18</v>
      </c>
    </row>
    <row r="286" spans="1:3" x14ac:dyDescent="0.25">
      <c r="A286" s="15" t="s">
        <v>1606</v>
      </c>
      <c r="B286" s="15" t="s">
        <v>1607</v>
      </c>
      <c r="C286" s="8">
        <v>39</v>
      </c>
    </row>
    <row r="287" spans="1:3" x14ac:dyDescent="0.25">
      <c r="A287" s="15" t="s">
        <v>1610</v>
      </c>
      <c r="B287" s="15" t="s">
        <v>1611</v>
      </c>
      <c r="C287" s="8">
        <v>4</v>
      </c>
    </row>
    <row r="288" spans="1:3" x14ac:dyDescent="0.25">
      <c r="A288" s="15" t="s">
        <v>1612</v>
      </c>
      <c r="B288" s="15" t="s">
        <v>1613</v>
      </c>
      <c r="C288" s="8">
        <v>17</v>
      </c>
    </row>
    <row r="289" spans="1:3" x14ac:dyDescent="0.25">
      <c r="A289" s="15" t="s">
        <v>1649</v>
      </c>
      <c r="B289" s="15" t="s">
        <v>1650</v>
      </c>
      <c r="C289" s="8">
        <v>33</v>
      </c>
    </row>
    <row r="290" spans="1:3" x14ac:dyDescent="0.25">
      <c r="A290" s="15" t="s">
        <v>1651</v>
      </c>
      <c r="B290" s="15" t="s">
        <v>1652</v>
      </c>
      <c r="C290" s="8">
        <v>26</v>
      </c>
    </row>
    <row r="291" spans="1:3" x14ac:dyDescent="0.25">
      <c r="A291" s="15" t="s">
        <v>1657</v>
      </c>
      <c r="B291" s="15" t="s">
        <v>1658</v>
      </c>
      <c r="C291" s="8">
        <v>18</v>
      </c>
    </row>
    <row r="292" spans="1:3" x14ac:dyDescent="0.25">
      <c r="A292" s="15" t="s">
        <v>1661</v>
      </c>
      <c r="B292" s="15" t="s">
        <v>1662</v>
      </c>
      <c r="C292" s="8">
        <v>17</v>
      </c>
    </row>
    <row r="293" spans="1:3" x14ac:dyDescent="0.25">
      <c r="A293" s="15" t="s">
        <v>1663</v>
      </c>
      <c r="B293" s="15" t="s">
        <v>1664</v>
      </c>
      <c r="C293" s="8">
        <v>11</v>
      </c>
    </row>
    <row r="294" spans="1:3" x14ac:dyDescent="0.25">
      <c r="A294" s="15" t="s">
        <v>1679</v>
      </c>
      <c r="B294" s="15" t="s">
        <v>3388</v>
      </c>
      <c r="C294" s="8">
        <v>11</v>
      </c>
    </row>
    <row r="295" spans="1:3" x14ac:dyDescent="0.25">
      <c r="A295" s="15" t="s">
        <v>1714</v>
      </c>
      <c r="B295" s="15" t="s">
        <v>3389</v>
      </c>
      <c r="C295" s="8">
        <v>15</v>
      </c>
    </row>
    <row r="296" spans="1:3" x14ac:dyDescent="0.25">
      <c r="A296" s="15" t="s">
        <v>1724</v>
      </c>
      <c r="B296" s="15" t="s">
        <v>1725</v>
      </c>
      <c r="C296" s="8">
        <v>11</v>
      </c>
    </row>
    <row r="297" spans="1:3" x14ac:dyDescent="0.25">
      <c r="A297" s="15" t="s">
        <v>1728</v>
      </c>
      <c r="B297" s="15" t="s">
        <v>1729</v>
      </c>
      <c r="C297" s="8">
        <v>19</v>
      </c>
    </row>
    <row r="298" spans="1:3" x14ac:dyDescent="0.25">
      <c r="A298" s="15" t="s">
        <v>1730</v>
      </c>
      <c r="B298" s="15" t="s">
        <v>1731</v>
      </c>
      <c r="C298" s="8">
        <v>23</v>
      </c>
    </row>
    <row r="299" spans="1:3" x14ac:dyDescent="0.25">
      <c r="A299" s="15" t="s">
        <v>3390</v>
      </c>
      <c r="B299" s="15" t="s">
        <v>3391</v>
      </c>
      <c r="C299" s="8">
        <v>9</v>
      </c>
    </row>
    <row r="300" spans="1:3" x14ac:dyDescent="0.25">
      <c r="A300" s="15" t="s">
        <v>1734</v>
      </c>
      <c r="B300" s="15" t="s">
        <v>3392</v>
      </c>
      <c r="C300" s="8">
        <v>9</v>
      </c>
    </row>
    <row r="301" spans="1:3" x14ac:dyDescent="0.25">
      <c r="A301" s="15" t="s">
        <v>1736</v>
      </c>
      <c r="B301" s="15" t="s">
        <v>1737</v>
      </c>
      <c r="C301" s="8">
        <v>14</v>
      </c>
    </row>
    <row r="302" spans="1:3" x14ac:dyDescent="0.25">
      <c r="A302" s="15" t="s">
        <v>1738</v>
      </c>
      <c r="B302" s="15" t="s">
        <v>3393</v>
      </c>
      <c r="C302" s="8">
        <v>10</v>
      </c>
    </row>
    <row r="303" spans="1:3" x14ac:dyDescent="0.25">
      <c r="A303" s="15" t="s">
        <v>1740</v>
      </c>
      <c r="B303" s="15" t="s">
        <v>1741</v>
      </c>
      <c r="C303" s="8">
        <v>10</v>
      </c>
    </row>
    <row r="304" spans="1:3" x14ac:dyDescent="0.25">
      <c r="A304" s="15" t="s">
        <v>1742</v>
      </c>
      <c r="B304" s="15" t="s">
        <v>1743</v>
      </c>
      <c r="C304" s="8">
        <v>5</v>
      </c>
    </row>
    <row r="305" spans="1:3" x14ac:dyDescent="0.25">
      <c r="A305" s="15" t="s">
        <v>1744</v>
      </c>
      <c r="B305" s="15" t="s">
        <v>1745</v>
      </c>
      <c r="C305" s="8">
        <v>11</v>
      </c>
    </row>
    <row r="306" spans="1:3" x14ac:dyDescent="0.25">
      <c r="A306" s="15" t="s">
        <v>1746</v>
      </c>
      <c r="B306" s="15" t="s">
        <v>1747</v>
      </c>
      <c r="C306" s="8">
        <v>22</v>
      </c>
    </row>
    <row r="307" spans="1:3" x14ac:dyDescent="0.25">
      <c r="A307" s="15" t="s">
        <v>1748</v>
      </c>
      <c r="B307" s="15" t="s">
        <v>1749</v>
      </c>
      <c r="C307" s="8">
        <v>5</v>
      </c>
    </row>
    <row r="308" spans="1:3" x14ac:dyDescent="0.25">
      <c r="A308" s="15" t="s">
        <v>1750</v>
      </c>
      <c r="B308" s="15" t="s">
        <v>1751</v>
      </c>
      <c r="C308" s="8">
        <v>26</v>
      </c>
    </row>
    <row r="309" spans="1:3" x14ac:dyDescent="0.25">
      <c r="A309" s="15" t="s">
        <v>1752</v>
      </c>
      <c r="B309" s="15" t="s">
        <v>1753</v>
      </c>
      <c r="C309" s="8">
        <v>23</v>
      </c>
    </row>
    <row r="310" spans="1:3" x14ac:dyDescent="0.25">
      <c r="A310" s="15" t="s">
        <v>1758</v>
      </c>
      <c r="B310" s="15" t="s">
        <v>1759</v>
      </c>
      <c r="C310" s="8">
        <v>16</v>
      </c>
    </row>
    <row r="311" spans="1:3" x14ac:dyDescent="0.25">
      <c r="A311" s="15" t="s">
        <v>1760</v>
      </c>
      <c r="B311" s="15" t="s">
        <v>1761</v>
      </c>
      <c r="C311" s="8">
        <v>5</v>
      </c>
    </row>
    <row r="312" spans="1:3" x14ac:dyDescent="0.25">
      <c r="A312" s="15" t="s">
        <v>1801</v>
      </c>
      <c r="B312" s="15" t="s">
        <v>1802</v>
      </c>
      <c r="C312" s="8">
        <v>20</v>
      </c>
    </row>
    <row r="313" spans="1:3" x14ac:dyDescent="0.25">
      <c r="A313" s="15" t="s">
        <v>1803</v>
      </c>
      <c r="B313" s="15" t="s">
        <v>3394</v>
      </c>
      <c r="C313" s="8">
        <v>25</v>
      </c>
    </row>
    <row r="314" spans="1:3" x14ac:dyDescent="0.25">
      <c r="A314" s="15" t="s">
        <v>1805</v>
      </c>
      <c r="B314" s="15" t="s">
        <v>1806</v>
      </c>
      <c r="C314" s="8">
        <v>20</v>
      </c>
    </row>
    <row r="315" spans="1:3" x14ac:dyDescent="0.25">
      <c r="A315" s="15" t="s">
        <v>1807</v>
      </c>
      <c r="B315" s="15" t="s">
        <v>1808</v>
      </c>
      <c r="C315" s="8">
        <v>10</v>
      </c>
    </row>
    <row r="316" spans="1:3" x14ac:dyDescent="0.25">
      <c r="A316" s="15" t="s">
        <v>1809</v>
      </c>
      <c r="B316" s="15" t="s">
        <v>1810</v>
      </c>
      <c r="C316" s="8">
        <v>14</v>
      </c>
    </row>
    <row r="317" spans="1:3" x14ac:dyDescent="0.25">
      <c r="A317" s="15" t="s">
        <v>1811</v>
      </c>
      <c r="B317" s="15" t="s">
        <v>1812</v>
      </c>
      <c r="C317" s="8">
        <v>20</v>
      </c>
    </row>
    <row r="318" spans="1:3" x14ac:dyDescent="0.25">
      <c r="A318" s="15" t="s">
        <v>1817</v>
      </c>
      <c r="B318" s="15" t="s">
        <v>3395</v>
      </c>
      <c r="C318" s="8">
        <v>13</v>
      </c>
    </row>
    <row r="319" spans="1:3" x14ac:dyDescent="0.25">
      <c r="A319" s="15" t="s">
        <v>1819</v>
      </c>
      <c r="B319" s="15" t="s">
        <v>1820</v>
      </c>
      <c r="C319" s="8">
        <v>22</v>
      </c>
    </row>
    <row r="320" spans="1:3" x14ac:dyDescent="0.25">
      <c r="A320" s="15" t="s">
        <v>1821</v>
      </c>
      <c r="B320" s="15" t="s">
        <v>1822</v>
      </c>
      <c r="C320" s="8">
        <v>15</v>
      </c>
    </row>
    <row r="321" spans="1:3" x14ac:dyDescent="0.25">
      <c r="A321" s="15" t="s">
        <v>1823</v>
      </c>
      <c r="B321" s="15" t="s">
        <v>1824</v>
      </c>
      <c r="C321" s="8">
        <v>14</v>
      </c>
    </row>
    <row r="322" spans="1:3" x14ac:dyDescent="0.25">
      <c r="A322" s="15" t="s">
        <v>1825</v>
      </c>
      <c r="B322" s="15" t="s">
        <v>1826</v>
      </c>
      <c r="C322" s="8">
        <v>13</v>
      </c>
    </row>
    <row r="323" spans="1:3" x14ac:dyDescent="0.25">
      <c r="A323" s="15" t="s">
        <v>1827</v>
      </c>
      <c r="B323" s="15" t="s">
        <v>1828</v>
      </c>
      <c r="C323" s="8">
        <v>10</v>
      </c>
    </row>
    <row r="324" spans="1:3" x14ac:dyDescent="0.25">
      <c r="A324" s="15" t="s">
        <v>1829</v>
      </c>
      <c r="B324" s="15" t="s">
        <v>1830</v>
      </c>
      <c r="C324" s="8">
        <v>24</v>
      </c>
    </row>
    <row r="325" spans="1:3" x14ac:dyDescent="0.25">
      <c r="A325" s="15" t="s">
        <v>1882</v>
      </c>
      <c r="B325" s="15" t="s">
        <v>1883</v>
      </c>
      <c r="C325" s="8">
        <v>18</v>
      </c>
    </row>
    <row r="326" spans="1:3" x14ac:dyDescent="0.25">
      <c r="A326" s="15" t="s">
        <v>1884</v>
      </c>
      <c r="B326" s="15" t="s">
        <v>1885</v>
      </c>
      <c r="C326" s="8">
        <v>20</v>
      </c>
    </row>
    <row r="327" spans="1:3" x14ac:dyDescent="0.25">
      <c r="A327" s="15" t="s">
        <v>1886</v>
      </c>
      <c r="B327" s="15" t="s">
        <v>1887</v>
      </c>
      <c r="C327" s="8">
        <v>10</v>
      </c>
    </row>
    <row r="328" spans="1:3" x14ac:dyDescent="0.25">
      <c r="A328" s="15" t="s">
        <v>1890</v>
      </c>
      <c r="B328" s="15" t="s">
        <v>3396</v>
      </c>
      <c r="C328" s="8">
        <v>12</v>
      </c>
    </row>
    <row r="329" spans="1:3" x14ac:dyDescent="0.25">
      <c r="A329" s="15" t="s">
        <v>3397</v>
      </c>
      <c r="B329" s="15" t="s">
        <v>3398</v>
      </c>
      <c r="C329" s="8">
        <v>11</v>
      </c>
    </row>
    <row r="330" spans="1:3" x14ac:dyDescent="0.25">
      <c r="A330" s="15" t="s">
        <v>1892</v>
      </c>
      <c r="B330" s="15" t="s">
        <v>1893</v>
      </c>
      <c r="C330" s="8">
        <v>22</v>
      </c>
    </row>
    <row r="331" spans="1:3" x14ac:dyDescent="0.25">
      <c r="A331" s="15" t="s">
        <v>1894</v>
      </c>
      <c r="B331" s="15" t="s">
        <v>3399</v>
      </c>
      <c r="C331" s="8">
        <v>20</v>
      </c>
    </row>
    <row r="332" spans="1:3" x14ac:dyDescent="0.25">
      <c r="A332" s="15" t="s">
        <v>1898</v>
      </c>
      <c r="B332" s="15" t="s">
        <v>1899</v>
      </c>
      <c r="C332" s="8">
        <v>13</v>
      </c>
    </row>
    <row r="333" spans="1:3" x14ac:dyDescent="0.25">
      <c r="A333" s="15" t="s">
        <v>1900</v>
      </c>
      <c r="B333" s="15" t="s">
        <v>3400</v>
      </c>
      <c r="C333" s="8">
        <v>23</v>
      </c>
    </row>
    <row r="334" spans="1:3" x14ac:dyDescent="0.25">
      <c r="A334" s="15" t="s">
        <v>1902</v>
      </c>
      <c r="B334" s="15" t="s">
        <v>1903</v>
      </c>
      <c r="C334" s="8">
        <v>14</v>
      </c>
    </row>
    <row r="335" spans="1:3" x14ac:dyDescent="0.25">
      <c r="A335" s="15" t="s">
        <v>1904</v>
      </c>
      <c r="B335" s="15" t="s">
        <v>1905</v>
      </c>
      <c r="C335" s="8">
        <v>13</v>
      </c>
    </row>
    <row r="336" spans="1:3" x14ac:dyDescent="0.25">
      <c r="A336" s="15" t="s">
        <v>1908</v>
      </c>
      <c r="B336" s="15" t="s">
        <v>1909</v>
      </c>
      <c r="C336" s="8">
        <v>22</v>
      </c>
    </row>
    <row r="337" spans="1:3" x14ac:dyDescent="0.25">
      <c r="A337" s="15" t="s">
        <v>1910</v>
      </c>
      <c r="B337" s="15" t="s">
        <v>3401</v>
      </c>
      <c r="C337" s="8">
        <v>19</v>
      </c>
    </row>
    <row r="338" spans="1:3" x14ac:dyDescent="0.25">
      <c r="A338" s="15" t="s">
        <v>1922</v>
      </c>
      <c r="B338" s="15" t="s">
        <v>1923</v>
      </c>
      <c r="C338" s="8">
        <v>12</v>
      </c>
    </row>
    <row r="339" spans="1:3" x14ac:dyDescent="0.25">
      <c r="A339" s="15" t="s">
        <v>1926</v>
      </c>
      <c r="B339" s="15" t="s">
        <v>3402</v>
      </c>
      <c r="C339" s="8">
        <v>39</v>
      </c>
    </row>
    <row r="340" spans="1:3" x14ac:dyDescent="0.25">
      <c r="A340" s="15" t="s">
        <v>1934</v>
      </c>
      <c r="B340" s="15" t="s">
        <v>1935</v>
      </c>
      <c r="C340" s="8">
        <v>6</v>
      </c>
    </row>
    <row r="341" spans="1:3" x14ac:dyDescent="0.25">
      <c r="A341" s="15" t="s">
        <v>2008</v>
      </c>
      <c r="B341" s="15" t="s">
        <v>2009</v>
      </c>
      <c r="C341" s="8">
        <v>9</v>
      </c>
    </row>
    <row r="342" spans="1:3" x14ac:dyDescent="0.25">
      <c r="A342" s="15" t="s">
        <v>2010</v>
      </c>
      <c r="B342" s="15" t="s">
        <v>3403</v>
      </c>
      <c r="C342" s="8">
        <v>10</v>
      </c>
    </row>
    <row r="343" spans="1:3" x14ac:dyDescent="0.25">
      <c r="A343" s="15" t="s">
        <v>2012</v>
      </c>
      <c r="B343" s="15" t="s">
        <v>2013</v>
      </c>
      <c r="C343" s="8">
        <v>15</v>
      </c>
    </row>
    <row r="344" spans="1:3" x14ac:dyDescent="0.25">
      <c r="A344" s="15" t="s">
        <v>2017</v>
      </c>
      <c r="B344" s="15" t="s">
        <v>2018</v>
      </c>
      <c r="C344" s="8">
        <v>45</v>
      </c>
    </row>
    <row r="345" spans="1:3" x14ac:dyDescent="0.25">
      <c r="A345" s="15" t="s">
        <v>2021</v>
      </c>
      <c r="B345" s="15" t="s">
        <v>3404</v>
      </c>
      <c r="C345" s="8">
        <v>12</v>
      </c>
    </row>
    <row r="346" spans="1:3" x14ac:dyDescent="0.25">
      <c r="A346" s="15" t="s">
        <v>2091</v>
      </c>
      <c r="B346" s="15" t="s">
        <v>2092</v>
      </c>
      <c r="C346" s="8">
        <v>21</v>
      </c>
    </row>
    <row r="347" spans="1:3" x14ac:dyDescent="0.25">
      <c r="A347" s="15" t="s">
        <v>2093</v>
      </c>
      <c r="B347" s="15" t="s">
        <v>2094</v>
      </c>
      <c r="C347" s="8">
        <v>17</v>
      </c>
    </row>
    <row r="348" spans="1:3" x14ac:dyDescent="0.25">
      <c r="A348" s="15" t="s">
        <v>2095</v>
      </c>
      <c r="B348" s="15" t="s">
        <v>2096</v>
      </c>
      <c r="C348" s="8">
        <v>10</v>
      </c>
    </row>
    <row r="349" spans="1:3" x14ac:dyDescent="0.25">
      <c r="A349" s="15" t="s">
        <v>2097</v>
      </c>
      <c r="B349" s="15" t="s">
        <v>2098</v>
      </c>
      <c r="C349" s="8">
        <v>30</v>
      </c>
    </row>
    <row r="350" spans="1:3" x14ac:dyDescent="0.25">
      <c r="A350" s="15" t="s">
        <v>2099</v>
      </c>
      <c r="B350" s="15" t="s">
        <v>2100</v>
      </c>
      <c r="C350" s="8">
        <v>7</v>
      </c>
    </row>
    <row r="351" spans="1:3" x14ac:dyDescent="0.25">
      <c r="A351" s="15" t="s">
        <v>2101</v>
      </c>
      <c r="B351" s="15" t="s">
        <v>2102</v>
      </c>
      <c r="C351" s="8">
        <v>24</v>
      </c>
    </row>
    <row r="352" spans="1:3" x14ac:dyDescent="0.25">
      <c r="A352" s="15" t="s">
        <v>2103</v>
      </c>
      <c r="B352" s="15" t="s">
        <v>2104</v>
      </c>
      <c r="C352" s="8">
        <v>25</v>
      </c>
    </row>
    <row r="353" spans="1:3" x14ac:dyDescent="0.25">
      <c r="A353" s="15" t="s">
        <v>2105</v>
      </c>
      <c r="B353" s="15" t="s">
        <v>3405</v>
      </c>
      <c r="C353" s="8">
        <v>15</v>
      </c>
    </row>
    <row r="354" spans="1:3" x14ac:dyDescent="0.25">
      <c r="A354" s="15" t="s">
        <v>2107</v>
      </c>
      <c r="B354" s="15" t="s">
        <v>2108</v>
      </c>
      <c r="C354" s="8">
        <v>19</v>
      </c>
    </row>
    <row r="355" spans="1:3" x14ac:dyDescent="0.25">
      <c r="A355" s="15" t="s">
        <v>2109</v>
      </c>
      <c r="B355" s="15" t="s">
        <v>3406</v>
      </c>
      <c r="C355" s="8">
        <v>4</v>
      </c>
    </row>
    <row r="356" spans="1:3" x14ac:dyDescent="0.25">
      <c r="A356" s="15" t="s">
        <v>2111</v>
      </c>
      <c r="B356" s="15" t="s">
        <v>2112</v>
      </c>
      <c r="C356" s="8">
        <v>17</v>
      </c>
    </row>
    <row r="357" spans="1:3" x14ac:dyDescent="0.25">
      <c r="A357" s="15" t="s">
        <v>2113</v>
      </c>
      <c r="B357" s="15" t="s">
        <v>2114</v>
      </c>
      <c r="C357" s="8">
        <v>20</v>
      </c>
    </row>
    <row r="358" spans="1:3" x14ac:dyDescent="0.25">
      <c r="A358" s="15" t="s">
        <v>2181</v>
      </c>
      <c r="B358" s="15" t="s">
        <v>2182</v>
      </c>
      <c r="C358" s="8">
        <v>35</v>
      </c>
    </row>
    <row r="359" spans="1:3" x14ac:dyDescent="0.25">
      <c r="A359" s="15" t="s">
        <v>2183</v>
      </c>
      <c r="B359" s="15" t="s">
        <v>2184</v>
      </c>
      <c r="C359" s="8">
        <v>23</v>
      </c>
    </row>
    <row r="360" spans="1:3" x14ac:dyDescent="0.25">
      <c r="A360" s="15" t="s">
        <v>2185</v>
      </c>
      <c r="B360" s="15" t="s">
        <v>2186</v>
      </c>
      <c r="C360" s="8">
        <v>16</v>
      </c>
    </row>
    <row r="361" spans="1:3" x14ac:dyDescent="0.25">
      <c r="A361" s="15" t="s">
        <v>2187</v>
      </c>
      <c r="B361" s="15" t="s">
        <v>2188</v>
      </c>
      <c r="C361" s="8">
        <v>2</v>
      </c>
    </row>
    <row r="362" spans="1:3" x14ac:dyDescent="0.25">
      <c r="A362" s="15" t="s">
        <v>2189</v>
      </c>
      <c r="B362" s="15" t="s">
        <v>2190</v>
      </c>
      <c r="C362" s="8">
        <v>13</v>
      </c>
    </row>
    <row r="363" spans="1:3" x14ac:dyDescent="0.25">
      <c r="A363" s="15" t="s">
        <v>2191</v>
      </c>
      <c r="B363" s="15" t="s">
        <v>2192</v>
      </c>
      <c r="C363" s="8">
        <v>14</v>
      </c>
    </row>
    <row r="364" spans="1:3" x14ac:dyDescent="0.25">
      <c r="A364" s="15" t="s">
        <v>2230</v>
      </c>
      <c r="B364" s="15" t="s">
        <v>2231</v>
      </c>
      <c r="C364" s="8">
        <v>22</v>
      </c>
    </row>
    <row r="365" spans="1:3" x14ac:dyDescent="0.25">
      <c r="A365" s="15" t="s">
        <v>2232</v>
      </c>
      <c r="B365" s="15" t="s">
        <v>2233</v>
      </c>
      <c r="C365" s="8">
        <v>14</v>
      </c>
    </row>
    <row r="366" spans="1:3" x14ac:dyDescent="0.25">
      <c r="A366" s="15" t="s">
        <v>2240</v>
      </c>
      <c r="B366" s="15" t="s">
        <v>2241</v>
      </c>
      <c r="C366" s="8">
        <v>37</v>
      </c>
    </row>
    <row r="367" spans="1:3" x14ac:dyDescent="0.25">
      <c r="A367" s="15" t="s">
        <v>2242</v>
      </c>
      <c r="B367" s="15" t="s">
        <v>2243</v>
      </c>
      <c r="C367" s="8">
        <v>12</v>
      </c>
    </row>
    <row r="368" spans="1:3" x14ac:dyDescent="0.25">
      <c r="A368" s="15" t="s">
        <v>2244</v>
      </c>
      <c r="B368" s="15" t="s">
        <v>2245</v>
      </c>
      <c r="C368" s="8">
        <v>27</v>
      </c>
    </row>
    <row r="369" spans="1:3" x14ac:dyDescent="0.25">
      <c r="A369" s="15" t="s">
        <v>2252</v>
      </c>
      <c r="B369" s="15" t="s">
        <v>3407</v>
      </c>
      <c r="C369" s="8">
        <v>23</v>
      </c>
    </row>
    <row r="370" spans="1:3" x14ac:dyDescent="0.25">
      <c r="A370" s="15" t="s">
        <v>2319</v>
      </c>
      <c r="B370" s="15" t="s">
        <v>2320</v>
      </c>
      <c r="C370" s="8">
        <v>19</v>
      </c>
    </row>
    <row r="371" spans="1:3" x14ac:dyDescent="0.25">
      <c r="A371" s="15" t="s">
        <v>2324</v>
      </c>
      <c r="B371" s="15" t="s">
        <v>2325</v>
      </c>
      <c r="C371" s="8">
        <v>16</v>
      </c>
    </row>
    <row r="372" spans="1:3" x14ac:dyDescent="0.25">
      <c r="A372" s="15" t="s">
        <v>2326</v>
      </c>
      <c r="B372" s="15" t="s">
        <v>2327</v>
      </c>
      <c r="C372" s="8">
        <v>4</v>
      </c>
    </row>
    <row r="373" spans="1:3" x14ac:dyDescent="0.25">
      <c r="A373" s="15" t="s">
        <v>2330</v>
      </c>
      <c r="B373" s="15" t="s">
        <v>2331</v>
      </c>
      <c r="C373" s="8">
        <v>18</v>
      </c>
    </row>
    <row r="374" spans="1:3" x14ac:dyDescent="0.25">
      <c r="A374" s="15" t="s">
        <v>2332</v>
      </c>
      <c r="B374" s="15" t="s">
        <v>2333</v>
      </c>
      <c r="C374" s="8">
        <v>30</v>
      </c>
    </row>
    <row r="375" spans="1:3" x14ac:dyDescent="0.25">
      <c r="A375" s="15" t="s">
        <v>2335</v>
      </c>
      <c r="B375" s="15" t="s">
        <v>2336</v>
      </c>
      <c r="C375" s="8">
        <v>8</v>
      </c>
    </row>
    <row r="376" spans="1:3" x14ac:dyDescent="0.25">
      <c r="A376" s="15" t="s">
        <v>2349</v>
      </c>
      <c r="B376" s="15" t="s">
        <v>2350</v>
      </c>
      <c r="C376" s="8">
        <v>31</v>
      </c>
    </row>
    <row r="377" spans="1:3" x14ac:dyDescent="0.25">
      <c r="A377" s="15" t="s">
        <v>2351</v>
      </c>
      <c r="B377" s="15" t="s">
        <v>2352</v>
      </c>
      <c r="C377" s="8">
        <v>30</v>
      </c>
    </row>
    <row r="378" spans="1:3" x14ac:dyDescent="0.25">
      <c r="A378" s="15" t="s">
        <v>2353</v>
      </c>
      <c r="B378" s="15" t="s">
        <v>3408</v>
      </c>
      <c r="C378" s="8">
        <v>0</v>
      </c>
    </row>
    <row r="379" spans="1:3" x14ac:dyDescent="0.25">
      <c r="A379" s="15" t="s">
        <v>2355</v>
      </c>
      <c r="B379" s="15" t="s">
        <v>3409</v>
      </c>
      <c r="C379" s="8">
        <v>5</v>
      </c>
    </row>
    <row r="380" spans="1:3" x14ac:dyDescent="0.25">
      <c r="A380" s="15" t="s">
        <v>2357</v>
      </c>
      <c r="B380" s="15" t="s">
        <v>2358</v>
      </c>
      <c r="C380" s="8">
        <v>16</v>
      </c>
    </row>
    <row r="381" spans="1:3" x14ac:dyDescent="0.25">
      <c r="A381" s="15" t="s">
        <v>2359</v>
      </c>
      <c r="B381" s="15" t="s">
        <v>3410</v>
      </c>
      <c r="C381" s="8">
        <v>12</v>
      </c>
    </row>
    <row r="382" spans="1:3" x14ac:dyDescent="0.25">
      <c r="A382" s="15" t="s">
        <v>2361</v>
      </c>
      <c r="B382" s="15" t="s">
        <v>2362</v>
      </c>
      <c r="C382" s="8">
        <v>2</v>
      </c>
    </row>
    <row r="383" spans="1:3" x14ac:dyDescent="0.25">
      <c r="A383" s="15" t="s">
        <v>2363</v>
      </c>
      <c r="B383" s="15" t="s">
        <v>2364</v>
      </c>
      <c r="C383" s="8">
        <v>38</v>
      </c>
    </row>
    <row r="384" spans="1:3" x14ac:dyDescent="0.25">
      <c r="A384" s="15" t="s">
        <v>2366</v>
      </c>
      <c r="B384" s="15" t="s">
        <v>2367</v>
      </c>
      <c r="C384" s="8">
        <v>20</v>
      </c>
    </row>
    <row r="385" spans="1:3" x14ac:dyDescent="0.25">
      <c r="A385" s="15" t="s">
        <v>2368</v>
      </c>
      <c r="B385" s="15" t="s">
        <v>2369</v>
      </c>
      <c r="C385" s="8">
        <v>20</v>
      </c>
    </row>
    <row r="386" spans="1:3" x14ac:dyDescent="0.25">
      <c r="A386" s="15" t="s">
        <v>2430</v>
      </c>
      <c r="B386" s="15" t="s">
        <v>2431</v>
      </c>
      <c r="C386" s="8">
        <v>18</v>
      </c>
    </row>
    <row r="387" spans="1:3" x14ac:dyDescent="0.25">
      <c r="A387" s="15" t="s">
        <v>2432</v>
      </c>
      <c r="B387" s="15" t="s">
        <v>2433</v>
      </c>
      <c r="C387" s="8">
        <v>9</v>
      </c>
    </row>
    <row r="388" spans="1:3" x14ac:dyDescent="0.25">
      <c r="A388" s="15" t="s">
        <v>2440</v>
      </c>
      <c r="B388" s="15" t="s">
        <v>2441</v>
      </c>
      <c r="C388" s="8">
        <v>4</v>
      </c>
    </row>
    <row r="389" spans="1:3" x14ac:dyDescent="0.25">
      <c r="A389" s="15" t="s">
        <v>2442</v>
      </c>
      <c r="B389" s="15" t="s">
        <v>2443</v>
      </c>
      <c r="C389" s="8">
        <v>8</v>
      </c>
    </row>
    <row r="390" spans="1:3" x14ac:dyDescent="0.25">
      <c r="A390" s="15" t="s">
        <v>2444</v>
      </c>
      <c r="B390" s="15" t="s">
        <v>2445</v>
      </c>
      <c r="C390" s="8">
        <v>15</v>
      </c>
    </row>
    <row r="391" spans="1:3" x14ac:dyDescent="0.25">
      <c r="A391" s="15" t="s">
        <v>2446</v>
      </c>
      <c r="B391" s="15" t="s">
        <v>3411</v>
      </c>
      <c r="C391" s="8">
        <v>28</v>
      </c>
    </row>
    <row r="392" spans="1:3" x14ac:dyDescent="0.25">
      <c r="A392" s="15" t="s">
        <v>2452</v>
      </c>
      <c r="B392" s="15" t="s">
        <v>2453</v>
      </c>
      <c r="C392" s="8">
        <v>30</v>
      </c>
    </row>
    <row r="393" spans="1:3" x14ac:dyDescent="0.25">
      <c r="A393" s="15" t="s">
        <v>2454</v>
      </c>
      <c r="B393" s="15" t="s">
        <v>2455</v>
      </c>
      <c r="C393" s="8">
        <v>22</v>
      </c>
    </row>
    <row r="394" spans="1:3" x14ac:dyDescent="0.25">
      <c r="A394" s="15" t="s">
        <v>2458</v>
      </c>
      <c r="B394" s="15" t="s">
        <v>2459</v>
      </c>
      <c r="C394" s="8">
        <v>11</v>
      </c>
    </row>
    <row r="395" spans="1:3" x14ac:dyDescent="0.25">
      <c r="A395" s="15" t="s">
        <v>2460</v>
      </c>
      <c r="B395" s="15" t="s">
        <v>2461</v>
      </c>
      <c r="C395" s="8">
        <v>12</v>
      </c>
    </row>
    <row r="396" spans="1:3" x14ac:dyDescent="0.25">
      <c r="A396" s="15" t="s">
        <v>2462</v>
      </c>
      <c r="B396" s="15" t="s">
        <v>2463</v>
      </c>
      <c r="C396" s="8">
        <v>5</v>
      </c>
    </row>
    <row r="397" spans="1:3" x14ac:dyDescent="0.25">
      <c r="A397" s="15" t="s">
        <v>2464</v>
      </c>
      <c r="B397" s="15" t="s">
        <v>2465</v>
      </c>
      <c r="C397" s="8">
        <v>13</v>
      </c>
    </row>
    <row r="398" spans="1:3" x14ac:dyDescent="0.25">
      <c r="A398" s="15" t="s">
        <v>2518</v>
      </c>
      <c r="B398" s="15" t="s">
        <v>2519</v>
      </c>
      <c r="C398" s="8">
        <v>17</v>
      </c>
    </row>
    <row r="399" spans="1:3" x14ac:dyDescent="0.25">
      <c r="A399" s="15" t="s">
        <v>2524</v>
      </c>
      <c r="B399" s="15" t="s">
        <v>2525</v>
      </c>
      <c r="C399" s="8">
        <v>16</v>
      </c>
    </row>
    <row r="400" spans="1:3" x14ac:dyDescent="0.25">
      <c r="A400" s="15" t="s">
        <v>2526</v>
      </c>
      <c r="B400" s="15" t="s">
        <v>2527</v>
      </c>
      <c r="C400" s="8">
        <v>54</v>
      </c>
    </row>
    <row r="401" spans="1:3" x14ac:dyDescent="0.25">
      <c r="A401" s="15" t="s">
        <v>2528</v>
      </c>
      <c r="B401" s="15" t="s">
        <v>2529</v>
      </c>
      <c r="C401" s="8">
        <v>18</v>
      </c>
    </row>
    <row r="402" spans="1:3" x14ac:dyDescent="0.25">
      <c r="A402" s="15" t="s">
        <v>2530</v>
      </c>
      <c r="B402" s="15" t="s">
        <v>2531</v>
      </c>
      <c r="C402" s="8">
        <v>44</v>
      </c>
    </row>
    <row r="403" spans="1:3" x14ac:dyDescent="0.25">
      <c r="A403" s="15" t="s">
        <v>2532</v>
      </c>
      <c r="B403" s="15" t="s">
        <v>3412</v>
      </c>
      <c r="C403" s="8">
        <v>9</v>
      </c>
    </row>
    <row r="404" spans="1:3" x14ac:dyDescent="0.25">
      <c r="A404" s="15" t="s">
        <v>2609</v>
      </c>
      <c r="B404" s="15" t="s">
        <v>2610</v>
      </c>
      <c r="C404" s="8">
        <v>21</v>
      </c>
    </row>
    <row r="405" spans="1:3" x14ac:dyDescent="0.25">
      <c r="A405" s="15" t="s">
        <v>2611</v>
      </c>
      <c r="B405" s="15" t="s">
        <v>2612</v>
      </c>
      <c r="C405" s="8">
        <v>6</v>
      </c>
    </row>
    <row r="406" spans="1:3" x14ac:dyDescent="0.25">
      <c r="A406" s="15" t="s">
        <v>2613</v>
      </c>
      <c r="B406" s="15" t="s">
        <v>2614</v>
      </c>
      <c r="C406" s="8">
        <v>24</v>
      </c>
    </row>
    <row r="407" spans="1:3" x14ac:dyDescent="0.25">
      <c r="A407" s="15" t="s">
        <v>2621</v>
      </c>
      <c r="B407" s="15" t="s">
        <v>3413</v>
      </c>
      <c r="C407" s="8">
        <v>16</v>
      </c>
    </row>
    <row r="408" spans="1:3" x14ac:dyDescent="0.25">
      <c r="A408" s="15" t="s">
        <v>2625</v>
      </c>
      <c r="B408" s="15" t="s">
        <v>3414</v>
      </c>
      <c r="C408" s="8">
        <v>16</v>
      </c>
    </row>
    <row r="409" spans="1:3" x14ac:dyDescent="0.25">
      <c r="A409" s="15" t="s">
        <v>2627</v>
      </c>
      <c r="B409" s="15" t="s">
        <v>3415</v>
      </c>
      <c r="C409" s="8">
        <v>16</v>
      </c>
    </row>
    <row r="410" spans="1:3" x14ac:dyDescent="0.25">
      <c r="A410" s="15" t="s">
        <v>2629</v>
      </c>
      <c r="B410" s="15" t="s">
        <v>2630</v>
      </c>
      <c r="C410" s="8">
        <v>18</v>
      </c>
    </row>
    <row r="411" spans="1:3" x14ac:dyDescent="0.25">
      <c r="A411" s="15" t="s">
        <v>2639</v>
      </c>
      <c r="B411" s="15" t="s">
        <v>2640</v>
      </c>
      <c r="C411" s="8">
        <v>15</v>
      </c>
    </row>
    <row r="412" spans="1:3" x14ac:dyDescent="0.25">
      <c r="A412" s="15" t="s">
        <v>2641</v>
      </c>
      <c r="B412" s="15" t="s">
        <v>3416</v>
      </c>
      <c r="C412" s="8">
        <v>31</v>
      </c>
    </row>
    <row r="413" spans="1:3" x14ac:dyDescent="0.25">
      <c r="A413" s="15" t="s">
        <v>2645</v>
      </c>
      <c r="B413" s="15" t="s">
        <v>2646</v>
      </c>
      <c r="C413" s="8">
        <v>15</v>
      </c>
    </row>
    <row r="414" spans="1:3" x14ac:dyDescent="0.25">
      <c r="A414" s="15" t="s">
        <v>2647</v>
      </c>
      <c r="B414" s="15" t="s">
        <v>2648</v>
      </c>
      <c r="C414" s="8">
        <v>25</v>
      </c>
    </row>
    <row r="415" spans="1:3" x14ac:dyDescent="0.25">
      <c r="A415" s="15" t="s">
        <v>2653</v>
      </c>
      <c r="B415" s="15" t="s">
        <v>2654</v>
      </c>
      <c r="C415" s="8">
        <v>12</v>
      </c>
    </row>
    <row r="416" spans="1:3" x14ac:dyDescent="0.25">
      <c r="A416" s="15" t="s">
        <v>2655</v>
      </c>
      <c r="B416" s="15" t="s">
        <v>2656</v>
      </c>
      <c r="C416" s="8">
        <v>34</v>
      </c>
    </row>
    <row r="417" spans="1:3" x14ac:dyDescent="0.25">
      <c r="A417" s="15" t="s">
        <v>2658</v>
      </c>
      <c r="B417" s="15" t="s">
        <v>2659</v>
      </c>
      <c r="C417" s="8">
        <v>27</v>
      </c>
    </row>
    <row r="418" spans="1:3" x14ac:dyDescent="0.25">
      <c r="A418" s="15" t="s">
        <v>2660</v>
      </c>
      <c r="B418" s="15" t="s">
        <v>3417</v>
      </c>
      <c r="C418" s="8">
        <v>16</v>
      </c>
    </row>
    <row r="419" spans="1:3" x14ac:dyDescent="0.25">
      <c r="A419" s="15" t="s">
        <v>2703</v>
      </c>
      <c r="B419" s="15" t="s">
        <v>2704</v>
      </c>
      <c r="C419" s="8">
        <v>3</v>
      </c>
    </row>
    <row r="420" spans="1:3" x14ac:dyDescent="0.25">
      <c r="A420" s="15" t="s">
        <v>2721</v>
      </c>
      <c r="B420" s="15" t="s">
        <v>2722</v>
      </c>
      <c r="C420" s="8">
        <v>10</v>
      </c>
    </row>
    <row r="421" spans="1:3" x14ac:dyDescent="0.25">
      <c r="A421" s="15" t="s">
        <v>2727</v>
      </c>
      <c r="B421" s="15" t="s">
        <v>2728</v>
      </c>
      <c r="C421" s="8">
        <v>18</v>
      </c>
    </row>
    <row r="422" spans="1:3" x14ac:dyDescent="0.25">
      <c r="A422" s="15" t="s">
        <v>2731</v>
      </c>
      <c r="B422" s="15" t="s">
        <v>2732</v>
      </c>
      <c r="C422" s="8">
        <v>12</v>
      </c>
    </row>
    <row r="423" spans="1:3" x14ac:dyDescent="0.25">
      <c r="A423" s="15" t="s">
        <v>2733</v>
      </c>
      <c r="B423" s="15" t="s">
        <v>2734</v>
      </c>
      <c r="C423" s="8">
        <v>9</v>
      </c>
    </row>
    <row r="424" spans="1:3" x14ac:dyDescent="0.25">
      <c r="A424" s="15" t="s">
        <v>2737</v>
      </c>
      <c r="B424" s="15" t="s">
        <v>2738</v>
      </c>
      <c r="C424" s="8">
        <v>14</v>
      </c>
    </row>
    <row r="425" spans="1:3" x14ac:dyDescent="0.25">
      <c r="A425" s="15" t="s">
        <v>2741</v>
      </c>
      <c r="B425" s="15" t="s">
        <v>2742</v>
      </c>
      <c r="C425" s="8">
        <v>9</v>
      </c>
    </row>
    <row r="426" spans="1:3" x14ac:dyDescent="0.25">
      <c r="A426" s="15" t="s">
        <v>2747</v>
      </c>
      <c r="B426" s="15" t="s">
        <v>2748</v>
      </c>
      <c r="C426" s="8">
        <v>26</v>
      </c>
    </row>
    <row r="427" spans="1:3" x14ac:dyDescent="0.25">
      <c r="A427" s="15" t="s">
        <v>2749</v>
      </c>
      <c r="B427" s="15" t="s">
        <v>2750</v>
      </c>
      <c r="C427" s="8">
        <v>31</v>
      </c>
    </row>
    <row r="428" spans="1:3" x14ac:dyDescent="0.25">
      <c r="A428" s="15" t="s">
        <v>2751</v>
      </c>
      <c r="B428" s="15" t="s">
        <v>3418</v>
      </c>
      <c r="C428" s="8">
        <v>26</v>
      </c>
    </row>
    <row r="429" spans="1:3" x14ac:dyDescent="0.25">
      <c r="A429" s="15" t="s">
        <v>2753</v>
      </c>
      <c r="B429" s="15" t="s">
        <v>2754</v>
      </c>
      <c r="C429" s="8">
        <v>5</v>
      </c>
    </row>
    <row r="430" spans="1:3" x14ac:dyDescent="0.25">
      <c r="A430" s="15" t="s">
        <v>2755</v>
      </c>
      <c r="B430" s="15" t="s">
        <v>2756</v>
      </c>
      <c r="C430" s="8">
        <v>16</v>
      </c>
    </row>
    <row r="431" spans="1:3" x14ac:dyDescent="0.25">
      <c r="A431" s="15" t="s">
        <v>2757</v>
      </c>
      <c r="B431" s="15" t="s">
        <v>3419</v>
      </c>
      <c r="C431" s="8">
        <v>11</v>
      </c>
    </row>
    <row r="432" spans="1:3" x14ac:dyDescent="0.25">
      <c r="A432" s="15" t="s">
        <v>2759</v>
      </c>
      <c r="B432" s="15" t="s">
        <v>2760</v>
      </c>
      <c r="C432" s="8">
        <v>19</v>
      </c>
    </row>
    <row r="433" spans="1:3" x14ac:dyDescent="0.25">
      <c r="A433" s="15" t="s">
        <v>2761</v>
      </c>
      <c r="B433" s="15" t="s">
        <v>2762</v>
      </c>
      <c r="C433" s="8">
        <v>4</v>
      </c>
    </row>
    <row r="434" spans="1:3" x14ac:dyDescent="0.25">
      <c r="A434" s="15" t="s">
        <v>2818</v>
      </c>
      <c r="B434" s="15" t="s">
        <v>3420</v>
      </c>
      <c r="C434" s="8">
        <v>6</v>
      </c>
    </row>
    <row r="435" spans="1:3" x14ac:dyDescent="0.25">
      <c r="A435" s="15" t="s">
        <v>2820</v>
      </c>
      <c r="B435" s="15" t="s">
        <v>2821</v>
      </c>
      <c r="C435" s="8">
        <v>14</v>
      </c>
    </row>
    <row r="436" spans="1:3" x14ac:dyDescent="0.25">
      <c r="A436" s="15" t="s">
        <v>2824</v>
      </c>
      <c r="B436" s="15" t="s">
        <v>3421</v>
      </c>
      <c r="C436" s="8">
        <v>25</v>
      </c>
    </row>
    <row r="437" spans="1:3" x14ac:dyDescent="0.25">
      <c r="A437" s="15" t="s">
        <v>2826</v>
      </c>
      <c r="B437" s="15" t="s">
        <v>2827</v>
      </c>
      <c r="C437" s="8">
        <v>14</v>
      </c>
    </row>
    <row r="438" spans="1:3" x14ac:dyDescent="0.25">
      <c r="A438" s="15" t="s">
        <v>2832</v>
      </c>
      <c r="B438" s="15" t="s">
        <v>3422</v>
      </c>
      <c r="C438" s="8">
        <v>24</v>
      </c>
    </row>
    <row r="439" spans="1:3" x14ac:dyDescent="0.25">
      <c r="A439" s="15" t="s">
        <v>2834</v>
      </c>
      <c r="B439" s="15" t="s">
        <v>3423</v>
      </c>
      <c r="C439" s="8">
        <v>23</v>
      </c>
    </row>
    <row r="440" spans="1:3" x14ac:dyDescent="0.25">
      <c r="A440" s="15" t="s">
        <v>2840</v>
      </c>
      <c r="B440" s="15" t="s">
        <v>3424</v>
      </c>
      <c r="C440" s="8">
        <v>17</v>
      </c>
    </row>
    <row r="441" spans="1:3" x14ac:dyDescent="0.25">
      <c r="A441" s="15" t="s">
        <v>2842</v>
      </c>
      <c r="B441" s="15" t="s">
        <v>2843</v>
      </c>
      <c r="C441" s="8">
        <v>14</v>
      </c>
    </row>
    <row r="442" spans="1:3" x14ac:dyDescent="0.25">
      <c r="A442" s="15" t="s">
        <v>2844</v>
      </c>
      <c r="B442" s="15" t="s">
        <v>2845</v>
      </c>
      <c r="C442" s="8">
        <v>28</v>
      </c>
    </row>
    <row r="443" spans="1:3" x14ac:dyDescent="0.25">
      <c r="A443" s="15" t="s">
        <v>2853</v>
      </c>
      <c r="B443" s="15" t="s">
        <v>3425</v>
      </c>
      <c r="C443" s="8">
        <v>16</v>
      </c>
    </row>
    <row r="444" spans="1:3" x14ac:dyDescent="0.25">
      <c r="A444" s="15" t="s">
        <v>2855</v>
      </c>
      <c r="B444" s="15" t="s">
        <v>3426</v>
      </c>
      <c r="C444" s="8">
        <v>28</v>
      </c>
    </row>
    <row r="445" spans="1:3" x14ac:dyDescent="0.25">
      <c r="A445" s="15" t="s">
        <v>2924</v>
      </c>
      <c r="B445" s="15" t="s">
        <v>2925</v>
      </c>
      <c r="C445" s="8">
        <v>29</v>
      </c>
    </row>
    <row r="446" spans="1:3" x14ac:dyDescent="0.25">
      <c r="A446" s="15" t="s">
        <v>2928</v>
      </c>
      <c r="B446" s="15" t="s">
        <v>2929</v>
      </c>
      <c r="C446" s="8">
        <v>10</v>
      </c>
    </row>
    <row r="447" spans="1:3" x14ac:dyDescent="0.25">
      <c r="A447" s="15" t="s">
        <v>2934</v>
      </c>
      <c r="B447" s="15" t="s">
        <v>2935</v>
      </c>
      <c r="C447" s="8">
        <v>5</v>
      </c>
    </row>
    <row r="448" spans="1:3" x14ac:dyDescent="0.25">
      <c r="A448" s="15" t="s">
        <v>2946</v>
      </c>
      <c r="B448" s="15" t="s">
        <v>2947</v>
      </c>
      <c r="C448" s="8">
        <v>13</v>
      </c>
    </row>
    <row r="449" spans="1:3" x14ac:dyDescent="0.25">
      <c r="A449" s="15" t="s">
        <v>2950</v>
      </c>
      <c r="B449" s="15" t="s">
        <v>2951</v>
      </c>
      <c r="C449" s="8">
        <v>38</v>
      </c>
    </row>
    <row r="450" spans="1:3" x14ac:dyDescent="0.25">
      <c r="A450" s="15" t="s">
        <v>2952</v>
      </c>
      <c r="B450" s="15" t="s">
        <v>2953</v>
      </c>
      <c r="C450" s="8">
        <v>25</v>
      </c>
    </row>
    <row r="451" spans="1:3" x14ac:dyDescent="0.25">
      <c r="A451" s="15" t="s">
        <v>2957</v>
      </c>
      <c r="B451" s="15" t="s">
        <v>2958</v>
      </c>
      <c r="C451" s="8">
        <v>10</v>
      </c>
    </row>
    <row r="452" spans="1:3" x14ac:dyDescent="0.25">
      <c r="A452" s="15" t="s">
        <v>2959</v>
      </c>
      <c r="B452" s="15" t="s">
        <v>2960</v>
      </c>
      <c r="C452" s="8">
        <v>21</v>
      </c>
    </row>
    <row r="453" spans="1:3" x14ac:dyDescent="0.25">
      <c r="A453" s="15" t="s">
        <v>2961</v>
      </c>
      <c r="B453" s="15" t="s">
        <v>3427</v>
      </c>
      <c r="C453" s="8">
        <v>10</v>
      </c>
    </row>
    <row r="454" spans="1:3" x14ac:dyDescent="0.25">
      <c r="A454" s="15" t="s">
        <v>2963</v>
      </c>
      <c r="B454" s="15" t="s">
        <v>2964</v>
      </c>
      <c r="C454" s="8">
        <v>22</v>
      </c>
    </row>
    <row r="455" spans="1:3" x14ac:dyDescent="0.25">
      <c r="A455" s="15" t="s">
        <v>2965</v>
      </c>
      <c r="B455" s="15" t="s">
        <v>2966</v>
      </c>
      <c r="C455" s="8">
        <v>7</v>
      </c>
    </row>
    <row r="456" spans="1:3" x14ac:dyDescent="0.25">
      <c r="A456" s="15" t="s">
        <v>3012</v>
      </c>
      <c r="B456" s="15" t="s">
        <v>3013</v>
      </c>
      <c r="C456" s="8">
        <v>18</v>
      </c>
    </row>
    <row r="457" spans="1:3" x14ac:dyDescent="0.25">
      <c r="A457" s="15" t="s">
        <v>3042</v>
      </c>
      <c r="B457" s="15" t="s">
        <v>3043</v>
      </c>
      <c r="C457" s="8">
        <v>6</v>
      </c>
    </row>
    <row r="458" spans="1:3" x14ac:dyDescent="0.25">
      <c r="A458" s="15" t="s">
        <v>3076</v>
      </c>
      <c r="B458" s="15" t="s">
        <v>3077</v>
      </c>
      <c r="C458" s="8">
        <v>9</v>
      </c>
    </row>
    <row r="459" spans="1:3" x14ac:dyDescent="0.25">
      <c r="A459" s="15" t="s">
        <v>3092</v>
      </c>
      <c r="B459" s="15" t="s">
        <v>3093</v>
      </c>
      <c r="C459" s="8">
        <v>5</v>
      </c>
    </row>
    <row r="460" spans="1:3" x14ac:dyDescent="0.25">
      <c r="A460" s="15" t="s">
        <v>3098</v>
      </c>
      <c r="B460" s="15" t="s">
        <v>3099</v>
      </c>
      <c r="C460" s="8">
        <v>30</v>
      </c>
    </row>
    <row r="461" spans="1:3" x14ac:dyDescent="0.25">
      <c r="A461" s="15" t="s">
        <v>3100</v>
      </c>
      <c r="B461" s="15" t="s">
        <v>3101</v>
      </c>
      <c r="C461" s="8">
        <v>28</v>
      </c>
    </row>
    <row r="462" spans="1:3" x14ac:dyDescent="0.25">
      <c r="A462" s="15" t="s">
        <v>3102</v>
      </c>
      <c r="B462" s="15" t="s">
        <v>3103</v>
      </c>
      <c r="C462" s="8">
        <v>19</v>
      </c>
    </row>
    <row r="463" spans="1:3" x14ac:dyDescent="0.25">
      <c r="A463" s="15" t="s">
        <v>3104</v>
      </c>
      <c r="B463" s="15" t="s">
        <v>3105</v>
      </c>
      <c r="C463" s="8">
        <v>17</v>
      </c>
    </row>
    <row r="464" spans="1:3" x14ac:dyDescent="0.25">
      <c r="A464" s="15" t="s">
        <v>3106</v>
      </c>
      <c r="B464" s="15" t="s">
        <v>3107</v>
      </c>
      <c r="C464" s="8">
        <v>18</v>
      </c>
    </row>
    <row r="465" spans="1:3" x14ac:dyDescent="0.25">
      <c r="A465" s="15" t="s">
        <v>3108</v>
      </c>
      <c r="B465" s="15" t="s">
        <v>3109</v>
      </c>
      <c r="C465" s="8">
        <v>16</v>
      </c>
    </row>
    <row r="466" spans="1:3" x14ac:dyDescent="0.25">
      <c r="A466" s="15" t="s">
        <v>3110</v>
      </c>
      <c r="B466" s="15" t="s">
        <v>3428</v>
      </c>
      <c r="C466" s="8">
        <v>23</v>
      </c>
    </row>
    <row r="467" spans="1:3" x14ac:dyDescent="0.25">
      <c r="A467" s="15" t="s">
        <v>3112</v>
      </c>
      <c r="B467" s="15" t="s">
        <v>3113</v>
      </c>
      <c r="C467" s="8">
        <v>14</v>
      </c>
    </row>
    <row r="468" spans="1:3" x14ac:dyDescent="0.25">
      <c r="A468" s="15" t="s">
        <v>3134</v>
      </c>
      <c r="B468" s="15" t="s">
        <v>3135</v>
      </c>
      <c r="C468" s="8">
        <v>10</v>
      </c>
    </row>
    <row r="469" spans="1:3" x14ac:dyDescent="0.25">
      <c r="A469" s="15" t="s">
        <v>3155</v>
      </c>
      <c r="B469" s="15" t="s">
        <v>3156</v>
      </c>
      <c r="C469" s="8">
        <v>11</v>
      </c>
    </row>
    <row r="470" spans="1:3" x14ac:dyDescent="0.25">
      <c r="A470" s="15" t="s">
        <v>3157</v>
      </c>
      <c r="B470" s="15" t="s">
        <v>3158</v>
      </c>
      <c r="C470" s="8">
        <v>10</v>
      </c>
    </row>
    <row r="471" spans="1:3" x14ac:dyDescent="0.25">
      <c r="A471" s="15" t="s">
        <v>3159</v>
      </c>
      <c r="B471" s="15" t="s">
        <v>3160</v>
      </c>
      <c r="C471" s="8">
        <v>21</v>
      </c>
    </row>
    <row r="472" spans="1:3" x14ac:dyDescent="0.25">
      <c r="A472" s="15" t="s">
        <v>3161</v>
      </c>
      <c r="B472" s="15" t="s">
        <v>3162</v>
      </c>
      <c r="C472" s="8">
        <v>19</v>
      </c>
    </row>
    <row r="473" spans="1:3" x14ac:dyDescent="0.25">
      <c r="A473" s="15" t="s">
        <v>3163</v>
      </c>
      <c r="B473" s="15" t="s">
        <v>3164</v>
      </c>
      <c r="C473" s="8">
        <v>19</v>
      </c>
    </row>
    <row r="474" spans="1:3" x14ac:dyDescent="0.25">
      <c r="A474" s="15" t="s">
        <v>3165</v>
      </c>
      <c r="B474" s="15" t="s">
        <v>3429</v>
      </c>
      <c r="C474" s="8">
        <v>32</v>
      </c>
    </row>
    <row r="475" spans="1:3" x14ac:dyDescent="0.25">
      <c r="A475" s="15" t="s">
        <v>3169</v>
      </c>
      <c r="B475" s="15" t="s">
        <v>3170</v>
      </c>
      <c r="C475" s="8">
        <v>18</v>
      </c>
    </row>
    <row r="476" spans="1:3" x14ac:dyDescent="0.25">
      <c r="A476" s="15" t="s">
        <v>3430</v>
      </c>
      <c r="B476" s="15" t="s">
        <v>3431</v>
      </c>
      <c r="C476" s="8">
        <v>12</v>
      </c>
    </row>
    <row r="477" spans="1:3" x14ac:dyDescent="0.25">
      <c r="A477" s="15" t="s">
        <v>3173</v>
      </c>
      <c r="B477" s="15" t="s">
        <v>3174</v>
      </c>
      <c r="C477" s="8">
        <v>4</v>
      </c>
    </row>
    <row r="478" spans="1:3" x14ac:dyDescent="0.25">
      <c r="A478" s="15" t="s">
        <v>3175</v>
      </c>
      <c r="B478" s="15" t="s">
        <v>3176</v>
      </c>
      <c r="C478" s="8">
        <v>1</v>
      </c>
    </row>
    <row r="479" spans="1:3" x14ac:dyDescent="0.25">
      <c r="A479" s="15" t="s">
        <v>3177</v>
      </c>
      <c r="B479" s="15" t="s">
        <v>3178</v>
      </c>
      <c r="C479" s="8">
        <v>2</v>
      </c>
    </row>
    <row r="480" spans="1:3" x14ac:dyDescent="0.25">
      <c r="A480" s="15" t="s">
        <v>3181</v>
      </c>
      <c r="B480" s="15" t="s">
        <v>3182</v>
      </c>
      <c r="C480" s="8">
        <v>3</v>
      </c>
    </row>
    <row r="481" spans="1:3" x14ac:dyDescent="0.25">
      <c r="A481" s="15" t="s">
        <v>3185</v>
      </c>
      <c r="B481" s="15" t="s">
        <v>3186</v>
      </c>
      <c r="C481" s="8">
        <v>1</v>
      </c>
    </row>
    <row r="482" spans="1:3" x14ac:dyDescent="0.25">
      <c r="A482" s="15" t="s">
        <v>3187</v>
      </c>
      <c r="B482" s="15" t="s">
        <v>3188</v>
      </c>
      <c r="C482" s="8">
        <v>10</v>
      </c>
    </row>
    <row r="483" spans="1:3" x14ac:dyDescent="0.25">
      <c r="A483" s="15" t="s">
        <v>3189</v>
      </c>
      <c r="B483" s="15" t="s">
        <v>3190</v>
      </c>
      <c r="C483" s="8">
        <v>0</v>
      </c>
    </row>
    <row r="484" spans="1:3" x14ac:dyDescent="0.25">
      <c r="A484" s="15" t="s">
        <v>3191</v>
      </c>
      <c r="B484" s="15" t="s">
        <v>3192</v>
      </c>
      <c r="C484" s="8">
        <v>15</v>
      </c>
    </row>
    <row r="485" spans="1:3" x14ac:dyDescent="0.25">
      <c r="A485" s="15" t="s">
        <v>3195</v>
      </c>
      <c r="B485" s="15" t="s">
        <v>3196</v>
      </c>
      <c r="C485" s="8">
        <v>0</v>
      </c>
    </row>
    <row r="486" spans="1:3" x14ac:dyDescent="0.25">
      <c r="A486" s="15" t="s">
        <v>3199</v>
      </c>
      <c r="B486" s="15" t="s">
        <v>3200</v>
      </c>
      <c r="C486" s="8">
        <v>0</v>
      </c>
    </row>
    <row r="487" spans="1:3" x14ac:dyDescent="0.25">
      <c r="A487" s="15" t="s">
        <v>3201</v>
      </c>
      <c r="B487" s="15" t="s">
        <v>3202</v>
      </c>
      <c r="C487" s="8">
        <v>20</v>
      </c>
    </row>
    <row r="488" spans="1:3" x14ac:dyDescent="0.25">
      <c r="A488" s="15" t="s">
        <v>3203</v>
      </c>
      <c r="B488" s="15" t="s">
        <v>3204</v>
      </c>
      <c r="C488" s="8">
        <v>7</v>
      </c>
    </row>
    <row r="489" spans="1:3" x14ac:dyDescent="0.25">
      <c r="A489" s="15" t="s">
        <v>3205</v>
      </c>
      <c r="B489" s="15" t="s">
        <v>3206</v>
      </c>
      <c r="C489" s="8">
        <v>2</v>
      </c>
    </row>
    <row r="490" spans="1:3" x14ac:dyDescent="0.25">
      <c r="A490" s="15" t="s">
        <v>3207</v>
      </c>
      <c r="B490" s="15" t="s">
        <v>3208</v>
      </c>
      <c r="C490" s="8">
        <v>10</v>
      </c>
    </row>
    <row r="491" spans="1:3" x14ac:dyDescent="0.25">
      <c r="A491" s="15" t="s">
        <v>3209</v>
      </c>
      <c r="B491" s="15" t="s">
        <v>3210</v>
      </c>
      <c r="C491" s="8">
        <v>0</v>
      </c>
    </row>
    <row r="492" spans="1:3" x14ac:dyDescent="0.25">
      <c r="A492" s="15" t="s">
        <v>3211</v>
      </c>
      <c r="B492" s="15" t="s">
        <v>3212</v>
      </c>
      <c r="C492" s="8">
        <v>0</v>
      </c>
    </row>
    <row r="493" spans="1:3" x14ac:dyDescent="0.25">
      <c r="A493" s="15" t="s">
        <v>3213</v>
      </c>
      <c r="B493" s="15" t="s">
        <v>3214</v>
      </c>
      <c r="C493" s="8">
        <v>2</v>
      </c>
    </row>
    <row r="494" spans="1:3" x14ac:dyDescent="0.25">
      <c r="A494" s="15" t="s">
        <v>3215</v>
      </c>
      <c r="B494" s="15" t="s">
        <v>3216</v>
      </c>
      <c r="C494" s="8">
        <v>2</v>
      </c>
    </row>
    <row r="495" spans="1:3" x14ac:dyDescent="0.25">
      <c r="A495" s="15" t="s">
        <v>3217</v>
      </c>
      <c r="B495" s="15" t="s">
        <v>3218</v>
      </c>
      <c r="C495" s="8">
        <v>4</v>
      </c>
    </row>
    <row r="496" spans="1:3" x14ac:dyDescent="0.25">
      <c r="A496" s="15" t="s">
        <v>3219</v>
      </c>
      <c r="B496" s="15" t="s">
        <v>3220</v>
      </c>
      <c r="C496" s="8">
        <v>0</v>
      </c>
    </row>
    <row r="497" spans="1:3" x14ac:dyDescent="0.25">
      <c r="A497" s="15" t="s">
        <v>3221</v>
      </c>
      <c r="B497" s="15" t="s">
        <v>3222</v>
      </c>
      <c r="C497" s="8">
        <v>9</v>
      </c>
    </row>
    <row r="498" spans="1:3" x14ac:dyDescent="0.25">
      <c r="A498" s="15" t="s">
        <v>3223</v>
      </c>
      <c r="B498" s="15" t="s">
        <v>3224</v>
      </c>
      <c r="C498" s="8">
        <v>4</v>
      </c>
    </row>
    <row r="499" spans="1:3" x14ac:dyDescent="0.25">
      <c r="A499" s="15" t="s">
        <v>3225</v>
      </c>
      <c r="B499" s="15" t="s">
        <v>3226</v>
      </c>
      <c r="C499" s="8">
        <v>0</v>
      </c>
    </row>
    <row r="500" spans="1:3" x14ac:dyDescent="0.25">
      <c r="A500" s="15" t="s">
        <v>3233</v>
      </c>
      <c r="B500" s="15" t="s">
        <v>3234</v>
      </c>
      <c r="C500" s="8">
        <v>0</v>
      </c>
    </row>
    <row r="501" spans="1:3" x14ac:dyDescent="0.25">
      <c r="A501" s="15" t="s">
        <v>3237</v>
      </c>
      <c r="B501" s="15" t="s">
        <v>3238</v>
      </c>
      <c r="C501" s="8">
        <v>1</v>
      </c>
    </row>
    <row r="502" spans="1:3" x14ac:dyDescent="0.25">
      <c r="A502" s="15" t="s">
        <v>3241</v>
      </c>
      <c r="B502" s="15" t="s">
        <v>3242</v>
      </c>
      <c r="C502" s="8">
        <v>7</v>
      </c>
    </row>
    <row r="503" spans="1:3" x14ac:dyDescent="0.25">
      <c r="A503" s="15" t="s">
        <v>3243</v>
      </c>
      <c r="B503" s="15" t="s">
        <v>3244</v>
      </c>
      <c r="C503" s="8">
        <v>1</v>
      </c>
    </row>
    <row r="504" spans="1:3" x14ac:dyDescent="0.25">
      <c r="A504" s="15" t="s">
        <v>3245</v>
      </c>
      <c r="B504" s="15" t="s">
        <v>3246</v>
      </c>
      <c r="C504" s="8">
        <v>6</v>
      </c>
    </row>
    <row r="505" spans="1:3" x14ac:dyDescent="0.25">
      <c r="A505" s="15" t="s">
        <v>3247</v>
      </c>
      <c r="B505" s="15" t="s">
        <v>3248</v>
      </c>
      <c r="C505" s="8">
        <v>11</v>
      </c>
    </row>
    <row r="506" spans="1:3" x14ac:dyDescent="0.25">
      <c r="A506" s="15" t="s">
        <v>3249</v>
      </c>
      <c r="B506" s="15" t="s">
        <v>3250</v>
      </c>
      <c r="C506" s="8">
        <v>3</v>
      </c>
    </row>
    <row r="507" spans="1:3" x14ac:dyDescent="0.25">
      <c r="A507" s="15" t="s">
        <v>3251</v>
      </c>
      <c r="B507" s="15" t="s">
        <v>3252</v>
      </c>
      <c r="C507" s="8">
        <v>14</v>
      </c>
    </row>
    <row r="508" spans="1:3" x14ac:dyDescent="0.25">
      <c r="A508" s="15" t="s">
        <v>3254</v>
      </c>
      <c r="B508" s="15" t="s">
        <v>3255</v>
      </c>
      <c r="C508" s="8">
        <v>6</v>
      </c>
    </row>
    <row r="509" spans="1:3" x14ac:dyDescent="0.25">
      <c r="A509" s="15" t="s">
        <v>3256</v>
      </c>
      <c r="B509" s="15" t="s">
        <v>3257</v>
      </c>
      <c r="C509" s="8">
        <v>1</v>
      </c>
    </row>
    <row r="510" spans="1:3" x14ac:dyDescent="0.25">
      <c r="A510" s="15" t="s">
        <v>3258</v>
      </c>
      <c r="B510" s="15" t="s">
        <v>3259</v>
      </c>
      <c r="C510" s="8">
        <v>3</v>
      </c>
    </row>
    <row r="511" spans="1:3" x14ac:dyDescent="0.25">
      <c r="A511" s="15" t="s">
        <v>3260</v>
      </c>
      <c r="B511" s="15" t="s">
        <v>3261</v>
      </c>
      <c r="C511" s="8">
        <v>8</v>
      </c>
    </row>
    <row r="512" spans="1:3" x14ac:dyDescent="0.25">
      <c r="A512" s="15" t="s">
        <v>3266</v>
      </c>
      <c r="B512" s="15" t="s">
        <v>3267</v>
      </c>
      <c r="C512" s="8">
        <v>1</v>
      </c>
    </row>
    <row r="513" spans="1:3" x14ac:dyDescent="0.25">
      <c r="A513" s="15" t="s">
        <v>3268</v>
      </c>
      <c r="B513" s="15" t="s">
        <v>3269</v>
      </c>
      <c r="C513" s="8">
        <v>5</v>
      </c>
    </row>
    <row r="514" spans="1:3" x14ac:dyDescent="0.25">
      <c r="A514" s="15" t="s">
        <v>3270</v>
      </c>
      <c r="B514" s="15" t="s">
        <v>3271</v>
      </c>
      <c r="C514" s="8">
        <v>0</v>
      </c>
    </row>
    <row r="515" spans="1:3" x14ac:dyDescent="0.25">
      <c r="A515" s="15" t="s">
        <v>3275</v>
      </c>
      <c r="B515" s="15" t="s">
        <v>3276</v>
      </c>
      <c r="C515" s="8">
        <v>1</v>
      </c>
    </row>
    <row r="516" spans="1:3" x14ac:dyDescent="0.25">
      <c r="A516" s="15" t="s">
        <v>3277</v>
      </c>
      <c r="B516" s="15" t="s">
        <v>3278</v>
      </c>
      <c r="C516" s="8">
        <v>2</v>
      </c>
    </row>
    <row r="517" spans="1:3" x14ac:dyDescent="0.25">
      <c r="A517" s="15" t="s">
        <v>3279</v>
      </c>
      <c r="B517" s="15" t="s">
        <v>3280</v>
      </c>
      <c r="C517" s="8">
        <v>5</v>
      </c>
    </row>
    <row r="518" spans="1:3" x14ac:dyDescent="0.25">
      <c r="A518" s="15" t="s">
        <v>3281</v>
      </c>
      <c r="B518" s="15" t="s">
        <v>3282</v>
      </c>
      <c r="C518" s="8">
        <v>1</v>
      </c>
    </row>
    <row r="519" spans="1:3" x14ac:dyDescent="0.25">
      <c r="A519" s="15" t="s">
        <v>3285</v>
      </c>
      <c r="B519" s="15" t="s">
        <v>3286</v>
      </c>
      <c r="C519" s="8">
        <v>7</v>
      </c>
    </row>
    <row r="520" spans="1:3" x14ac:dyDescent="0.25">
      <c r="A520" s="15" t="s">
        <v>3291</v>
      </c>
      <c r="B520" s="15" t="s">
        <v>3292</v>
      </c>
      <c r="C520" s="8">
        <v>8</v>
      </c>
    </row>
    <row r="521" spans="1:3" x14ac:dyDescent="0.25">
      <c r="A521" s="15" t="s">
        <v>3293</v>
      </c>
      <c r="B521" s="15" t="s">
        <v>3294</v>
      </c>
      <c r="C521" s="8">
        <v>1</v>
      </c>
    </row>
    <row r="522" spans="1:3" x14ac:dyDescent="0.25">
      <c r="A522" s="15" t="s">
        <v>3295</v>
      </c>
      <c r="B522" s="15" t="s">
        <v>3296</v>
      </c>
      <c r="C522" s="8">
        <v>11</v>
      </c>
    </row>
    <row r="523" spans="1:3" x14ac:dyDescent="0.25">
      <c r="A523" s="15" t="s">
        <v>3297</v>
      </c>
      <c r="B523" s="15" t="s">
        <v>3298</v>
      </c>
      <c r="C523" s="8">
        <v>9</v>
      </c>
    </row>
    <row r="524" spans="1:3" x14ac:dyDescent="0.25">
      <c r="A524" s="15" t="s">
        <v>3432</v>
      </c>
      <c r="B524" s="15" t="s">
        <v>3433</v>
      </c>
      <c r="C524" s="8">
        <v>11</v>
      </c>
    </row>
    <row r="525" spans="1:3" x14ac:dyDescent="0.25">
      <c r="A525" s="15" t="s">
        <v>3299</v>
      </c>
      <c r="B525" s="15" t="s">
        <v>3434</v>
      </c>
      <c r="C525" s="8">
        <v>19</v>
      </c>
    </row>
    <row r="526" spans="1:3" x14ac:dyDescent="0.25">
      <c r="A526" s="15" t="s">
        <v>3306</v>
      </c>
      <c r="B526" s="15" t="s">
        <v>3435</v>
      </c>
      <c r="C526" s="8">
        <v>13</v>
      </c>
    </row>
    <row r="527" spans="1:3" x14ac:dyDescent="0.25">
      <c r="A527" s="15" t="s">
        <v>3436</v>
      </c>
      <c r="B527" s="15" t="s">
        <v>3437</v>
      </c>
      <c r="C527" s="8">
        <v>1</v>
      </c>
    </row>
    <row r="528" spans="1:3" x14ac:dyDescent="0.25">
      <c r="A528" s="15" t="s">
        <v>3308</v>
      </c>
      <c r="B528" s="15" t="s">
        <v>3438</v>
      </c>
      <c r="C528" s="8">
        <v>0</v>
      </c>
    </row>
    <row r="529" spans="1:3" x14ac:dyDescent="0.25">
      <c r="A529" s="15" t="s">
        <v>3309</v>
      </c>
      <c r="B529" s="15" t="s">
        <v>3439</v>
      </c>
      <c r="C529" s="8">
        <v>18</v>
      </c>
    </row>
    <row r="530" spans="1:3" x14ac:dyDescent="0.25">
      <c r="A530" s="15" t="s">
        <v>3310</v>
      </c>
      <c r="B530" s="15" t="s">
        <v>3440</v>
      </c>
      <c r="C530" s="8">
        <v>25</v>
      </c>
    </row>
    <row r="531" spans="1:3" x14ac:dyDescent="0.25">
      <c r="A531" s="15" t="s">
        <v>3313</v>
      </c>
      <c r="B531" s="15" t="s">
        <v>3441</v>
      </c>
      <c r="C531" s="8">
        <v>17</v>
      </c>
    </row>
    <row r="532" spans="1:3" x14ac:dyDescent="0.25">
      <c r="A532" s="15" t="s">
        <v>3315</v>
      </c>
      <c r="B532" s="15" t="s">
        <v>2740</v>
      </c>
      <c r="C532" s="8">
        <v>51</v>
      </c>
    </row>
    <row r="533" spans="1:3" x14ac:dyDescent="0.25">
      <c r="A533" s="15" t="s">
        <v>3316</v>
      </c>
      <c r="B533" s="15" t="s">
        <v>3317</v>
      </c>
      <c r="C533" s="8">
        <v>17</v>
      </c>
    </row>
    <row r="534" spans="1:3" x14ac:dyDescent="0.25">
      <c r="A534" s="15" t="s">
        <v>3442</v>
      </c>
      <c r="B534" s="15" t="s">
        <v>3443</v>
      </c>
      <c r="C534" s="8">
        <v>1</v>
      </c>
    </row>
    <row r="535" spans="1:3" x14ac:dyDescent="0.25">
      <c r="A535" s="15" t="s">
        <v>3444</v>
      </c>
      <c r="B535" s="15" t="s">
        <v>3445</v>
      </c>
      <c r="C535" s="8">
        <v>1</v>
      </c>
    </row>
    <row r="536" spans="1:3" x14ac:dyDescent="0.25">
      <c r="A536" s="15" t="s">
        <v>3446</v>
      </c>
      <c r="B536" s="15" t="s">
        <v>3447</v>
      </c>
      <c r="C536" s="8">
        <v>11</v>
      </c>
    </row>
    <row r="537" spans="1:3" x14ac:dyDescent="0.25">
      <c r="A537" s="15" t="s">
        <v>3448</v>
      </c>
      <c r="B537" s="15" t="s">
        <v>3449</v>
      </c>
      <c r="C537" s="8">
        <v>14</v>
      </c>
    </row>
    <row r="538" spans="1:3" x14ac:dyDescent="0.25">
      <c r="A538" s="15" t="s">
        <v>3450</v>
      </c>
      <c r="B538" s="15" t="s">
        <v>3451</v>
      </c>
      <c r="C538" s="8">
        <v>10</v>
      </c>
    </row>
    <row r="539" spans="1:3" x14ac:dyDescent="0.25">
      <c r="A539" s="15" t="s">
        <v>3452</v>
      </c>
      <c r="B539" s="15" t="s">
        <v>3453</v>
      </c>
      <c r="C539" s="8">
        <v>2</v>
      </c>
    </row>
    <row r="540" spans="1:3" x14ac:dyDescent="0.25">
      <c r="A540" s="15" t="s">
        <v>3454</v>
      </c>
      <c r="B540" s="15" t="s">
        <v>3455</v>
      </c>
      <c r="C540" s="8">
        <v>2</v>
      </c>
    </row>
    <row r="541" spans="1:3" x14ac:dyDescent="0.25">
      <c r="A541" s="15" t="s">
        <v>3456</v>
      </c>
      <c r="B541" s="15" t="s">
        <v>3457</v>
      </c>
      <c r="C541" s="8">
        <v>4</v>
      </c>
    </row>
    <row r="542" spans="1:3" x14ac:dyDescent="0.25">
      <c r="A542" s="15" t="s">
        <v>3458</v>
      </c>
      <c r="B542" s="15" t="s">
        <v>3459</v>
      </c>
      <c r="C542" s="8">
        <v>7</v>
      </c>
    </row>
    <row r="543" spans="1:3" x14ac:dyDescent="0.25">
      <c r="A543" s="15" t="s">
        <v>3460</v>
      </c>
      <c r="B543" s="15" t="s">
        <v>3461</v>
      </c>
      <c r="C543" s="8">
        <v>4</v>
      </c>
    </row>
    <row r="544" spans="1:3" x14ac:dyDescent="0.25">
      <c r="A544" s="15" t="s">
        <v>3462</v>
      </c>
      <c r="B544" s="15" t="s">
        <v>3463</v>
      </c>
      <c r="C544" s="8">
        <v>1</v>
      </c>
    </row>
    <row r="545" spans="1:3" x14ac:dyDescent="0.25">
      <c r="A545" s="15" t="s">
        <v>3464</v>
      </c>
      <c r="B545" s="15" t="s">
        <v>3465</v>
      </c>
      <c r="C545" s="8">
        <v>2</v>
      </c>
    </row>
    <row r="546" spans="1:3" x14ac:dyDescent="0.25">
      <c r="A546" s="15" t="s">
        <v>3466</v>
      </c>
      <c r="B546" s="15" t="s">
        <v>3467</v>
      </c>
      <c r="C546" s="8">
        <v>3</v>
      </c>
    </row>
    <row r="547" spans="1:3" x14ac:dyDescent="0.25">
      <c r="A547" s="15" t="s">
        <v>3468</v>
      </c>
      <c r="B547" s="15" t="s">
        <v>3469</v>
      </c>
      <c r="C547" s="8">
        <v>6</v>
      </c>
    </row>
    <row r="548" spans="1:3" x14ac:dyDescent="0.25">
      <c r="A548" s="15" t="s">
        <v>3470</v>
      </c>
      <c r="B548" s="15" t="s">
        <v>3471</v>
      </c>
      <c r="C548" s="8">
        <v>2</v>
      </c>
    </row>
    <row r="549" spans="1:3" x14ac:dyDescent="0.25">
      <c r="A549" s="15" t="s">
        <v>3472</v>
      </c>
      <c r="B549" s="15" t="s">
        <v>3473</v>
      </c>
      <c r="C549" s="8">
        <v>9</v>
      </c>
    </row>
    <row r="550" spans="1:3" x14ac:dyDescent="0.25">
      <c r="A550" s="15" t="s">
        <v>3474</v>
      </c>
      <c r="B550" s="15" t="s">
        <v>3475</v>
      </c>
      <c r="C550" s="8">
        <v>2</v>
      </c>
    </row>
    <row r="551" spans="1:3" x14ac:dyDescent="0.25">
      <c r="A551" s="15" t="s">
        <v>3476</v>
      </c>
      <c r="B551" s="15" t="s">
        <v>3477</v>
      </c>
      <c r="C551" s="8">
        <v>4</v>
      </c>
    </row>
    <row r="552" spans="1:3" x14ac:dyDescent="0.25">
      <c r="A552" s="15" t="s">
        <v>3478</v>
      </c>
      <c r="B552" s="15" t="s">
        <v>3479</v>
      </c>
      <c r="C552" s="8">
        <v>13</v>
      </c>
    </row>
    <row r="553" spans="1:3" x14ac:dyDescent="0.25">
      <c r="A553" s="15" t="s">
        <v>3480</v>
      </c>
      <c r="B553" s="15" t="s">
        <v>3481</v>
      </c>
      <c r="C553" s="8">
        <v>1</v>
      </c>
    </row>
    <row r="554" spans="1:3" x14ac:dyDescent="0.25">
      <c r="A554" s="15" t="s">
        <v>3482</v>
      </c>
      <c r="B554" s="15" t="s">
        <v>3483</v>
      </c>
      <c r="C554" s="8">
        <v>3</v>
      </c>
    </row>
    <row r="555" spans="1:3" x14ac:dyDescent="0.25">
      <c r="A555" s="15" t="s">
        <v>3484</v>
      </c>
      <c r="B555" s="15" t="s">
        <v>3485</v>
      </c>
      <c r="C555" s="8">
        <v>3</v>
      </c>
    </row>
    <row r="556" spans="1:3" x14ac:dyDescent="0.25">
      <c r="A556" s="15" t="s">
        <v>3486</v>
      </c>
      <c r="B556" s="15" t="s">
        <v>3487</v>
      </c>
      <c r="C556" s="8">
        <v>1</v>
      </c>
    </row>
    <row r="557" spans="1:3" x14ac:dyDescent="0.25">
      <c r="A557" s="15" t="s">
        <v>3488</v>
      </c>
      <c r="B557" s="15" t="s">
        <v>3489</v>
      </c>
      <c r="C557" s="8">
        <v>3</v>
      </c>
    </row>
    <row r="558" spans="1:3" x14ac:dyDescent="0.25">
      <c r="A558" s="15" t="s">
        <v>3490</v>
      </c>
      <c r="B558" s="15" t="s">
        <v>3491</v>
      </c>
      <c r="C558" s="8">
        <v>2</v>
      </c>
    </row>
    <row r="559" spans="1:3" x14ac:dyDescent="0.25">
      <c r="A559" s="15" t="s">
        <v>3492</v>
      </c>
      <c r="B559" s="15" t="s">
        <v>3493</v>
      </c>
      <c r="C559" s="8">
        <v>3</v>
      </c>
    </row>
    <row r="560" spans="1:3" x14ac:dyDescent="0.25">
      <c r="A560" s="15" t="s">
        <v>3494</v>
      </c>
      <c r="B560" s="15" t="s">
        <v>3495</v>
      </c>
      <c r="C560" s="8">
        <v>2</v>
      </c>
    </row>
    <row r="561" spans="1:3" x14ac:dyDescent="0.25">
      <c r="A561" s="15" t="s">
        <v>3496</v>
      </c>
      <c r="B561" s="15" t="s">
        <v>3497</v>
      </c>
      <c r="C561" s="8">
        <v>11</v>
      </c>
    </row>
    <row r="562" spans="1:3" x14ac:dyDescent="0.25">
      <c r="A562" s="15" t="s">
        <v>3498</v>
      </c>
      <c r="B562" s="15" t="s">
        <v>3499</v>
      </c>
      <c r="C562" s="8">
        <v>1</v>
      </c>
    </row>
    <row r="563" spans="1:3" x14ac:dyDescent="0.25">
      <c r="A563" s="15" t="s">
        <v>3500</v>
      </c>
      <c r="B563" s="15" t="s">
        <v>3501</v>
      </c>
      <c r="C563" s="8">
        <v>3</v>
      </c>
    </row>
    <row r="564" spans="1:3" x14ac:dyDescent="0.25">
      <c r="A564" s="15" t="s">
        <v>3502</v>
      </c>
      <c r="B564" s="15" t="s">
        <v>3503</v>
      </c>
      <c r="C564" s="8">
        <v>5</v>
      </c>
    </row>
    <row r="565" spans="1:3" x14ac:dyDescent="0.25">
      <c r="A565" s="15" t="s">
        <v>3504</v>
      </c>
      <c r="B565" s="15" t="s">
        <v>3505</v>
      </c>
      <c r="C565" s="8">
        <v>7</v>
      </c>
    </row>
    <row r="566" spans="1:3" x14ac:dyDescent="0.25">
      <c r="A566" s="15" t="s">
        <v>3506</v>
      </c>
      <c r="B566" s="15" t="s">
        <v>3507</v>
      </c>
      <c r="C566" s="8">
        <v>1</v>
      </c>
    </row>
    <row r="567" spans="1:3" x14ac:dyDescent="0.25">
      <c r="A567" s="15" t="s">
        <v>3508</v>
      </c>
      <c r="B567" s="15" t="s">
        <v>3509</v>
      </c>
      <c r="C567" s="8">
        <v>2</v>
      </c>
    </row>
    <row r="568" spans="1:3" x14ac:dyDescent="0.25">
      <c r="A568" s="15" t="s">
        <v>3510</v>
      </c>
      <c r="B568" s="15" t="s">
        <v>3511</v>
      </c>
      <c r="C568" s="8">
        <v>6</v>
      </c>
    </row>
    <row r="569" spans="1:3" x14ac:dyDescent="0.25">
      <c r="A569" s="15" t="s">
        <v>3512</v>
      </c>
      <c r="B569" s="15" t="s">
        <v>3513</v>
      </c>
      <c r="C569" s="8">
        <v>3</v>
      </c>
    </row>
    <row r="570" spans="1:3" x14ac:dyDescent="0.25">
      <c r="A570" s="15" t="s">
        <v>3514</v>
      </c>
      <c r="B570" s="15" t="s">
        <v>3515</v>
      </c>
      <c r="C570" s="8">
        <v>1</v>
      </c>
    </row>
    <row r="571" spans="1:3" x14ac:dyDescent="0.25">
      <c r="A571" s="15" t="s">
        <v>3516</v>
      </c>
      <c r="B571" s="15" t="s">
        <v>3517</v>
      </c>
      <c r="C571" s="8">
        <v>1</v>
      </c>
    </row>
    <row r="572" spans="1:3" x14ac:dyDescent="0.25">
      <c r="A572" s="15" t="s">
        <v>3518</v>
      </c>
      <c r="B572" s="15" t="s">
        <v>3519</v>
      </c>
      <c r="C572" s="8">
        <v>1</v>
      </c>
    </row>
    <row r="573" spans="1:3" x14ac:dyDescent="0.25">
      <c r="A573" s="27" t="s">
        <v>3329</v>
      </c>
      <c r="B573" s="27"/>
      <c r="C573" s="6">
        <v>8125</v>
      </c>
    </row>
  </sheetData>
  <mergeCells count="1">
    <mergeCell ref="A573:B573"/>
  </mergeCells>
  <conditionalFormatting sqref="A2:B572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31C7-8AD2-4791-8B78-434C71B99D96}">
  <dimension ref="A1:T1604"/>
  <sheetViews>
    <sheetView topLeftCell="A955" workbookViewId="0">
      <selection activeCell="A969" sqref="A969:XFD969"/>
    </sheetView>
  </sheetViews>
  <sheetFormatPr defaultRowHeight="15" x14ac:dyDescent="0.25"/>
  <cols>
    <col min="2" max="2" width="47.140625" customWidth="1"/>
    <col min="4" max="4" width="14" customWidth="1"/>
    <col min="5" max="5" width="12.28515625" customWidth="1"/>
    <col min="10" max="10" width="11.5703125" customWidth="1"/>
    <col min="11" max="11" width="11.42578125" customWidth="1"/>
    <col min="14" max="14" width="14.28515625" customWidth="1"/>
    <col min="15" max="15" width="12.7109375" customWidth="1"/>
    <col min="18" max="18" width="12.5703125" customWidth="1"/>
    <col min="19" max="19" width="13.140625" customWidth="1"/>
    <col min="20" max="20" width="10.85546875" customWidth="1"/>
  </cols>
  <sheetData>
    <row r="1" spans="1:20" ht="64.5" customHeight="1" x14ac:dyDescent="0.25">
      <c r="A1" s="28" t="s">
        <v>3520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  <c r="R1" s="31" t="s">
        <v>3521</v>
      </c>
      <c r="S1" s="32"/>
      <c r="T1" s="33"/>
    </row>
    <row r="2" spans="1:20" ht="75" x14ac:dyDescent="0.25">
      <c r="A2" s="19" t="s">
        <v>0</v>
      </c>
      <c r="B2" s="19" t="s">
        <v>1</v>
      </c>
      <c r="C2" s="19" t="s">
        <v>3522</v>
      </c>
      <c r="D2" s="19" t="s">
        <v>3523</v>
      </c>
      <c r="E2" s="20" t="s">
        <v>3524</v>
      </c>
      <c r="F2" s="20" t="s">
        <v>3525</v>
      </c>
      <c r="G2" s="20" t="s">
        <v>3526</v>
      </c>
      <c r="H2" s="20" t="s">
        <v>3527</v>
      </c>
      <c r="I2" s="20" t="s">
        <v>3528</v>
      </c>
      <c r="J2" s="20" t="s">
        <v>3529</v>
      </c>
      <c r="K2" s="20" t="s">
        <v>3530</v>
      </c>
      <c r="L2" s="20" t="s">
        <v>3531</v>
      </c>
      <c r="M2" s="20" t="s">
        <v>3532</v>
      </c>
      <c r="N2" s="20" t="s">
        <v>3533</v>
      </c>
      <c r="O2" s="20" t="s">
        <v>3534</v>
      </c>
      <c r="P2" s="20" t="s">
        <v>3535</v>
      </c>
      <c r="Q2" s="20" t="s">
        <v>3536</v>
      </c>
      <c r="R2" s="21" t="s">
        <v>3537</v>
      </c>
      <c r="S2" s="22" t="s">
        <v>3538</v>
      </c>
      <c r="T2" s="22" t="s">
        <v>3539</v>
      </c>
    </row>
    <row r="3" spans="1:20" x14ac:dyDescent="0.25">
      <c r="A3" s="8" t="s">
        <v>28</v>
      </c>
      <c r="B3" s="8" t="s">
        <v>29</v>
      </c>
      <c r="C3" s="8" t="s">
        <v>3540</v>
      </c>
      <c r="D3" s="8">
        <v>159</v>
      </c>
      <c r="E3" s="24">
        <v>0.496855348348617</v>
      </c>
      <c r="F3" s="24">
        <v>0.50314468145370395</v>
      </c>
      <c r="G3" s="23">
        <v>0</v>
      </c>
      <c r="H3" s="23">
        <v>8.8050313293933896E-2</v>
      </c>
      <c r="I3" s="24">
        <v>0.21383647620677901</v>
      </c>
      <c r="J3" s="24">
        <v>0.62264150381088201</v>
      </c>
      <c r="K3" s="23">
        <v>3.7735849618911702E-2</v>
      </c>
      <c r="L3" s="23">
        <v>6.2893079593778003E-3</v>
      </c>
      <c r="M3" s="23">
        <v>3.1446542590856601E-2</v>
      </c>
      <c r="N3" s="23">
        <v>0</v>
      </c>
      <c r="O3" s="24">
        <v>0.25157234072685197</v>
      </c>
      <c r="P3" s="23">
        <v>6.9182388484477997E-2</v>
      </c>
      <c r="Q3" s="24">
        <v>0.91194969415664595</v>
      </c>
      <c r="R3" s="25">
        <v>0</v>
      </c>
      <c r="S3" s="25">
        <v>0</v>
      </c>
      <c r="T3" s="25">
        <v>0.28930817610062892</v>
      </c>
    </row>
    <row r="4" spans="1:20" x14ac:dyDescent="0.25">
      <c r="A4" s="8" t="s">
        <v>33</v>
      </c>
      <c r="B4" s="8" t="s">
        <v>34</v>
      </c>
      <c r="C4" s="8" t="s">
        <v>3540</v>
      </c>
      <c r="D4" s="8">
        <v>321</v>
      </c>
      <c r="E4" s="24">
        <v>0.52336448431015004</v>
      </c>
      <c r="F4" s="24">
        <v>0.47663551568984902</v>
      </c>
      <c r="G4" s="23">
        <v>0</v>
      </c>
      <c r="H4" s="24">
        <v>0.18380062282085399</v>
      </c>
      <c r="I4" s="24">
        <v>0.15264797210693301</v>
      </c>
      <c r="J4" s="24">
        <v>0.55140185356140103</v>
      </c>
      <c r="K4" s="23">
        <v>2.80373822897673E-2</v>
      </c>
      <c r="L4" s="23">
        <v>1.5576324425637699E-2</v>
      </c>
      <c r="M4" s="23">
        <v>6.8535827100276905E-2</v>
      </c>
      <c r="N4" s="23">
        <v>0</v>
      </c>
      <c r="O4" s="23">
        <v>0.18068535625934601</v>
      </c>
      <c r="P4" s="24">
        <v>0.28660437464714</v>
      </c>
      <c r="Q4" s="23">
        <v>0.84112149477005005</v>
      </c>
      <c r="R4" s="25">
        <v>1.2461059190031152E-2</v>
      </c>
      <c r="S4" s="25">
        <v>0</v>
      </c>
      <c r="T4" s="25">
        <v>0.19314641744548286</v>
      </c>
    </row>
    <row r="5" spans="1:20" x14ac:dyDescent="0.25">
      <c r="A5" s="8" t="s">
        <v>36</v>
      </c>
      <c r="B5" s="8" t="s">
        <v>37</v>
      </c>
      <c r="C5" s="8" t="s">
        <v>3540</v>
      </c>
      <c r="D5" s="8">
        <v>192</v>
      </c>
      <c r="E5" s="24">
        <v>0.46354165673255898</v>
      </c>
      <c r="F5" s="24">
        <v>0.53645831346511796</v>
      </c>
      <c r="G5" s="23">
        <v>0</v>
      </c>
      <c r="H5" s="23">
        <v>1.0416666977107501E-2</v>
      </c>
      <c r="I5" s="24">
        <v>0.41145834326744002</v>
      </c>
      <c r="J5" s="24">
        <v>0.53645831346511796</v>
      </c>
      <c r="K5" s="23">
        <v>5.2083334885537997E-3</v>
      </c>
      <c r="L5" s="23">
        <v>5.2083334885537997E-3</v>
      </c>
      <c r="M5" s="23">
        <v>3.125E-2</v>
      </c>
      <c r="N5" s="23">
        <v>0</v>
      </c>
      <c r="O5" s="24">
        <v>0.30729165673255898</v>
      </c>
      <c r="P5" s="23">
        <v>0.171875</v>
      </c>
      <c r="Q5" s="24">
        <v>0.99479168653488104</v>
      </c>
      <c r="R5" s="25">
        <v>5.208333333333333E-3</v>
      </c>
      <c r="S5" s="25">
        <v>0</v>
      </c>
      <c r="T5" s="25">
        <v>0.31770833333333331</v>
      </c>
    </row>
    <row r="6" spans="1:20" x14ac:dyDescent="0.25">
      <c r="A6" s="8" t="s">
        <v>40</v>
      </c>
      <c r="B6" s="8" t="s">
        <v>41</v>
      </c>
      <c r="C6" s="8" t="s">
        <v>3540</v>
      </c>
      <c r="D6" s="8">
        <v>196</v>
      </c>
      <c r="E6" s="24">
        <v>0.48469388484954801</v>
      </c>
      <c r="F6" s="24">
        <v>0.51530611515045099</v>
      </c>
      <c r="G6" s="23">
        <v>0</v>
      </c>
      <c r="H6" s="23">
        <v>3.06122452020645E-2</v>
      </c>
      <c r="I6" s="24">
        <v>0.15816326439380601</v>
      </c>
      <c r="J6" s="24">
        <v>0.69387757778167702</v>
      </c>
      <c r="K6" s="23">
        <v>1.02040814235806E-2</v>
      </c>
      <c r="L6" s="23">
        <v>0</v>
      </c>
      <c r="M6" s="24">
        <v>0.10714285820722499</v>
      </c>
      <c r="N6" s="23">
        <v>0</v>
      </c>
      <c r="O6" s="24">
        <v>0.35714286565780601</v>
      </c>
      <c r="P6" s="24">
        <v>0.137755095958709</v>
      </c>
      <c r="Q6" s="24">
        <v>0.79081630706787098</v>
      </c>
      <c r="R6" s="25">
        <v>6.6326530612244902E-2</v>
      </c>
      <c r="S6" s="25">
        <v>2.0408163265306121E-2</v>
      </c>
      <c r="T6" s="25">
        <v>0.23979591836734693</v>
      </c>
    </row>
    <row r="7" spans="1:20" x14ac:dyDescent="0.25">
      <c r="A7" s="8" t="s">
        <v>42</v>
      </c>
      <c r="B7" s="8" t="s">
        <v>43</v>
      </c>
      <c r="C7" s="8" t="s">
        <v>3540</v>
      </c>
      <c r="D7" s="8">
        <v>149</v>
      </c>
      <c r="E7" s="24">
        <v>0.54362416267394997</v>
      </c>
      <c r="F7" s="24">
        <v>0.45637583732604903</v>
      </c>
      <c r="G7" s="23">
        <v>0</v>
      </c>
      <c r="H7" s="23">
        <v>6.7114094272256002E-3</v>
      </c>
      <c r="I7" s="24">
        <v>0.234899327158927</v>
      </c>
      <c r="J7" s="24">
        <v>0.67785233259201005</v>
      </c>
      <c r="K7" s="23">
        <v>2.0134227350354202E-2</v>
      </c>
      <c r="L7" s="23">
        <v>6.7114094272256002E-3</v>
      </c>
      <c r="M7" s="23">
        <v>4.6979866921901703E-2</v>
      </c>
      <c r="N7" s="23">
        <v>6.7114094272256002E-3</v>
      </c>
      <c r="O7" s="24">
        <v>0.295302003622055</v>
      </c>
      <c r="P7" s="23">
        <v>7.3825500905513805E-2</v>
      </c>
      <c r="Q7" s="24">
        <v>0.85234898328781095</v>
      </c>
      <c r="R7" s="25">
        <v>6.7114093959731542E-3</v>
      </c>
      <c r="S7" s="25">
        <v>0</v>
      </c>
      <c r="T7" s="25">
        <v>0.3087248322147651</v>
      </c>
    </row>
    <row r="8" spans="1:20" x14ac:dyDescent="0.25">
      <c r="A8" s="8" t="s">
        <v>45</v>
      </c>
      <c r="B8" s="8" t="s">
        <v>46</v>
      </c>
      <c r="C8" s="8" t="s">
        <v>3540</v>
      </c>
      <c r="D8" s="8">
        <v>226</v>
      </c>
      <c r="E8" s="24">
        <v>0.46460175514221103</v>
      </c>
      <c r="F8" s="24">
        <v>0.53539824485778797</v>
      </c>
      <c r="G8" s="23">
        <v>0</v>
      </c>
      <c r="H8" s="24">
        <v>0.10619468986988</v>
      </c>
      <c r="I8" s="24">
        <v>0.137168139219284</v>
      </c>
      <c r="J8" s="24">
        <v>0.57522124052047696</v>
      </c>
      <c r="K8" s="23">
        <v>2.65486724674702E-2</v>
      </c>
      <c r="L8" s="23">
        <v>4.4247787445783997E-3</v>
      </c>
      <c r="M8" s="24">
        <v>0.15044248104095401</v>
      </c>
      <c r="N8" s="23">
        <v>0</v>
      </c>
      <c r="O8" s="24">
        <v>0.18584071099758101</v>
      </c>
      <c r="P8" s="23">
        <v>2.2123893722891801E-2</v>
      </c>
      <c r="Q8" s="24">
        <v>0.70796459913253695</v>
      </c>
      <c r="R8" s="25">
        <v>0</v>
      </c>
      <c r="S8" s="25">
        <v>0</v>
      </c>
      <c r="T8" s="25">
        <v>0.18584070796460178</v>
      </c>
    </row>
    <row r="9" spans="1:20" x14ac:dyDescent="0.25">
      <c r="A9" s="8" t="s">
        <v>47</v>
      </c>
      <c r="B9" s="8" t="s">
        <v>48</v>
      </c>
      <c r="C9" s="8" t="s">
        <v>3540</v>
      </c>
      <c r="D9" s="8">
        <v>162</v>
      </c>
      <c r="E9" s="24">
        <v>0.46296295523643399</v>
      </c>
      <c r="F9" s="24">
        <v>0.53703701496124201</v>
      </c>
      <c r="G9" s="23">
        <v>0</v>
      </c>
      <c r="H9" s="23">
        <v>4.9382716417312601E-2</v>
      </c>
      <c r="I9" s="24">
        <v>0.31481480598449701</v>
      </c>
      <c r="J9" s="24">
        <v>0.58641976118087702</v>
      </c>
      <c r="K9" s="23">
        <v>1.8518518656492199E-2</v>
      </c>
      <c r="L9" s="23">
        <v>6.1728395521641003E-3</v>
      </c>
      <c r="M9" s="23">
        <v>1.8518518656492199E-2</v>
      </c>
      <c r="N9" s="23">
        <v>6.1728395521641003E-3</v>
      </c>
      <c r="O9" s="24">
        <v>0.37037035822868303</v>
      </c>
      <c r="P9" s="24">
        <v>0.19135802984237599</v>
      </c>
      <c r="Q9" s="24">
        <v>0.987654328346252</v>
      </c>
      <c r="R9" s="25">
        <v>7.407407407407407E-2</v>
      </c>
      <c r="S9" s="25">
        <v>1.2345679012345678E-2</v>
      </c>
      <c r="T9" s="25">
        <v>0.25925925925925924</v>
      </c>
    </row>
    <row r="10" spans="1:20" x14ac:dyDescent="0.25">
      <c r="A10" s="8" t="s">
        <v>49</v>
      </c>
      <c r="B10" s="8" t="s">
        <v>50</v>
      </c>
      <c r="C10" s="8" t="s">
        <v>3540</v>
      </c>
      <c r="D10" s="8">
        <v>364</v>
      </c>
      <c r="E10" s="24">
        <v>0.46153846383094699</v>
      </c>
      <c r="F10" s="24">
        <v>0.53846156597137396</v>
      </c>
      <c r="G10" s="23">
        <v>0</v>
      </c>
      <c r="H10" s="23">
        <v>1.09890112653375E-2</v>
      </c>
      <c r="I10" s="24">
        <v>0.12912088632583599</v>
      </c>
      <c r="J10" s="24">
        <v>0.818681299686431</v>
      </c>
      <c r="K10" s="23">
        <v>0</v>
      </c>
      <c r="L10" s="23">
        <v>2.7472528163344002E-3</v>
      </c>
      <c r="M10" s="23">
        <v>3.02197802811861E-2</v>
      </c>
      <c r="N10" s="23">
        <v>8.2417586818337007E-3</v>
      </c>
      <c r="O10" s="24">
        <v>0.27747252583503701</v>
      </c>
      <c r="P10" s="24">
        <v>0.414835155010223</v>
      </c>
      <c r="Q10" s="24">
        <v>0.96153843402862504</v>
      </c>
      <c r="R10" s="25">
        <v>9.8901098901098897E-2</v>
      </c>
      <c r="S10" s="25">
        <v>2.7472527472527475E-3</v>
      </c>
      <c r="T10" s="25">
        <v>0.17582417582417584</v>
      </c>
    </row>
    <row r="11" spans="1:20" x14ac:dyDescent="0.25">
      <c r="A11" s="8" t="s">
        <v>52</v>
      </c>
      <c r="B11" s="8" t="s">
        <v>53</v>
      </c>
      <c r="C11" s="8" t="s">
        <v>3540</v>
      </c>
      <c r="D11" s="8">
        <v>365</v>
      </c>
      <c r="E11" s="24">
        <v>0.49315068125724698</v>
      </c>
      <c r="F11" s="24">
        <v>0.50684928894042902</v>
      </c>
      <c r="G11" s="23">
        <v>0</v>
      </c>
      <c r="H11" s="23">
        <v>8.2191778346895998E-3</v>
      </c>
      <c r="I11" s="23">
        <v>0.15890410542488101</v>
      </c>
      <c r="J11" s="24">
        <v>0.77534246444702104</v>
      </c>
      <c r="K11" s="23">
        <v>1.64383556693792E-2</v>
      </c>
      <c r="L11" s="23">
        <v>1.9178081303834901E-2</v>
      </c>
      <c r="M11" s="23">
        <v>2.19178088009357E-2</v>
      </c>
      <c r="N11" s="23">
        <v>0</v>
      </c>
      <c r="O11" s="24">
        <v>0.29315069317817599</v>
      </c>
      <c r="P11" s="24">
        <v>0.167123287916183</v>
      </c>
      <c r="Q11" s="24">
        <v>0.91780823469161898</v>
      </c>
      <c r="R11" s="25">
        <v>8.4931506849315067E-2</v>
      </c>
      <c r="S11" s="25">
        <v>0</v>
      </c>
      <c r="T11" s="25">
        <v>0.16712328767123288</v>
      </c>
    </row>
    <row r="12" spans="1:20" x14ac:dyDescent="0.25">
      <c r="A12" s="8" t="s">
        <v>55</v>
      </c>
      <c r="B12" s="8" t="s">
        <v>56</v>
      </c>
      <c r="C12" s="8" t="s">
        <v>3540</v>
      </c>
      <c r="D12" s="8">
        <v>767</v>
      </c>
      <c r="E12" s="24">
        <v>0.51238590478896995</v>
      </c>
      <c r="F12" s="24">
        <v>0.487614095211029</v>
      </c>
      <c r="G12" s="23">
        <v>0</v>
      </c>
      <c r="H12" s="24">
        <v>0.61668837070464999</v>
      </c>
      <c r="I12" s="23">
        <v>2.6075620204210299E-2</v>
      </c>
      <c r="J12" s="24">
        <v>0.15254236757755199</v>
      </c>
      <c r="K12" s="24">
        <v>0.100391134619712</v>
      </c>
      <c r="L12" s="23">
        <v>1.3037809403612999E-3</v>
      </c>
      <c r="M12" s="24">
        <v>0.101694911718368</v>
      </c>
      <c r="N12" s="23">
        <v>1.3037809403612999E-3</v>
      </c>
      <c r="O12" s="24">
        <v>0.122555412352085</v>
      </c>
      <c r="P12" s="23">
        <v>7.1707956492900807E-2</v>
      </c>
      <c r="Q12" s="24">
        <v>0.56192958354949896</v>
      </c>
      <c r="R12" s="25">
        <v>0</v>
      </c>
      <c r="S12" s="25">
        <v>0</v>
      </c>
      <c r="T12" s="25">
        <v>0.11994784876140809</v>
      </c>
    </row>
    <row r="13" spans="1:20" x14ac:dyDescent="0.25">
      <c r="A13" s="8" t="s">
        <v>58</v>
      </c>
      <c r="B13" s="8" t="s">
        <v>59</v>
      </c>
      <c r="C13" s="8" t="s">
        <v>3540</v>
      </c>
      <c r="D13" s="8">
        <v>344</v>
      </c>
      <c r="E13" s="24">
        <v>0.48255813121795599</v>
      </c>
      <c r="F13" s="24">
        <v>0.51744186878204301</v>
      </c>
      <c r="G13" s="23">
        <v>0</v>
      </c>
      <c r="H13" s="23">
        <v>2.32558138668537E-2</v>
      </c>
      <c r="I13" s="24">
        <v>0.24709302186965901</v>
      </c>
      <c r="J13" s="24">
        <v>0.68895345926284701</v>
      </c>
      <c r="K13" s="23">
        <v>8.7209306657314006E-3</v>
      </c>
      <c r="L13" s="23">
        <v>1.7441861331462898E-2</v>
      </c>
      <c r="M13" s="23">
        <v>1.45348841324449E-2</v>
      </c>
      <c r="N13" s="23">
        <v>0</v>
      </c>
      <c r="O13" s="24">
        <v>0.31686046719550998</v>
      </c>
      <c r="P13" s="24">
        <v>0.23546510934829701</v>
      </c>
      <c r="Q13" s="24">
        <v>0.97383719682693404</v>
      </c>
      <c r="R13" s="25">
        <v>7.8488372093023256E-2</v>
      </c>
      <c r="S13" s="25">
        <v>1.1627906976744186E-2</v>
      </c>
      <c r="T13" s="25">
        <v>0.22383720930232559</v>
      </c>
    </row>
    <row r="14" spans="1:20" x14ac:dyDescent="0.25">
      <c r="A14" s="8" t="s">
        <v>60</v>
      </c>
      <c r="B14" s="8" t="s">
        <v>61</v>
      </c>
      <c r="C14" s="8" t="s">
        <v>3540</v>
      </c>
      <c r="D14" s="8">
        <v>258</v>
      </c>
      <c r="E14" s="24">
        <v>0.44186046719550998</v>
      </c>
      <c r="F14" s="24">
        <v>0.55813956260681097</v>
      </c>
      <c r="G14" s="23">
        <v>0</v>
      </c>
      <c r="H14" s="24">
        <v>0.147286817431449</v>
      </c>
      <c r="I14" s="24">
        <v>0.217054262757301</v>
      </c>
      <c r="J14" s="24">
        <v>0.57364338636398304</v>
      </c>
      <c r="K14" s="23">
        <v>3.875968977809E-3</v>
      </c>
      <c r="L14" s="23">
        <v>1.5503875911235801E-2</v>
      </c>
      <c r="M14" s="23">
        <v>4.2635660618543597E-2</v>
      </c>
      <c r="N14" s="23">
        <v>0</v>
      </c>
      <c r="O14" s="24">
        <v>0.30620154738426197</v>
      </c>
      <c r="P14" s="23">
        <v>4.2635660618543597E-2</v>
      </c>
      <c r="Q14" s="24">
        <v>0.87596899271011297</v>
      </c>
      <c r="R14" s="25">
        <v>3.875968992248062E-3</v>
      </c>
      <c r="S14" s="25">
        <v>7.7519379844961239E-3</v>
      </c>
      <c r="T14" s="25">
        <v>0.28294573643410853</v>
      </c>
    </row>
    <row r="15" spans="1:20" x14ac:dyDescent="0.25">
      <c r="A15" s="8" t="s">
        <v>63</v>
      </c>
      <c r="B15" s="8" t="s">
        <v>64</v>
      </c>
      <c r="C15" s="8" t="s">
        <v>3540</v>
      </c>
      <c r="D15" s="8">
        <v>484</v>
      </c>
      <c r="E15" s="24">
        <v>0.50413221120834295</v>
      </c>
      <c r="F15" s="24">
        <v>0.495867758989334</v>
      </c>
      <c r="G15" s="23">
        <v>0</v>
      </c>
      <c r="H15" s="23">
        <v>7.6446279883384705E-2</v>
      </c>
      <c r="I15" s="23">
        <v>8.2644626498222407E-2</v>
      </c>
      <c r="J15" s="24">
        <v>0.35123968124389598</v>
      </c>
      <c r="K15" s="24">
        <v>0.10537189990282</v>
      </c>
      <c r="L15" s="23">
        <v>2.0661156158894001E-3</v>
      </c>
      <c r="M15" s="24">
        <v>0.382231414318084</v>
      </c>
      <c r="N15" s="23">
        <v>0</v>
      </c>
      <c r="O15" s="24">
        <v>0.272727280855178</v>
      </c>
      <c r="P15" s="23">
        <v>4.3388430029153803E-2</v>
      </c>
      <c r="Q15" s="24">
        <v>0.45661157369613598</v>
      </c>
      <c r="R15" s="25">
        <v>0</v>
      </c>
      <c r="S15" s="25">
        <v>1.0330578512396695E-2</v>
      </c>
      <c r="T15" s="25">
        <v>0.25413223140495866</v>
      </c>
    </row>
    <row r="16" spans="1:20" x14ac:dyDescent="0.25">
      <c r="A16" s="8" t="s">
        <v>65</v>
      </c>
      <c r="B16" s="8" t="s">
        <v>66</v>
      </c>
      <c r="C16" s="8" t="s">
        <v>3540</v>
      </c>
      <c r="D16" s="8">
        <v>134</v>
      </c>
      <c r="E16" s="24">
        <v>0.53731346130371005</v>
      </c>
      <c r="F16" s="24">
        <v>0.46268656849861101</v>
      </c>
      <c r="G16" s="23">
        <v>0</v>
      </c>
      <c r="H16" s="23">
        <v>2.23880596458912E-2</v>
      </c>
      <c r="I16" s="24">
        <v>0.20149253308772999</v>
      </c>
      <c r="J16" s="24">
        <v>0.70895522832870395</v>
      </c>
      <c r="K16" s="23">
        <v>7.4626863934100004E-3</v>
      </c>
      <c r="L16" s="23">
        <v>7.4626863934100004E-3</v>
      </c>
      <c r="M16" s="23">
        <v>5.2238807082176202E-2</v>
      </c>
      <c r="N16" s="23">
        <v>0</v>
      </c>
      <c r="O16" s="24">
        <v>0.46268656849861101</v>
      </c>
      <c r="P16" s="23">
        <v>0.14179104566574099</v>
      </c>
      <c r="Q16" s="24">
        <v>0.93283581733703602</v>
      </c>
      <c r="R16" s="25">
        <v>7.4626865671641784E-2</v>
      </c>
      <c r="S16" s="25">
        <v>2.2388059701492536E-2</v>
      </c>
      <c r="T16" s="25">
        <v>0.36567164179104478</v>
      </c>
    </row>
    <row r="17" spans="1:20" x14ac:dyDescent="0.25">
      <c r="A17" s="8" t="s">
        <v>68</v>
      </c>
      <c r="B17" s="8" t="s">
        <v>69</v>
      </c>
      <c r="C17" s="8" t="s">
        <v>3540</v>
      </c>
      <c r="D17" s="8">
        <v>274</v>
      </c>
      <c r="E17" s="24">
        <v>0.489051103591918</v>
      </c>
      <c r="F17" s="24">
        <v>0.51094889640808105</v>
      </c>
      <c r="G17" s="23">
        <v>0</v>
      </c>
      <c r="H17" s="23">
        <v>7.2992697358131395E-2</v>
      </c>
      <c r="I17" s="23">
        <v>8.7591238319873796E-2</v>
      </c>
      <c r="J17" s="24">
        <v>0.35766422748565602</v>
      </c>
      <c r="K17" s="23">
        <v>9.4890512526035295E-2</v>
      </c>
      <c r="L17" s="23">
        <v>1.09489047899842E-2</v>
      </c>
      <c r="M17" s="24">
        <v>0.37591239809989901</v>
      </c>
      <c r="N17" s="23">
        <v>0</v>
      </c>
      <c r="O17" s="24">
        <v>0.240875914692878</v>
      </c>
      <c r="P17" s="23">
        <v>5.4744526743888897E-2</v>
      </c>
      <c r="Q17" s="24">
        <v>0.51094889640808105</v>
      </c>
      <c r="R17" s="25">
        <v>3.6496350364963502E-3</v>
      </c>
      <c r="S17" s="25">
        <v>0</v>
      </c>
      <c r="T17" s="25">
        <v>0.21167883211678831</v>
      </c>
    </row>
    <row r="18" spans="1:20" x14ac:dyDescent="0.25">
      <c r="A18" s="8" t="s">
        <v>70</v>
      </c>
      <c r="B18" s="8" t="s">
        <v>71</v>
      </c>
      <c r="C18" s="8" t="s">
        <v>3540</v>
      </c>
      <c r="D18" s="8">
        <v>213</v>
      </c>
      <c r="E18" s="23">
        <v>0.49295774102210999</v>
      </c>
      <c r="F18" s="24">
        <v>0.50234740972518899</v>
      </c>
      <c r="G18" s="23">
        <v>4.6948357485234998E-3</v>
      </c>
      <c r="H18" s="23">
        <v>4.6948358416557298E-2</v>
      </c>
      <c r="I18" s="23">
        <v>9.8591551184654194E-2</v>
      </c>
      <c r="J18" s="24">
        <v>0.35211268067359902</v>
      </c>
      <c r="K18" s="23">
        <v>7.0422537624835996E-2</v>
      </c>
      <c r="L18" s="23">
        <v>9.3896714970469006E-3</v>
      </c>
      <c r="M18" s="24">
        <v>0.422535210847854</v>
      </c>
      <c r="N18" s="23">
        <v>0</v>
      </c>
      <c r="O18" s="24">
        <v>0.29107981920242298</v>
      </c>
      <c r="P18" s="23">
        <v>3.7558685988187797E-2</v>
      </c>
      <c r="Q18" s="24">
        <v>0.44600939750671298</v>
      </c>
      <c r="R18" s="25">
        <v>0</v>
      </c>
      <c r="S18" s="25">
        <v>0</v>
      </c>
      <c r="T18" s="25">
        <v>0.28638497652582162</v>
      </c>
    </row>
    <row r="19" spans="1:20" x14ac:dyDescent="0.25">
      <c r="A19" s="8" t="s">
        <v>72</v>
      </c>
      <c r="B19" s="8" t="s">
        <v>73</v>
      </c>
      <c r="C19" s="8" t="s">
        <v>3540</v>
      </c>
      <c r="D19" s="8">
        <v>176</v>
      </c>
      <c r="E19" s="24">
        <v>0.488636374473571</v>
      </c>
      <c r="F19" s="24">
        <v>0.511363625526428</v>
      </c>
      <c r="G19" s="23">
        <v>0</v>
      </c>
      <c r="H19" s="23">
        <v>3.4090910106897403E-2</v>
      </c>
      <c r="I19" s="23">
        <v>9.6590906381607097E-2</v>
      </c>
      <c r="J19" s="24">
        <v>0.505681812763214</v>
      </c>
      <c r="K19" s="24">
        <v>0.102272726595401</v>
      </c>
      <c r="L19" s="23">
        <v>0</v>
      </c>
      <c r="M19" s="24">
        <v>0.261363625526428</v>
      </c>
      <c r="N19" s="23">
        <v>0</v>
      </c>
      <c r="O19" s="23">
        <v>0.3125</v>
      </c>
      <c r="P19" s="23">
        <v>3.9772726595401799E-2</v>
      </c>
      <c r="Q19" s="24">
        <v>0.619318187236785</v>
      </c>
      <c r="R19" s="25">
        <v>5.681818181818182E-3</v>
      </c>
      <c r="S19" s="25">
        <v>0</v>
      </c>
      <c r="T19" s="25">
        <v>0.3125</v>
      </c>
    </row>
    <row r="20" spans="1:20" x14ac:dyDescent="0.25">
      <c r="A20" s="8" t="s">
        <v>74</v>
      </c>
      <c r="B20" s="8" t="s">
        <v>75</v>
      </c>
      <c r="C20" s="8" t="s">
        <v>3540</v>
      </c>
      <c r="D20" s="8">
        <v>152</v>
      </c>
      <c r="E20" s="24">
        <v>0.48684209585189803</v>
      </c>
      <c r="F20" s="24">
        <v>0.51315790414810103</v>
      </c>
      <c r="G20" s="23">
        <v>0</v>
      </c>
      <c r="H20" s="23">
        <v>7.8947365283966106E-2</v>
      </c>
      <c r="I20" s="24">
        <v>0.13815788924694</v>
      </c>
      <c r="J20" s="24">
        <v>0.63815790414810103</v>
      </c>
      <c r="K20" s="23">
        <v>3.2894738018512698E-2</v>
      </c>
      <c r="L20" s="23">
        <v>2.63157896697521E-2</v>
      </c>
      <c r="M20" s="23">
        <v>8.5526317358016996E-2</v>
      </c>
      <c r="N20" s="23">
        <v>0</v>
      </c>
      <c r="O20" s="24">
        <v>0.32236841320991499</v>
      </c>
      <c r="P20" s="24">
        <v>0.20394736528396601</v>
      </c>
      <c r="Q20" s="24">
        <v>0.86842107772827104</v>
      </c>
      <c r="R20" s="25">
        <v>0</v>
      </c>
      <c r="S20" s="25">
        <v>0</v>
      </c>
      <c r="T20" s="25">
        <v>0.32894736842105265</v>
      </c>
    </row>
    <row r="21" spans="1:20" x14ac:dyDescent="0.25">
      <c r="A21" s="8" t="s">
        <v>76</v>
      </c>
      <c r="B21" s="8" t="s">
        <v>77</v>
      </c>
      <c r="C21" s="8" t="s">
        <v>3540</v>
      </c>
      <c r="D21" s="8">
        <v>476</v>
      </c>
      <c r="E21" s="24">
        <v>0.40756303071975702</v>
      </c>
      <c r="F21" s="24">
        <v>0.59033614397048895</v>
      </c>
      <c r="G21" s="23">
        <v>2.1008404437453001E-3</v>
      </c>
      <c r="H21" s="24">
        <v>0.319327741861343</v>
      </c>
      <c r="I21" s="23">
        <v>0.13655462861061099</v>
      </c>
      <c r="J21" s="24">
        <v>0.418067216873168</v>
      </c>
      <c r="K21" s="23">
        <v>1.0504201985895601E-2</v>
      </c>
      <c r="L21" s="23">
        <v>2.1008404437453001E-3</v>
      </c>
      <c r="M21" s="24">
        <v>0.113445378839969</v>
      </c>
      <c r="N21" s="23">
        <v>0</v>
      </c>
      <c r="O21" s="24">
        <v>0.176470592617988</v>
      </c>
      <c r="P21" s="23">
        <v>3.7815127521753297E-2</v>
      </c>
      <c r="Q21" s="24">
        <v>0.74579828977584794</v>
      </c>
      <c r="R21" s="25">
        <v>0</v>
      </c>
      <c r="S21" s="25">
        <v>0</v>
      </c>
      <c r="T21" s="25">
        <v>0.17436974789915966</v>
      </c>
    </row>
    <row r="22" spans="1:20" x14ac:dyDescent="0.25">
      <c r="A22" s="8" t="s">
        <v>78</v>
      </c>
      <c r="B22" s="8" t="s">
        <v>79</v>
      </c>
      <c r="C22" s="8" t="s">
        <v>3540</v>
      </c>
      <c r="D22" s="8">
        <v>697</v>
      </c>
      <c r="E22" s="24">
        <v>0.43472021818161</v>
      </c>
      <c r="F22" s="24">
        <v>0.565279781818389</v>
      </c>
      <c r="G22" s="23">
        <v>0</v>
      </c>
      <c r="H22" s="23">
        <v>6.1692968010902398E-2</v>
      </c>
      <c r="I22" s="24">
        <v>0.17503586411476099</v>
      </c>
      <c r="J22" s="24">
        <v>0.55093258619308405</v>
      </c>
      <c r="K22" s="23">
        <v>3.2998565584421199E-2</v>
      </c>
      <c r="L22" s="23">
        <v>7.1736010722815999E-3</v>
      </c>
      <c r="M22" s="24">
        <v>0.16212338209152199</v>
      </c>
      <c r="N22" s="23">
        <v>1.0043041780591001E-2</v>
      </c>
      <c r="O22" s="23">
        <v>0.33142036199569702</v>
      </c>
      <c r="P22" s="23">
        <v>1.2912482023239099E-2</v>
      </c>
      <c r="Q22" s="24">
        <v>0.687231004238128</v>
      </c>
      <c r="R22" s="25">
        <v>1.2912482065997131E-2</v>
      </c>
      <c r="S22" s="25">
        <v>0</v>
      </c>
      <c r="T22" s="25">
        <v>0.30989956958393111</v>
      </c>
    </row>
    <row r="23" spans="1:20" x14ac:dyDescent="0.25">
      <c r="A23" s="8" t="s">
        <v>81</v>
      </c>
      <c r="B23" s="8" t="s">
        <v>82</v>
      </c>
      <c r="C23" s="8" t="s">
        <v>3540</v>
      </c>
      <c r="D23" s="8">
        <v>180</v>
      </c>
      <c r="E23" s="23">
        <v>0.5</v>
      </c>
      <c r="F23" s="23">
        <v>0.5</v>
      </c>
      <c r="G23" s="23">
        <v>0</v>
      </c>
      <c r="H23" s="23">
        <v>2.7777777984738301E-2</v>
      </c>
      <c r="I23" s="24">
        <v>0.34444445371627802</v>
      </c>
      <c r="J23" s="24">
        <v>0.59444445371627797</v>
      </c>
      <c r="K23" s="23">
        <v>5.5555556900798997E-3</v>
      </c>
      <c r="L23" s="23">
        <v>0</v>
      </c>
      <c r="M23" s="23">
        <v>2.7777777984738301E-2</v>
      </c>
      <c r="N23" s="23">
        <v>0</v>
      </c>
      <c r="O23" s="24">
        <v>0.38888889551162698</v>
      </c>
      <c r="P23" s="23">
        <v>8.3333335816860199E-2</v>
      </c>
      <c r="Q23" s="24">
        <v>0.89999997615814198</v>
      </c>
      <c r="R23" s="25">
        <v>0</v>
      </c>
      <c r="S23" s="25">
        <v>0</v>
      </c>
      <c r="T23" s="25">
        <v>0.36666666666666664</v>
      </c>
    </row>
    <row r="24" spans="1:20" x14ac:dyDescent="0.25">
      <c r="A24" s="8" t="s">
        <v>84</v>
      </c>
      <c r="B24" s="8" t="s">
        <v>85</v>
      </c>
      <c r="C24" s="8" t="s">
        <v>3540</v>
      </c>
      <c r="D24" s="8">
        <v>564</v>
      </c>
      <c r="E24" s="24">
        <v>0.393617033958435</v>
      </c>
      <c r="F24" s="24">
        <v>0.60638296604156405</v>
      </c>
      <c r="G24" s="23">
        <v>0</v>
      </c>
      <c r="H24" s="24">
        <v>0.28546097874641402</v>
      </c>
      <c r="I24" s="24">
        <v>0.125886529684066</v>
      </c>
      <c r="J24" s="24">
        <v>0.55851066112518299</v>
      </c>
      <c r="K24" s="23">
        <v>3.5460991784929999E-3</v>
      </c>
      <c r="L24" s="23">
        <v>3.5460991784929999E-3</v>
      </c>
      <c r="M24" s="23">
        <v>2.3049645125865902E-2</v>
      </c>
      <c r="N24" s="23">
        <v>0</v>
      </c>
      <c r="O24" s="23">
        <v>9.3971632421016693E-2</v>
      </c>
      <c r="P24" s="24">
        <v>0.64361703395843495</v>
      </c>
      <c r="Q24" s="24">
        <v>0.89184397459030096</v>
      </c>
      <c r="R24" s="25">
        <v>0</v>
      </c>
      <c r="S24" s="25">
        <v>0</v>
      </c>
      <c r="T24" s="25">
        <v>9.2198581560283682E-2</v>
      </c>
    </row>
    <row r="25" spans="1:20" x14ac:dyDescent="0.25">
      <c r="A25" s="8" t="s">
        <v>87</v>
      </c>
      <c r="B25" s="8" t="s">
        <v>88</v>
      </c>
      <c r="C25" s="8" t="s">
        <v>3540</v>
      </c>
      <c r="D25" s="8">
        <v>1617</v>
      </c>
      <c r="E25" s="24">
        <v>0.50711190700530995</v>
      </c>
      <c r="F25" s="24">
        <v>0.492888063192367</v>
      </c>
      <c r="G25" s="23">
        <v>0</v>
      </c>
      <c r="H25" s="24">
        <v>0.38342610001563998</v>
      </c>
      <c r="I25" s="23">
        <v>4.1434757411479901E-2</v>
      </c>
      <c r="J25" s="24">
        <v>0.101422384381294</v>
      </c>
      <c r="K25" s="24">
        <v>0.105751387774944</v>
      </c>
      <c r="L25" s="23">
        <v>1.8552875844762E-3</v>
      </c>
      <c r="M25" s="24">
        <v>0.35621520876884399</v>
      </c>
      <c r="N25" s="23">
        <v>9.8948674276470999E-3</v>
      </c>
      <c r="O25" s="24">
        <v>0.131106987595558</v>
      </c>
      <c r="P25" s="23">
        <v>4.9474337138236003E-3</v>
      </c>
      <c r="Q25" s="24">
        <v>0.258503407239913</v>
      </c>
      <c r="R25" s="25">
        <v>0</v>
      </c>
      <c r="S25" s="25">
        <v>0</v>
      </c>
      <c r="T25" s="25">
        <v>0.13172541743970315</v>
      </c>
    </row>
    <row r="26" spans="1:20" x14ac:dyDescent="0.25">
      <c r="A26" s="8" t="s">
        <v>90</v>
      </c>
      <c r="B26" s="8" t="s">
        <v>3333</v>
      </c>
      <c r="C26" s="8" t="s">
        <v>3540</v>
      </c>
      <c r="D26" s="8">
        <v>148</v>
      </c>
      <c r="E26" s="24">
        <v>0.53378379344940097</v>
      </c>
      <c r="F26" s="24">
        <v>0.46621620655059798</v>
      </c>
      <c r="G26" s="23">
        <v>0</v>
      </c>
      <c r="H26" s="23">
        <v>3.3783782273531002E-2</v>
      </c>
      <c r="I26" s="24">
        <v>0.39864864945411599</v>
      </c>
      <c r="J26" s="24">
        <v>0.52027028799056996</v>
      </c>
      <c r="K26" s="23">
        <v>6.7567569203675001E-3</v>
      </c>
      <c r="L26" s="23">
        <v>6.7567569203675001E-3</v>
      </c>
      <c r="M26" s="23">
        <v>3.3783782273531002E-2</v>
      </c>
      <c r="N26" s="23">
        <v>0</v>
      </c>
      <c r="O26" s="24">
        <v>0.39864864945411599</v>
      </c>
      <c r="P26" s="23">
        <v>4.7297298908233601E-2</v>
      </c>
      <c r="Q26" s="24">
        <v>0.92567569017410201</v>
      </c>
      <c r="R26" s="25">
        <v>0</v>
      </c>
      <c r="S26" s="25">
        <v>0</v>
      </c>
      <c r="T26" s="25">
        <v>0.35810810810810811</v>
      </c>
    </row>
    <row r="27" spans="1:20" x14ac:dyDescent="0.25">
      <c r="A27" s="8" t="s">
        <v>92</v>
      </c>
      <c r="B27" s="8" t="s">
        <v>93</v>
      </c>
      <c r="C27" s="8" t="s">
        <v>3540</v>
      </c>
      <c r="D27" s="8">
        <v>570</v>
      </c>
      <c r="E27" s="24">
        <v>0.62456142902374201</v>
      </c>
      <c r="F27" s="24">
        <v>0.37543860077857899</v>
      </c>
      <c r="G27" s="23">
        <v>0</v>
      </c>
      <c r="H27" s="24">
        <v>0.20350876450538599</v>
      </c>
      <c r="I27" s="24">
        <v>0.156140357255935</v>
      </c>
      <c r="J27" s="24">
        <v>0.240350872278213</v>
      </c>
      <c r="K27" s="23">
        <v>4.7368422150611898E-2</v>
      </c>
      <c r="L27" s="23">
        <v>1.7543860012665001E-3</v>
      </c>
      <c r="M27" s="24">
        <v>0.33859649300575201</v>
      </c>
      <c r="N27" s="23">
        <v>1.22807016596198E-2</v>
      </c>
      <c r="O27" s="24">
        <v>0.15964911878108901</v>
      </c>
      <c r="P27" s="23">
        <v>8.7719298899173997E-3</v>
      </c>
      <c r="Q27" s="24">
        <v>0.49824562668800298</v>
      </c>
      <c r="R27" s="25">
        <v>0</v>
      </c>
      <c r="S27" s="25">
        <v>1.7543859649122807E-3</v>
      </c>
      <c r="T27" s="25">
        <v>0.15263157894736842</v>
      </c>
    </row>
    <row r="28" spans="1:20" x14ac:dyDescent="0.25">
      <c r="A28" s="8" t="s">
        <v>94</v>
      </c>
      <c r="B28" s="8" t="s">
        <v>95</v>
      </c>
      <c r="C28" s="8" t="s">
        <v>3540</v>
      </c>
      <c r="D28" s="8">
        <v>293</v>
      </c>
      <c r="E28" s="24">
        <v>0.54266214370727495</v>
      </c>
      <c r="F28" s="23">
        <v>0.457337886095047</v>
      </c>
      <c r="G28" s="23">
        <v>0</v>
      </c>
      <c r="H28" s="23">
        <v>7.8498296439647702E-2</v>
      </c>
      <c r="I28" s="24">
        <v>0.146757677197456</v>
      </c>
      <c r="J28" s="24">
        <v>0.58361774682998602</v>
      </c>
      <c r="K28" s="23">
        <v>2.38907858729362E-2</v>
      </c>
      <c r="L28" s="23">
        <v>3.4129691775888001E-3</v>
      </c>
      <c r="M28" s="24">
        <v>0.163822531700134</v>
      </c>
      <c r="N28" s="23">
        <v>0</v>
      </c>
      <c r="O28" s="24">
        <v>0.36860069632530201</v>
      </c>
      <c r="P28" s="23">
        <v>2.38907858729362E-2</v>
      </c>
      <c r="Q28" s="24">
        <v>0.740614354610443</v>
      </c>
      <c r="R28" s="25">
        <v>0</v>
      </c>
      <c r="S28" s="25">
        <v>0</v>
      </c>
      <c r="T28" s="25">
        <v>0.37201365187713309</v>
      </c>
    </row>
    <row r="29" spans="1:20" x14ac:dyDescent="0.25">
      <c r="A29" s="8" t="s">
        <v>96</v>
      </c>
      <c r="B29" s="8" t="s">
        <v>97</v>
      </c>
      <c r="C29" s="8" t="s">
        <v>3540</v>
      </c>
      <c r="D29" s="8">
        <v>213</v>
      </c>
      <c r="E29" s="24">
        <v>0.384976536035537</v>
      </c>
      <c r="F29" s="24">
        <v>0.615023493766784</v>
      </c>
      <c r="G29" s="23">
        <v>0</v>
      </c>
      <c r="H29" s="24">
        <v>0.24413146078586501</v>
      </c>
      <c r="I29" s="24">
        <v>0.215962439775466</v>
      </c>
      <c r="J29" s="24">
        <v>0.46478873491287198</v>
      </c>
      <c r="K29" s="23">
        <v>2.8169013559818299E-2</v>
      </c>
      <c r="L29" s="23">
        <v>1.8779342994093898E-2</v>
      </c>
      <c r="M29" s="23">
        <v>2.8169013559818299E-2</v>
      </c>
      <c r="N29" s="23">
        <v>0</v>
      </c>
      <c r="O29" s="24">
        <v>0.197183102369308</v>
      </c>
      <c r="P29" s="24">
        <v>0.25821596384048401</v>
      </c>
      <c r="Q29" s="24">
        <v>0.90610331296920699</v>
      </c>
      <c r="R29" s="25">
        <v>3.7558685446009391E-2</v>
      </c>
      <c r="S29" s="25">
        <v>0</v>
      </c>
      <c r="T29" s="25">
        <v>0.17840375586854459</v>
      </c>
    </row>
    <row r="30" spans="1:20" x14ac:dyDescent="0.25">
      <c r="A30" s="8" t="s">
        <v>98</v>
      </c>
      <c r="B30" s="8" t="s">
        <v>99</v>
      </c>
      <c r="C30" s="8" t="s">
        <v>3540</v>
      </c>
      <c r="D30" s="8">
        <v>339</v>
      </c>
      <c r="E30" s="24">
        <v>0.46312683820724398</v>
      </c>
      <c r="F30" s="24">
        <v>0.53687316179275502</v>
      </c>
      <c r="G30" s="23">
        <v>0</v>
      </c>
      <c r="H30" s="23">
        <v>0.38053098320960999</v>
      </c>
      <c r="I30" s="24">
        <v>0.14749263226985901</v>
      </c>
      <c r="J30" s="24">
        <v>0.41887906193733199</v>
      </c>
      <c r="K30" s="23">
        <v>2.9498524963855999E-3</v>
      </c>
      <c r="L30" s="23">
        <v>2.9498524963855999E-3</v>
      </c>
      <c r="M30" s="23">
        <v>4.7197639942169203E-2</v>
      </c>
      <c r="N30" s="23">
        <v>0</v>
      </c>
      <c r="O30" s="24">
        <v>0.280235975980758</v>
      </c>
      <c r="P30" s="24">
        <v>0.33923304080963101</v>
      </c>
      <c r="Q30" s="24">
        <v>0.95870208740234297</v>
      </c>
      <c r="R30" s="25">
        <v>5.3097345132743362E-2</v>
      </c>
      <c r="S30" s="25">
        <v>1.4749262536873156E-2</v>
      </c>
      <c r="T30" s="25">
        <v>0.20648967551622419</v>
      </c>
    </row>
    <row r="31" spans="1:20" x14ac:dyDescent="0.25">
      <c r="A31" s="8" t="s">
        <v>100</v>
      </c>
      <c r="B31" s="8" t="s">
        <v>101</v>
      </c>
      <c r="C31" s="8" t="s">
        <v>3540</v>
      </c>
      <c r="D31" s="8">
        <v>565</v>
      </c>
      <c r="E31" s="24">
        <v>0.44778761267661998</v>
      </c>
      <c r="F31" s="24">
        <v>0.55221241712570102</v>
      </c>
      <c r="G31" s="23">
        <v>0</v>
      </c>
      <c r="H31" s="23">
        <v>9.5575220882892595E-2</v>
      </c>
      <c r="I31" s="23">
        <v>5.6637167930603E-2</v>
      </c>
      <c r="J31" s="24">
        <v>0.17876106500625599</v>
      </c>
      <c r="K31" s="23">
        <v>8.8495574891567202E-2</v>
      </c>
      <c r="L31" s="23">
        <v>3.5398229956627001E-3</v>
      </c>
      <c r="M31" s="24">
        <v>0.57522124052047696</v>
      </c>
      <c r="N31" s="23">
        <v>1.7699114978312999E-3</v>
      </c>
      <c r="O31" s="24">
        <v>0.23716814815998</v>
      </c>
      <c r="P31" s="23">
        <v>6.1946902424097103E-2</v>
      </c>
      <c r="Q31" s="24">
        <v>0.23716814815998</v>
      </c>
      <c r="R31" s="25">
        <v>6.1946902654867256E-2</v>
      </c>
      <c r="S31" s="25">
        <v>1.2389380530973451E-2</v>
      </c>
      <c r="T31" s="25">
        <v>0.15044247787610621</v>
      </c>
    </row>
    <row r="32" spans="1:20" x14ac:dyDescent="0.25">
      <c r="A32" s="8" t="s">
        <v>102</v>
      </c>
      <c r="B32" s="8" t="s">
        <v>103</v>
      </c>
      <c r="C32" s="8" t="s">
        <v>3540</v>
      </c>
      <c r="D32" s="8">
        <v>656</v>
      </c>
      <c r="E32" s="24">
        <v>0.51524388790130604</v>
      </c>
      <c r="F32" s="24">
        <v>0.48475611209869301</v>
      </c>
      <c r="G32" s="23">
        <v>0</v>
      </c>
      <c r="H32" s="24">
        <v>0.16006097197532601</v>
      </c>
      <c r="I32" s="23">
        <v>1.06707317754626E-2</v>
      </c>
      <c r="J32" s="24">
        <v>0.123475611209869</v>
      </c>
      <c r="K32" s="23">
        <v>8.3841465413570404E-2</v>
      </c>
      <c r="L32" s="23">
        <v>0</v>
      </c>
      <c r="M32" s="24">
        <v>0.62042683362960804</v>
      </c>
      <c r="N32" s="23">
        <v>1.5243901871144999E-3</v>
      </c>
      <c r="O32" s="24">
        <v>0.18445122241973799</v>
      </c>
      <c r="P32" s="23">
        <v>4.8780485987663297E-2</v>
      </c>
      <c r="Q32" s="24">
        <v>0.115853659808635</v>
      </c>
      <c r="R32" s="25">
        <v>0</v>
      </c>
      <c r="S32" s="25">
        <v>0</v>
      </c>
      <c r="T32" s="25">
        <v>0.1722560975609756</v>
      </c>
    </row>
    <row r="33" spans="1:20" x14ac:dyDescent="0.25">
      <c r="A33" s="8" t="s">
        <v>104</v>
      </c>
      <c r="B33" s="8" t="s">
        <v>105</v>
      </c>
      <c r="C33" s="8" t="s">
        <v>3540</v>
      </c>
      <c r="D33" s="8">
        <v>677</v>
      </c>
      <c r="E33" s="24">
        <v>0.49335303902625999</v>
      </c>
      <c r="F33" s="23">
        <v>0.50664699077606201</v>
      </c>
      <c r="G33" s="23">
        <v>0</v>
      </c>
      <c r="H33" s="23">
        <v>0.17577548325061801</v>
      </c>
      <c r="I33" s="23">
        <v>6.7946821451187106E-2</v>
      </c>
      <c r="J33" s="24">
        <v>0.26883310079574502</v>
      </c>
      <c r="K33" s="23">
        <v>5.9084195643663399E-2</v>
      </c>
      <c r="L33" s="23">
        <v>5.9084193781017997E-3</v>
      </c>
      <c r="M33" s="24">
        <v>0.42097488045692399</v>
      </c>
      <c r="N33" s="23">
        <v>1.4771048445255E-3</v>
      </c>
      <c r="O33" s="24">
        <v>0.141802072525024</v>
      </c>
      <c r="P33" s="23">
        <v>9.3057610094547299E-2</v>
      </c>
      <c r="Q33" s="23">
        <v>0.35450518131256098</v>
      </c>
      <c r="R33" s="25">
        <v>2.9542097488921715E-3</v>
      </c>
      <c r="S33" s="25">
        <v>0</v>
      </c>
      <c r="T33" s="25">
        <v>0.13293943870014771</v>
      </c>
    </row>
    <row r="34" spans="1:20" x14ac:dyDescent="0.25">
      <c r="A34" s="8" t="s">
        <v>106</v>
      </c>
      <c r="B34" s="8" t="s">
        <v>107</v>
      </c>
      <c r="C34" s="8" t="s">
        <v>3540</v>
      </c>
      <c r="D34" s="8">
        <v>605</v>
      </c>
      <c r="E34" s="24">
        <v>0.47438016533851601</v>
      </c>
      <c r="F34" s="24">
        <v>0.52561986446380604</v>
      </c>
      <c r="G34" s="23">
        <v>0</v>
      </c>
      <c r="H34" s="24">
        <v>0.166942149400711</v>
      </c>
      <c r="I34" s="24">
        <v>0.155371904373168</v>
      </c>
      <c r="J34" s="24">
        <v>0.40991735458374001</v>
      </c>
      <c r="K34" s="23">
        <v>7.1074381470680195E-2</v>
      </c>
      <c r="L34" s="23">
        <v>9.9173551425338E-3</v>
      </c>
      <c r="M34" s="24">
        <v>0.18677686154842299</v>
      </c>
      <c r="N34" s="23">
        <v>0</v>
      </c>
      <c r="O34" s="24">
        <v>0.155371904373168</v>
      </c>
      <c r="P34" s="24">
        <v>0.208264470100402</v>
      </c>
      <c r="Q34" s="24">
        <v>0.59669423103332497</v>
      </c>
      <c r="R34" s="25">
        <v>3.9669421487603308E-2</v>
      </c>
      <c r="S34" s="25">
        <v>3.3057851239669421E-3</v>
      </c>
      <c r="T34" s="25">
        <v>0.1140495867768595</v>
      </c>
    </row>
    <row r="35" spans="1:20" x14ac:dyDescent="0.25">
      <c r="A35" s="8" t="s">
        <v>108</v>
      </c>
      <c r="B35" s="8" t="s">
        <v>109</v>
      </c>
      <c r="C35" s="8" t="s">
        <v>3540</v>
      </c>
      <c r="D35" s="8">
        <v>538</v>
      </c>
      <c r="E35" s="23">
        <v>0.5</v>
      </c>
      <c r="F35" s="23">
        <v>0.5</v>
      </c>
      <c r="G35" s="23">
        <v>0</v>
      </c>
      <c r="H35" s="24">
        <v>0.111524164676666</v>
      </c>
      <c r="I35" s="23">
        <v>3.53159867227077E-2</v>
      </c>
      <c r="J35" s="24">
        <v>0.15613383054733199</v>
      </c>
      <c r="K35" s="24">
        <v>0.13382899761199901</v>
      </c>
      <c r="L35" s="23">
        <v>3.7174720782786998E-3</v>
      </c>
      <c r="M35" s="24">
        <v>0.55762082338333097</v>
      </c>
      <c r="N35" s="23">
        <v>1.8587360391393E-3</v>
      </c>
      <c r="O35" s="24">
        <v>0.206319704651832</v>
      </c>
      <c r="P35" s="23">
        <v>2.6022305712103799E-2</v>
      </c>
      <c r="Q35" s="24">
        <v>0.15799257159232999</v>
      </c>
      <c r="R35" s="25">
        <v>0</v>
      </c>
      <c r="S35" s="25">
        <v>0</v>
      </c>
      <c r="T35" s="25">
        <v>0.2100371747211896</v>
      </c>
    </row>
    <row r="36" spans="1:20" x14ac:dyDescent="0.25">
      <c r="A36" s="8" t="s">
        <v>110</v>
      </c>
      <c r="B36" s="8" t="s">
        <v>111</v>
      </c>
      <c r="C36" s="8" t="s">
        <v>3540</v>
      </c>
      <c r="D36" s="8">
        <v>479</v>
      </c>
      <c r="E36" s="24">
        <v>0.47181627154350197</v>
      </c>
      <c r="F36" s="24">
        <v>0.52818369865417403</v>
      </c>
      <c r="G36" s="23">
        <v>0</v>
      </c>
      <c r="H36" s="23">
        <v>7.0981211960315704E-2</v>
      </c>
      <c r="I36" s="23">
        <v>1.87891442328691E-2</v>
      </c>
      <c r="J36" s="24">
        <v>0.11691022664308499</v>
      </c>
      <c r="K36" s="24">
        <v>0.13778705894946999</v>
      </c>
      <c r="L36" s="23">
        <v>2.0876827184111001E-3</v>
      </c>
      <c r="M36" s="24">
        <v>0.65344464778900102</v>
      </c>
      <c r="N36" s="23">
        <v>0</v>
      </c>
      <c r="O36" s="24">
        <v>0.16075156629085499</v>
      </c>
      <c r="P36" s="23">
        <v>2.9227556660771401E-2</v>
      </c>
      <c r="Q36" s="23">
        <v>7.7244259417056996E-2</v>
      </c>
      <c r="R36" s="25">
        <v>0</v>
      </c>
      <c r="S36" s="25">
        <v>0</v>
      </c>
      <c r="T36" s="25">
        <v>0.17536534446764093</v>
      </c>
    </row>
    <row r="37" spans="1:20" x14ac:dyDescent="0.25">
      <c r="A37" s="8" t="s">
        <v>112</v>
      </c>
      <c r="B37" s="8" t="s">
        <v>113</v>
      </c>
      <c r="C37" s="8" t="s">
        <v>3540</v>
      </c>
      <c r="D37" s="8">
        <v>478</v>
      </c>
      <c r="E37" s="24">
        <v>0.47071129083633401</v>
      </c>
      <c r="F37" s="24">
        <v>0.52928870916366499</v>
      </c>
      <c r="G37" s="23">
        <v>0</v>
      </c>
      <c r="H37" s="24">
        <v>0.66317993402481001</v>
      </c>
      <c r="I37" s="23">
        <v>4.1841004043817499E-2</v>
      </c>
      <c r="J37" s="24">
        <v>0.15690375864505701</v>
      </c>
      <c r="K37" s="23">
        <v>3.7656903266906697E-2</v>
      </c>
      <c r="L37" s="23">
        <v>4.1841003112494998E-3</v>
      </c>
      <c r="M37" s="23">
        <v>9.6234306693077101E-2</v>
      </c>
      <c r="N37" s="23">
        <v>0</v>
      </c>
      <c r="O37" s="24">
        <v>0.27405858039855902</v>
      </c>
      <c r="P37" s="24">
        <v>0.21966527402400901</v>
      </c>
      <c r="Q37" s="24">
        <v>0.667364001274108</v>
      </c>
      <c r="R37" s="25">
        <v>6.2761506276150627E-3</v>
      </c>
      <c r="S37" s="25">
        <v>0</v>
      </c>
      <c r="T37" s="25">
        <v>0.26569037656903766</v>
      </c>
    </row>
    <row r="38" spans="1:20" x14ac:dyDescent="0.25">
      <c r="A38" s="8" t="s">
        <v>114</v>
      </c>
      <c r="B38" s="8" t="s">
        <v>115</v>
      </c>
      <c r="C38" s="8" t="s">
        <v>3540</v>
      </c>
      <c r="D38" s="8">
        <v>148</v>
      </c>
      <c r="E38" s="23">
        <v>0.587837815284729</v>
      </c>
      <c r="F38" s="24">
        <v>0.412162154912948</v>
      </c>
      <c r="G38" s="23">
        <v>0</v>
      </c>
      <c r="H38" s="23">
        <v>4.7297298908233601E-2</v>
      </c>
      <c r="I38" s="24">
        <v>0.15540540218353199</v>
      </c>
      <c r="J38" s="24">
        <v>0.72297298908233598</v>
      </c>
      <c r="K38" s="23">
        <v>1.3513513840735E-2</v>
      </c>
      <c r="L38" s="23">
        <v>6.7567569203675001E-3</v>
      </c>
      <c r="M38" s="23">
        <v>5.40540553629398E-2</v>
      </c>
      <c r="N38" s="23">
        <v>0</v>
      </c>
      <c r="O38" s="23">
        <v>0.27702704071998602</v>
      </c>
      <c r="P38" s="23">
        <v>8.7837837636470795E-2</v>
      </c>
      <c r="Q38" s="24">
        <v>0.89189189672470004</v>
      </c>
      <c r="R38" s="25">
        <v>0</v>
      </c>
      <c r="S38" s="25">
        <v>0</v>
      </c>
      <c r="T38" s="25">
        <v>0.28378378378378377</v>
      </c>
    </row>
    <row r="39" spans="1:20" x14ac:dyDescent="0.25">
      <c r="A39" s="8" t="s">
        <v>116</v>
      </c>
      <c r="B39" s="8" t="s">
        <v>117</v>
      </c>
      <c r="C39" s="8" t="s">
        <v>3540</v>
      </c>
      <c r="D39" s="8">
        <v>444</v>
      </c>
      <c r="E39" s="24">
        <v>0.45495495200157099</v>
      </c>
      <c r="F39" s="23">
        <v>0.54504501819610596</v>
      </c>
      <c r="G39" s="23">
        <v>0</v>
      </c>
      <c r="H39" s="23">
        <v>7.8828826546669006E-2</v>
      </c>
      <c r="I39" s="24">
        <v>0.13513512909412301</v>
      </c>
      <c r="J39" s="24">
        <v>0.61936938762664695</v>
      </c>
      <c r="K39" s="23">
        <v>2.02702693641186E-2</v>
      </c>
      <c r="L39" s="23">
        <v>4.5045046135782996E-3</v>
      </c>
      <c r="M39" s="24">
        <v>0.14189189672470001</v>
      </c>
      <c r="N39" s="23">
        <v>0</v>
      </c>
      <c r="O39" s="24">
        <v>0.21621622145175901</v>
      </c>
      <c r="P39" s="24">
        <v>0.36036035418510398</v>
      </c>
      <c r="Q39" s="24">
        <v>0.75900900363922097</v>
      </c>
      <c r="R39" s="25">
        <v>4.5045045045045043E-2</v>
      </c>
      <c r="S39" s="25">
        <v>1.1261261261261261E-2</v>
      </c>
      <c r="T39" s="25">
        <v>0.15315315315315314</v>
      </c>
    </row>
    <row r="40" spans="1:20" x14ac:dyDescent="0.25">
      <c r="A40" s="8" t="s">
        <v>118</v>
      </c>
      <c r="B40" s="8" t="s">
        <v>119</v>
      </c>
      <c r="C40" s="8" t="s">
        <v>3540</v>
      </c>
      <c r="D40" s="8">
        <v>535</v>
      </c>
      <c r="E40" s="24">
        <v>0.45607477426528897</v>
      </c>
      <c r="F40" s="24">
        <v>0.54392522573471003</v>
      </c>
      <c r="G40" s="23">
        <v>0</v>
      </c>
      <c r="H40" s="24">
        <v>0.23551401495933499</v>
      </c>
      <c r="I40" s="23">
        <v>3.5514019429683699E-2</v>
      </c>
      <c r="J40" s="23">
        <v>8.2242988049984006E-2</v>
      </c>
      <c r="K40" s="23">
        <v>4.8598129302263302E-2</v>
      </c>
      <c r="L40" s="23">
        <v>5.6074764579534999E-3</v>
      </c>
      <c r="M40" s="23">
        <v>0.59065419435501099</v>
      </c>
      <c r="N40" s="23">
        <v>1.8691589357331E-3</v>
      </c>
      <c r="O40" s="24">
        <v>0.13271027803421001</v>
      </c>
      <c r="P40" s="23">
        <v>5.2336446940898902E-2</v>
      </c>
      <c r="Q40" s="24">
        <v>0.12710280716419201</v>
      </c>
      <c r="R40" s="25">
        <v>0</v>
      </c>
      <c r="S40" s="25">
        <v>0</v>
      </c>
      <c r="T40" s="25">
        <v>0.14018691588785046</v>
      </c>
    </row>
    <row r="41" spans="1:20" x14ac:dyDescent="0.25">
      <c r="A41" s="8" t="s">
        <v>120</v>
      </c>
      <c r="B41" s="8" t="s">
        <v>121</v>
      </c>
      <c r="C41" s="8" t="s">
        <v>3540</v>
      </c>
      <c r="D41" s="8">
        <v>364</v>
      </c>
      <c r="E41" s="24">
        <v>0.51648354530334395</v>
      </c>
      <c r="F41" s="24">
        <v>0.48351648449897699</v>
      </c>
      <c r="G41" s="23">
        <v>0</v>
      </c>
      <c r="H41" s="23">
        <v>0.45054945349693298</v>
      </c>
      <c r="I41" s="23">
        <v>8.2417586818337007E-3</v>
      </c>
      <c r="J41" s="23">
        <v>7.4175827205181094E-2</v>
      </c>
      <c r="K41" s="24">
        <v>0.12637363374233199</v>
      </c>
      <c r="L41" s="23">
        <v>0</v>
      </c>
      <c r="M41" s="24">
        <v>0.335164844989776</v>
      </c>
      <c r="N41" s="23">
        <v>5.4945056326686998E-3</v>
      </c>
      <c r="O41" s="23">
        <v>7.6923079788684803E-2</v>
      </c>
      <c r="P41" s="23">
        <v>8.2417586818337007E-3</v>
      </c>
      <c r="Q41" s="23">
        <v>9.0659342706203502E-2</v>
      </c>
      <c r="R41" s="25">
        <v>0</v>
      </c>
      <c r="S41" s="25">
        <v>0</v>
      </c>
      <c r="T41" s="25">
        <v>8.2417582417582416E-2</v>
      </c>
    </row>
    <row r="42" spans="1:20" x14ac:dyDescent="0.25">
      <c r="A42" s="8" t="s">
        <v>122</v>
      </c>
      <c r="B42" s="8" t="s">
        <v>123</v>
      </c>
      <c r="C42" s="8" t="s">
        <v>3540</v>
      </c>
      <c r="D42" s="8">
        <v>340</v>
      </c>
      <c r="E42" s="24">
        <v>0.51764708757400502</v>
      </c>
      <c r="F42" s="24">
        <v>0.48235294222831698</v>
      </c>
      <c r="G42" s="23">
        <v>0</v>
      </c>
      <c r="H42" s="24">
        <v>0.16764706373214699</v>
      </c>
      <c r="I42" s="23">
        <v>2.05882359296083E-2</v>
      </c>
      <c r="J42" s="24">
        <v>0.141176477074623</v>
      </c>
      <c r="K42" s="24">
        <v>0.16470588743686601</v>
      </c>
      <c r="L42" s="23">
        <v>2.9411765281111002E-3</v>
      </c>
      <c r="M42" s="24">
        <v>0.50294119119644098</v>
      </c>
      <c r="N42" s="23">
        <v>0</v>
      </c>
      <c r="O42" s="24">
        <v>0.19117647409439001</v>
      </c>
      <c r="P42" s="23">
        <v>4.1176471859216697E-2</v>
      </c>
      <c r="Q42" s="23">
        <v>8.8235296308994293E-2</v>
      </c>
      <c r="R42" s="25">
        <v>5.8823529411764705E-3</v>
      </c>
      <c r="S42" s="25">
        <v>0</v>
      </c>
      <c r="T42" s="25">
        <v>0.18529411764705883</v>
      </c>
    </row>
    <row r="43" spans="1:20" x14ac:dyDescent="0.25">
      <c r="A43" s="8" t="s">
        <v>124</v>
      </c>
      <c r="B43" s="8" t="s">
        <v>125</v>
      </c>
      <c r="C43" s="8" t="s">
        <v>3540</v>
      </c>
      <c r="D43" s="8">
        <v>1030</v>
      </c>
      <c r="E43" s="23">
        <v>0.49902912974357599</v>
      </c>
      <c r="F43" s="24">
        <v>0.500970900058746</v>
      </c>
      <c r="G43" s="23">
        <v>0</v>
      </c>
      <c r="H43" s="24">
        <v>0.25631067156791598</v>
      </c>
      <c r="I43" s="23">
        <v>6.6019415855407701E-2</v>
      </c>
      <c r="J43" s="24">
        <v>0.221359223127365</v>
      </c>
      <c r="K43" s="23">
        <v>8.0582521855831105E-2</v>
      </c>
      <c r="L43" s="23">
        <v>6.7961164750159004E-3</v>
      </c>
      <c r="M43" s="24">
        <v>0.36407765746116599</v>
      </c>
      <c r="N43" s="23">
        <v>4.8543689772486999E-3</v>
      </c>
      <c r="O43" s="24">
        <v>0.148543685674667</v>
      </c>
      <c r="P43" s="23">
        <v>7.9611651599407196E-2</v>
      </c>
      <c r="Q43" s="24">
        <v>0.36213591694831798</v>
      </c>
      <c r="R43" s="25">
        <v>2.2330097087378639E-2</v>
      </c>
      <c r="S43" s="25">
        <v>9.7087378640776695E-4</v>
      </c>
      <c r="T43" s="25">
        <v>0.11941747572815534</v>
      </c>
    </row>
    <row r="44" spans="1:20" x14ac:dyDescent="0.25">
      <c r="A44" s="8" t="s">
        <v>126</v>
      </c>
      <c r="B44" s="8" t="s">
        <v>127</v>
      </c>
      <c r="C44" s="8" t="s">
        <v>3540</v>
      </c>
      <c r="D44" s="8">
        <v>402</v>
      </c>
      <c r="E44" s="24">
        <v>0.45771142840385398</v>
      </c>
      <c r="F44" s="24">
        <v>0.54228854179382302</v>
      </c>
      <c r="G44" s="23">
        <v>0</v>
      </c>
      <c r="H44" s="23">
        <v>8.95522385835648E-2</v>
      </c>
      <c r="I44" s="24">
        <v>0.16169154644012401</v>
      </c>
      <c r="J44" s="23">
        <v>0.56965172290802002</v>
      </c>
      <c r="K44" s="23">
        <v>3.2338310033082997E-2</v>
      </c>
      <c r="L44" s="23">
        <v>9.9502485245466007E-3</v>
      </c>
      <c r="M44" s="24">
        <v>0.136815920472145</v>
      </c>
      <c r="N44" s="23">
        <v>0</v>
      </c>
      <c r="O44" s="24">
        <v>0.22388060390949199</v>
      </c>
      <c r="P44" s="24">
        <v>0.26616916060447599</v>
      </c>
      <c r="Q44" s="24">
        <v>0.773631811141967</v>
      </c>
      <c r="R44" s="25">
        <v>7.7114427860696513E-2</v>
      </c>
      <c r="S44" s="25">
        <v>2.4875621890547263E-3</v>
      </c>
      <c r="T44" s="25">
        <v>0.13432835820895522</v>
      </c>
    </row>
    <row r="45" spans="1:20" x14ac:dyDescent="0.25">
      <c r="A45" s="8" t="s">
        <v>128</v>
      </c>
      <c r="B45" s="8" t="s">
        <v>129</v>
      </c>
      <c r="C45" s="8" t="s">
        <v>3540</v>
      </c>
      <c r="D45" s="8">
        <v>425</v>
      </c>
      <c r="E45" s="24">
        <v>0.479999989271163</v>
      </c>
      <c r="F45" s="24">
        <v>0.51999998092651301</v>
      </c>
      <c r="G45" s="23">
        <v>0</v>
      </c>
      <c r="H45" s="24">
        <v>0.23058824241161299</v>
      </c>
      <c r="I45" s="23">
        <v>3.0588235706090899E-2</v>
      </c>
      <c r="J45" s="23">
        <v>0.16941176354885101</v>
      </c>
      <c r="K45" s="23">
        <v>7.0588238537311596E-2</v>
      </c>
      <c r="L45" s="23">
        <v>4.7058821655810001E-3</v>
      </c>
      <c r="M45" s="24">
        <v>0.489411771297454</v>
      </c>
      <c r="N45" s="23">
        <v>4.7058821655810001E-3</v>
      </c>
      <c r="O45" s="24">
        <v>0.23764705657958901</v>
      </c>
      <c r="P45" s="23">
        <v>2.1176470443606401E-2</v>
      </c>
      <c r="Q45" s="24">
        <v>0.249411761760711</v>
      </c>
      <c r="R45" s="25">
        <v>0</v>
      </c>
      <c r="S45" s="25">
        <v>0</v>
      </c>
      <c r="T45" s="25">
        <v>0.23294117647058823</v>
      </c>
    </row>
    <row r="46" spans="1:20" x14ac:dyDescent="0.25">
      <c r="A46" s="8" t="s">
        <v>130</v>
      </c>
      <c r="B46" s="8" t="s">
        <v>131</v>
      </c>
      <c r="C46" s="8" t="s">
        <v>3540</v>
      </c>
      <c r="D46" s="8">
        <v>437</v>
      </c>
      <c r="E46" s="24">
        <v>0.43935927748680098</v>
      </c>
      <c r="F46" s="24">
        <v>0.56064075231552102</v>
      </c>
      <c r="G46" s="23">
        <v>0</v>
      </c>
      <c r="H46" s="24">
        <v>0.14416475594043701</v>
      </c>
      <c r="I46" s="24">
        <v>0.118993133306503</v>
      </c>
      <c r="J46" s="24">
        <v>0.36842104792594899</v>
      </c>
      <c r="K46" s="23">
        <v>5.4919909685850102E-2</v>
      </c>
      <c r="L46" s="23">
        <v>1.3729977421462499E-2</v>
      </c>
      <c r="M46" s="24">
        <v>0.29977115988731301</v>
      </c>
      <c r="N46" s="23">
        <v>0</v>
      </c>
      <c r="O46" s="24">
        <v>0.15789473056793199</v>
      </c>
      <c r="P46" s="24">
        <v>0.24485126137733401</v>
      </c>
      <c r="Q46" s="24">
        <v>0.55377572774886996</v>
      </c>
      <c r="R46" s="25">
        <v>2.0594965675057208E-2</v>
      </c>
      <c r="S46" s="25">
        <v>0</v>
      </c>
      <c r="T46" s="25">
        <v>0.15560640732265446</v>
      </c>
    </row>
    <row r="47" spans="1:20" x14ac:dyDescent="0.25">
      <c r="A47" s="8" t="s">
        <v>132</v>
      </c>
      <c r="B47" s="8" t="s">
        <v>133</v>
      </c>
      <c r="C47" s="8" t="s">
        <v>3540</v>
      </c>
      <c r="D47" s="8">
        <v>456</v>
      </c>
      <c r="E47" s="23">
        <v>0.48464912176132202</v>
      </c>
      <c r="F47" s="23">
        <v>0.51535087823867798</v>
      </c>
      <c r="G47" s="23">
        <v>0</v>
      </c>
      <c r="H47" s="24">
        <v>0.84210526943206698</v>
      </c>
      <c r="I47" s="23">
        <v>8.7719298899173997E-3</v>
      </c>
      <c r="J47" s="23">
        <v>4.3859649449586903E-2</v>
      </c>
      <c r="K47" s="23">
        <v>7.23684206604958E-2</v>
      </c>
      <c r="L47" s="23">
        <v>0</v>
      </c>
      <c r="M47" s="23">
        <v>3.0701754614710801E-2</v>
      </c>
      <c r="N47" s="23">
        <v>2.1929824724793E-3</v>
      </c>
      <c r="O47" s="24">
        <v>0.201754391193389</v>
      </c>
      <c r="P47" s="24">
        <v>0.14692983031272799</v>
      </c>
      <c r="Q47" s="24">
        <v>0.56359648704528797</v>
      </c>
      <c r="R47" s="25">
        <v>2.6315789473684209E-2</v>
      </c>
      <c r="S47" s="25">
        <v>0</v>
      </c>
      <c r="T47" s="25">
        <v>0.16447368421052633</v>
      </c>
    </row>
    <row r="48" spans="1:20" x14ac:dyDescent="0.25">
      <c r="A48" s="8" t="s">
        <v>134</v>
      </c>
      <c r="B48" s="8" t="s">
        <v>135</v>
      </c>
      <c r="C48" s="8" t="s">
        <v>3540</v>
      </c>
      <c r="D48" s="8">
        <v>573</v>
      </c>
      <c r="E48" s="23">
        <v>0.47993019223213201</v>
      </c>
      <c r="F48" s="24">
        <v>0.52006983757018999</v>
      </c>
      <c r="G48" s="23">
        <v>0</v>
      </c>
      <c r="H48" s="24">
        <v>0.51308900117874101</v>
      </c>
      <c r="I48" s="24">
        <v>0.137870848178863</v>
      </c>
      <c r="J48" s="24">
        <v>0.21291448175907099</v>
      </c>
      <c r="K48" s="23">
        <v>4.1884817183017703E-2</v>
      </c>
      <c r="L48" s="23">
        <v>1.7452007159591001E-3</v>
      </c>
      <c r="M48" s="23">
        <v>9.2495635151863098E-2</v>
      </c>
      <c r="N48" s="23">
        <v>0</v>
      </c>
      <c r="O48" s="24">
        <v>0.22862128913402499</v>
      </c>
      <c r="P48" s="23">
        <v>8.3769634366035503E-2</v>
      </c>
      <c r="Q48" s="24">
        <v>0.74520069360732999</v>
      </c>
      <c r="R48" s="25">
        <v>3.4904013961605585E-3</v>
      </c>
      <c r="S48" s="25">
        <v>0</v>
      </c>
      <c r="T48" s="25">
        <v>0.22513089005235601</v>
      </c>
    </row>
    <row r="49" spans="1:20" x14ac:dyDescent="0.25">
      <c r="A49" s="8" t="s">
        <v>136</v>
      </c>
      <c r="B49" s="8" t="s">
        <v>137</v>
      </c>
      <c r="C49" s="8" t="s">
        <v>3540</v>
      </c>
      <c r="D49" s="8">
        <v>534</v>
      </c>
      <c r="E49" s="24">
        <v>0.48876404762268</v>
      </c>
      <c r="F49" s="24">
        <v>0.511235952377319</v>
      </c>
      <c r="G49" s="23">
        <v>0</v>
      </c>
      <c r="H49" s="24">
        <v>0.76779025793075495</v>
      </c>
      <c r="I49" s="23">
        <v>1.6853932291269299E-2</v>
      </c>
      <c r="J49" s="24">
        <v>0.110486894845962</v>
      </c>
      <c r="K49" s="23">
        <v>5.9925094246864298E-2</v>
      </c>
      <c r="L49" s="23">
        <v>1.8726591952145E-3</v>
      </c>
      <c r="M49" s="23">
        <v>3.9325844496488599E-2</v>
      </c>
      <c r="N49" s="23">
        <v>3.745318390429E-3</v>
      </c>
      <c r="O49" s="24">
        <v>0.19475655257701799</v>
      </c>
      <c r="P49" s="24">
        <v>0.21535579860210399</v>
      </c>
      <c r="Q49" s="24">
        <v>0.61985015869140603</v>
      </c>
      <c r="R49" s="25">
        <v>3.5580524344569285E-2</v>
      </c>
      <c r="S49" s="25">
        <v>0</v>
      </c>
      <c r="T49" s="25">
        <v>0.16292134831460675</v>
      </c>
    </row>
    <row r="50" spans="1:20" x14ac:dyDescent="0.25">
      <c r="A50" s="8" t="s">
        <v>138</v>
      </c>
      <c r="B50" s="8" t="s">
        <v>139</v>
      </c>
      <c r="C50" s="8" t="s">
        <v>3540</v>
      </c>
      <c r="D50" s="8">
        <v>261</v>
      </c>
      <c r="E50" s="24">
        <v>0.43678161501884399</v>
      </c>
      <c r="F50" s="24">
        <v>0.56321841478347701</v>
      </c>
      <c r="G50" s="23">
        <v>0</v>
      </c>
      <c r="H50" s="24">
        <v>0.48659002780914301</v>
      </c>
      <c r="I50" s="23">
        <v>0.12643678486347201</v>
      </c>
      <c r="J50" s="24">
        <v>0.32950192689895602</v>
      </c>
      <c r="K50" s="23">
        <v>1.9157087430357898E-2</v>
      </c>
      <c r="L50" s="23">
        <v>0</v>
      </c>
      <c r="M50" s="23">
        <v>3.4482758492231397E-2</v>
      </c>
      <c r="N50" s="23">
        <v>3.8314175326377002E-3</v>
      </c>
      <c r="O50" s="24">
        <v>0.360153257846832</v>
      </c>
      <c r="P50" s="24">
        <v>0.29501914978027299</v>
      </c>
      <c r="Q50" s="24">
        <v>0.90804594755172696</v>
      </c>
      <c r="R50" s="25">
        <v>8.4291187739463605E-2</v>
      </c>
      <c r="S50" s="25">
        <v>4.9808429118773943E-2</v>
      </c>
      <c r="T50" s="25">
        <v>0.22988505747126436</v>
      </c>
    </row>
    <row r="51" spans="1:20" x14ac:dyDescent="0.25">
      <c r="A51" s="8" t="s">
        <v>140</v>
      </c>
      <c r="B51" s="8" t="s">
        <v>141</v>
      </c>
      <c r="C51" s="8" t="s">
        <v>3540</v>
      </c>
      <c r="D51" s="8">
        <v>360</v>
      </c>
      <c r="E51" s="24">
        <v>0.63888889551162698</v>
      </c>
      <c r="F51" s="24">
        <v>0.36111110448837203</v>
      </c>
      <c r="G51" s="23">
        <v>0</v>
      </c>
      <c r="H51" s="23">
        <v>2.5000000372528999E-2</v>
      </c>
      <c r="I51" s="24">
        <v>0.352777779102325</v>
      </c>
      <c r="J51" s="24">
        <v>0.56944441795349099</v>
      </c>
      <c r="K51" s="23">
        <v>8.3333337679505001E-3</v>
      </c>
      <c r="L51" s="23">
        <v>0</v>
      </c>
      <c r="M51" s="23">
        <v>3.3333335071802098E-2</v>
      </c>
      <c r="N51" s="23">
        <v>1.11111113801599E-2</v>
      </c>
      <c r="O51" s="24">
        <v>0.16944444179534901</v>
      </c>
      <c r="P51" s="24">
        <v>0.10000000149011599</v>
      </c>
      <c r="Q51" s="24">
        <v>0.886111140251159</v>
      </c>
      <c r="R51" s="25">
        <v>0</v>
      </c>
      <c r="S51" s="25">
        <v>0</v>
      </c>
      <c r="T51" s="25">
        <v>0.16111111111111112</v>
      </c>
    </row>
    <row r="52" spans="1:20" x14ac:dyDescent="0.25">
      <c r="A52" s="8" t="s">
        <v>142</v>
      </c>
      <c r="B52" s="8" t="s">
        <v>143</v>
      </c>
      <c r="C52" s="8" t="s">
        <v>3540</v>
      </c>
      <c r="D52" s="8">
        <v>339</v>
      </c>
      <c r="E52" s="24">
        <v>0.46312683820724398</v>
      </c>
      <c r="F52" s="24">
        <v>0.53097343444824197</v>
      </c>
      <c r="G52" s="23">
        <v>5.8997049927711001E-3</v>
      </c>
      <c r="H52" s="23">
        <v>4.1297934949397999E-2</v>
      </c>
      <c r="I52" s="24">
        <v>0.25958701968192999</v>
      </c>
      <c r="J52" s="24">
        <v>0.65781712532043402</v>
      </c>
      <c r="K52" s="23">
        <v>0</v>
      </c>
      <c r="L52" s="23">
        <v>0</v>
      </c>
      <c r="M52" s="23">
        <v>4.1297934949397999E-2</v>
      </c>
      <c r="N52" s="23">
        <v>0</v>
      </c>
      <c r="O52" s="24">
        <v>0.28318583965301503</v>
      </c>
      <c r="P52" s="23">
        <v>6.1946902424097103E-2</v>
      </c>
      <c r="Q52" s="24">
        <v>0.87610620260238603</v>
      </c>
      <c r="R52" s="25">
        <v>4.4247787610619468E-2</v>
      </c>
      <c r="S52" s="25">
        <v>0</v>
      </c>
      <c r="T52" s="25">
        <v>0.23008849557522124</v>
      </c>
    </row>
    <row r="53" spans="1:20" x14ac:dyDescent="0.25">
      <c r="A53" s="8" t="s">
        <v>144</v>
      </c>
      <c r="B53" s="8" t="s">
        <v>145</v>
      </c>
      <c r="C53" s="8" t="s">
        <v>3540</v>
      </c>
      <c r="D53" s="8">
        <v>288</v>
      </c>
      <c r="E53" s="24">
        <v>0.54166668653488104</v>
      </c>
      <c r="F53" s="24">
        <v>0.45833334326744002</v>
      </c>
      <c r="G53" s="23">
        <v>0</v>
      </c>
      <c r="H53" s="24">
        <v>0.30555555224418601</v>
      </c>
      <c r="I53" s="23">
        <v>4.51388880610466E-2</v>
      </c>
      <c r="J53" s="24">
        <v>0.14583332836627899</v>
      </c>
      <c r="K53" s="24">
        <v>0.104166664183139</v>
      </c>
      <c r="L53" s="23">
        <v>6.9444444961845996E-3</v>
      </c>
      <c r="M53" s="24">
        <v>0.38888889551162698</v>
      </c>
      <c r="N53" s="23">
        <v>3.4722222480922998E-3</v>
      </c>
      <c r="O53" s="24">
        <v>0.12847222387790599</v>
      </c>
      <c r="P53" s="23">
        <v>4.1666667908430099E-2</v>
      </c>
      <c r="Q53" s="24">
        <v>0.232638895511627</v>
      </c>
      <c r="R53" s="25">
        <v>0</v>
      </c>
      <c r="S53" s="25">
        <v>0</v>
      </c>
      <c r="T53" s="25">
        <v>0.11805555555555555</v>
      </c>
    </row>
    <row r="54" spans="1:20" x14ac:dyDescent="0.25">
      <c r="A54" s="8" t="s">
        <v>146</v>
      </c>
      <c r="B54" s="8" t="s">
        <v>147</v>
      </c>
      <c r="C54" s="8" t="s">
        <v>3540</v>
      </c>
      <c r="D54" s="8">
        <v>319</v>
      </c>
      <c r="E54" s="24">
        <v>0.47335422039031899</v>
      </c>
      <c r="F54" s="24">
        <v>0.52664577960967995</v>
      </c>
      <c r="G54" s="23">
        <v>0</v>
      </c>
      <c r="H54" s="23">
        <v>8.7774291634559604E-2</v>
      </c>
      <c r="I54" s="23">
        <v>9.4043888151645702E-2</v>
      </c>
      <c r="J54" s="24">
        <v>0.238244518637657</v>
      </c>
      <c r="K54" s="23">
        <v>7.2100311517715496E-2</v>
      </c>
      <c r="L54" s="23">
        <v>6.2695923261343999E-3</v>
      </c>
      <c r="M54" s="24">
        <v>0.49529781937599099</v>
      </c>
      <c r="N54" s="23">
        <v>6.2695923261343999E-3</v>
      </c>
      <c r="O54" s="24">
        <v>0.238244518637657</v>
      </c>
      <c r="P54" s="23">
        <v>3.7617553025484099E-2</v>
      </c>
      <c r="Q54" s="24">
        <v>0.28840124607086098</v>
      </c>
      <c r="R54" s="25">
        <v>3.4482758620689655E-2</v>
      </c>
      <c r="S54" s="25">
        <v>0</v>
      </c>
      <c r="T54" s="25">
        <v>0.20689655172413793</v>
      </c>
    </row>
    <row r="55" spans="1:20" x14ac:dyDescent="0.25">
      <c r="A55" s="8" t="s">
        <v>148</v>
      </c>
      <c r="B55" s="8" t="s">
        <v>149</v>
      </c>
      <c r="C55" s="8" t="s">
        <v>3540</v>
      </c>
      <c r="D55" s="8">
        <v>604</v>
      </c>
      <c r="E55" s="24">
        <v>0.48509934544563199</v>
      </c>
      <c r="F55" s="24">
        <v>0.51324504613876298</v>
      </c>
      <c r="G55" s="23">
        <v>1.6556291375308999E-3</v>
      </c>
      <c r="H55" s="24">
        <v>0.135761588811874</v>
      </c>
      <c r="I55" s="23">
        <v>2.4834437295794501E-2</v>
      </c>
      <c r="J55" s="23">
        <v>9.2715233564376803E-2</v>
      </c>
      <c r="K55" s="23">
        <v>7.2847679257392897E-2</v>
      </c>
      <c r="L55" s="23">
        <v>0</v>
      </c>
      <c r="M55" s="24">
        <v>0.67218542098999001</v>
      </c>
      <c r="N55" s="23">
        <v>1.6556291375308999E-3</v>
      </c>
      <c r="O55" s="24">
        <v>0.183774828910827</v>
      </c>
      <c r="P55" s="23">
        <v>4.3046358972787899E-2</v>
      </c>
      <c r="Q55" s="24">
        <v>0.14238411188125599</v>
      </c>
      <c r="R55" s="25">
        <v>1.6556291390728477E-3</v>
      </c>
      <c r="S55" s="25">
        <v>0</v>
      </c>
      <c r="T55" s="25">
        <v>0.16887417218543047</v>
      </c>
    </row>
    <row r="56" spans="1:20" x14ac:dyDescent="0.25">
      <c r="A56" s="8" t="s">
        <v>150</v>
      </c>
      <c r="B56" s="8" t="s">
        <v>151</v>
      </c>
      <c r="C56" s="8" t="s">
        <v>3540</v>
      </c>
      <c r="D56" s="8">
        <v>943</v>
      </c>
      <c r="E56" s="24">
        <v>0.51749736070632901</v>
      </c>
      <c r="F56" s="24">
        <v>0.48250263929366999</v>
      </c>
      <c r="G56" s="23">
        <v>0</v>
      </c>
      <c r="H56" s="24">
        <v>0.17285259068012199</v>
      </c>
      <c r="I56" s="23">
        <v>6.6808059811592102E-2</v>
      </c>
      <c r="J56" s="24">
        <v>0.182396605610847</v>
      </c>
      <c r="K56" s="23">
        <v>7.2110287845134693E-2</v>
      </c>
      <c r="L56" s="23">
        <v>5.3022271022201001E-3</v>
      </c>
      <c r="M56" s="24">
        <v>0.49946978688240001</v>
      </c>
      <c r="N56" s="23">
        <v>1.0604454437270999E-3</v>
      </c>
      <c r="O56" s="24">
        <v>0.180275708436965</v>
      </c>
      <c r="P56" s="23">
        <v>8.0593846738338498E-2</v>
      </c>
      <c r="Q56" s="23">
        <v>0.29904559254646301</v>
      </c>
      <c r="R56" s="25">
        <v>8.483563096500531E-3</v>
      </c>
      <c r="S56" s="25">
        <v>0</v>
      </c>
      <c r="T56" s="25">
        <v>0.17179215270413573</v>
      </c>
    </row>
    <row r="57" spans="1:20" x14ac:dyDescent="0.25">
      <c r="A57" s="8" t="s">
        <v>152</v>
      </c>
      <c r="B57" s="8" t="s">
        <v>153</v>
      </c>
      <c r="C57" s="8" t="s">
        <v>3540</v>
      </c>
      <c r="D57" s="8">
        <v>250</v>
      </c>
      <c r="E57" s="24">
        <v>0.51200002431869496</v>
      </c>
      <c r="F57" s="24">
        <v>0.48399999737739502</v>
      </c>
      <c r="G57" s="23">
        <v>4.0000001899898E-3</v>
      </c>
      <c r="H57" s="23">
        <v>0.119999997317791</v>
      </c>
      <c r="I57" s="23">
        <v>5.6000001728534698E-2</v>
      </c>
      <c r="J57" s="24">
        <v>0.22400000691413799</v>
      </c>
      <c r="K57" s="23">
        <v>7.1999996900558499E-2</v>
      </c>
      <c r="L57" s="23">
        <v>0</v>
      </c>
      <c r="M57" s="24">
        <v>0.52799999713897705</v>
      </c>
      <c r="N57" s="23">
        <v>0</v>
      </c>
      <c r="O57" s="23">
        <v>0.239999994635582</v>
      </c>
      <c r="P57" s="23">
        <v>3.20000015199184E-2</v>
      </c>
      <c r="Q57" s="24">
        <v>0.29600000381469699</v>
      </c>
      <c r="R57" s="25">
        <v>0</v>
      </c>
      <c r="S57" s="25">
        <v>0</v>
      </c>
      <c r="T57" s="25">
        <v>0.22800000000000001</v>
      </c>
    </row>
    <row r="58" spans="1:20" x14ac:dyDescent="0.25">
      <c r="A58" s="8" t="s">
        <v>154</v>
      </c>
      <c r="B58" s="8" t="s">
        <v>155</v>
      </c>
      <c r="C58" s="8" t="s">
        <v>3540</v>
      </c>
      <c r="D58" s="8">
        <v>541</v>
      </c>
      <c r="E58" s="24">
        <v>0.47689464688300998</v>
      </c>
      <c r="F58" s="24">
        <v>0.52310538291931097</v>
      </c>
      <c r="G58" s="23">
        <v>0</v>
      </c>
      <c r="H58" s="24">
        <v>0.218114599585533</v>
      </c>
      <c r="I58" s="23">
        <v>1.8484288826584799E-2</v>
      </c>
      <c r="J58" s="24">
        <v>0.12569315731525399</v>
      </c>
      <c r="K58" s="23">
        <v>6.0998152941465399E-2</v>
      </c>
      <c r="L58" s="23">
        <v>0</v>
      </c>
      <c r="M58" s="24">
        <v>0.57670980691909701</v>
      </c>
      <c r="N58" s="23">
        <v>0</v>
      </c>
      <c r="O58" s="24">
        <v>0.15896488726138999</v>
      </c>
      <c r="P58" s="23">
        <v>9.2421442270278903E-2</v>
      </c>
      <c r="Q58" s="24">
        <v>0.116451017558574</v>
      </c>
      <c r="R58" s="25">
        <v>1.8484288354898336E-3</v>
      </c>
      <c r="S58" s="25">
        <v>0</v>
      </c>
      <c r="T58" s="25">
        <v>0.15341959334565619</v>
      </c>
    </row>
    <row r="59" spans="1:20" x14ac:dyDescent="0.25">
      <c r="A59" s="8" t="s">
        <v>156</v>
      </c>
      <c r="B59" s="8" t="s">
        <v>157</v>
      </c>
      <c r="C59" s="8" t="s">
        <v>3540</v>
      </c>
      <c r="D59" s="8">
        <v>515</v>
      </c>
      <c r="E59" s="24">
        <v>0.500970900058746</v>
      </c>
      <c r="F59" s="23">
        <v>0.49902912974357599</v>
      </c>
      <c r="G59" s="23">
        <v>0</v>
      </c>
      <c r="H59" s="24">
        <v>0.14174757897853801</v>
      </c>
      <c r="I59" s="23">
        <v>7.5728155672550201E-2</v>
      </c>
      <c r="J59" s="24">
        <v>0.31067961454391402</v>
      </c>
      <c r="K59" s="23">
        <v>3.4951455891132403E-2</v>
      </c>
      <c r="L59" s="23">
        <v>2.13592238724232E-2</v>
      </c>
      <c r="M59" s="24">
        <v>0.413592219352722</v>
      </c>
      <c r="N59" s="23">
        <v>1.9417476141825E-3</v>
      </c>
      <c r="O59" s="24">
        <v>0.18446601927280401</v>
      </c>
      <c r="P59" s="24">
        <v>0.122330099344253</v>
      </c>
      <c r="Q59" s="24">
        <v>0.39611649513244601</v>
      </c>
      <c r="R59" s="25">
        <v>3.8834951456310678E-3</v>
      </c>
      <c r="S59" s="25">
        <v>0</v>
      </c>
      <c r="T59" s="25">
        <v>0.17087378640776699</v>
      </c>
    </row>
    <row r="60" spans="1:20" x14ac:dyDescent="0.25">
      <c r="A60" s="8" t="s">
        <v>158</v>
      </c>
      <c r="B60" s="8" t="s">
        <v>159</v>
      </c>
      <c r="C60" s="8" t="s">
        <v>3540</v>
      </c>
      <c r="D60" s="8">
        <v>314</v>
      </c>
      <c r="E60" s="24">
        <v>0.48726114630699102</v>
      </c>
      <c r="F60" s="23">
        <v>0.51273882389068604</v>
      </c>
      <c r="G60" s="23">
        <v>0</v>
      </c>
      <c r="H60" s="24">
        <v>0.114649683237075</v>
      </c>
      <c r="I60" s="23">
        <v>7.9617835581302601E-2</v>
      </c>
      <c r="J60" s="24">
        <v>0.458598732948303</v>
      </c>
      <c r="K60" s="23">
        <v>9.5541402697563199E-2</v>
      </c>
      <c r="L60" s="23">
        <v>3.1847134232521001E-3</v>
      </c>
      <c r="M60" s="24">
        <v>0.248407647013664</v>
      </c>
      <c r="N60" s="23">
        <v>0</v>
      </c>
      <c r="O60" s="24">
        <v>0.19426751136779699</v>
      </c>
      <c r="P60" s="24">
        <v>0.22292993962764701</v>
      </c>
      <c r="Q60" s="24">
        <v>0.51592355966567904</v>
      </c>
      <c r="R60" s="25">
        <v>3.1847133757961785E-3</v>
      </c>
      <c r="S60" s="25">
        <v>0</v>
      </c>
      <c r="T60" s="25">
        <v>0.17834394904458598</v>
      </c>
    </row>
    <row r="61" spans="1:20" x14ac:dyDescent="0.25">
      <c r="A61" s="8" t="s">
        <v>160</v>
      </c>
      <c r="B61" s="8" t="s">
        <v>161</v>
      </c>
      <c r="C61" s="8" t="s">
        <v>3540</v>
      </c>
      <c r="D61" s="8">
        <v>688</v>
      </c>
      <c r="E61" s="24">
        <v>0.52325582504272405</v>
      </c>
      <c r="F61" s="24">
        <v>0.476744174957275</v>
      </c>
      <c r="G61" s="23">
        <v>0</v>
      </c>
      <c r="H61" s="24">
        <v>0.34593021869659402</v>
      </c>
      <c r="I61" s="24">
        <v>0.11046511679887699</v>
      </c>
      <c r="J61" s="23">
        <v>0.171511635184288</v>
      </c>
      <c r="K61" s="23">
        <v>4.9418605864047997E-2</v>
      </c>
      <c r="L61" s="23">
        <v>4.3604653328657003E-3</v>
      </c>
      <c r="M61" s="24">
        <v>0.31686046719550998</v>
      </c>
      <c r="N61" s="23">
        <v>1.4534883666784001E-3</v>
      </c>
      <c r="O61" s="24">
        <v>0.14244185388088201</v>
      </c>
      <c r="P61" s="24">
        <v>0.180232554674148</v>
      </c>
      <c r="Q61" s="24">
        <v>0.296511620283126</v>
      </c>
      <c r="R61" s="25">
        <v>4.3604651162790697E-3</v>
      </c>
      <c r="S61" s="25">
        <v>1.308139534883721E-2</v>
      </c>
      <c r="T61" s="25">
        <v>0.11918604651162791</v>
      </c>
    </row>
    <row r="62" spans="1:20" x14ac:dyDescent="0.25">
      <c r="A62" s="8" t="s">
        <v>162</v>
      </c>
      <c r="B62" s="8" t="s">
        <v>163</v>
      </c>
      <c r="C62" s="8" t="s">
        <v>3540</v>
      </c>
      <c r="D62" s="8">
        <v>335</v>
      </c>
      <c r="E62" s="24">
        <v>0.49552237987518299</v>
      </c>
      <c r="F62" s="24">
        <v>0.50447762012481601</v>
      </c>
      <c r="G62" s="23">
        <v>0</v>
      </c>
      <c r="H62" s="24">
        <v>0.101492539048194</v>
      </c>
      <c r="I62" s="24">
        <v>0.146268650889396</v>
      </c>
      <c r="J62" s="24">
        <v>0.37014925479888899</v>
      </c>
      <c r="K62" s="23">
        <v>5.6716419756412499E-2</v>
      </c>
      <c r="L62" s="23">
        <v>0</v>
      </c>
      <c r="M62" s="24">
        <v>0.32238805294036799</v>
      </c>
      <c r="N62" s="23">
        <v>2.9850746504962002E-3</v>
      </c>
      <c r="O62" s="24">
        <v>0.27761194109916598</v>
      </c>
      <c r="P62" s="24">
        <v>0.101492539048194</v>
      </c>
      <c r="Q62" s="24">
        <v>0.50746268033981301</v>
      </c>
      <c r="R62" s="25">
        <v>2.9850746268656717E-3</v>
      </c>
      <c r="S62" s="25">
        <v>0</v>
      </c>
      <c r="T62" s="25">
        <v>0.2507462686567164</v>
      </c>
    </row>
    <row r="63" spans="1:20" x14ac:dyDescent="0.25">
      <c r="A63" s="8" t="s">
        <v>164</v>
      </c>
      <c r="B63" s="8" t="s">
        <v>165</v>
      </c>
      <c r="C63" s="8" t="s">
        <v>3540</v>
      </c>
      <c r="D63" s="8">
        <v>461</v>
      </c>
      <c r="E63" s="24">
        <v>0.47288504242897</v>
      </c>
      <c r="F63" s="24">
        <v>0.52711498737335205</v>
      </c>
      <c r="G63" s="23">
        <v>0</v>
      </c>
      <c r="H63" s="23">
        <v>9.7613885998725905E-2</v>
      </c>
      <c r="I63" s="23">
        <v>1.7353579401969899E-2</v>
      </c>
      <c r="J63" s="24">
        <v>0.108459867537021</v>
      </c>
      <c r="K63" s="24">
        <v>0.112798266112804</v>
      </c>
      <c r="L63" s="23">
        <v>2.1691974252462001E-3</v>
      </c>
      <c r="M63" s="24">
        <v>0.65943598747253396</v>
      </c>
      <c r="N63" s="23">
        <v>2.1691974252462001E-3</v>
      </c>
      <c r="O63" s="24">
        <v>0.20607374608516599</v>
      </c>
      <c r="P63" s="23">
        <v>1.08459871262312E-2</v>
      </c>
      <c r="Q63" s="23">
        <v>5.6399133056402199E-2</v>
      </c>
      <c r="R63" s="25">
        <v>4.3383947939262474E-3</v>
      </c>
      <c r="S63" s="25">
        <v>0</v>
      </c>
      <c r="T63" s="25">
        <v>0.21475054229934923</v>
      </c>
    </row>
    <row r="64" spans="1:20" x14ac:dyDescent="0.25">
      <c r="A64" s="8" t="s">
        <v>166</v>
      </c>
      <c r="B64" s="8" t="s">
        <v>167</v>
      </c>
      <c r="C64" s="8" t="s">
        <v>3540</v>
      </c>
      <c r="D64" s="8">
        <v>378</v>
      </c>
      <c r="E64" s="24">
        <v>0.47089946269989003</v>
      </c>
      <c r="F64" s="24">
        <v>0.52910053730010898</v>
      </c>
      <c r="G64" s="23">
        <v>0</v>
      </c>
      <c r="H64" s="24">
        <v>0.27513226866722101</v>
      </c>
      <c r="I64" s="23">
        <v>2.11640205234289E-2</v>
      </c>
      <c r="J64" s="24">
        <v>0.116402119398117</v>
      </c>
      <c r="K64" s="24">
        <v>0.116402119398117</v>
      </c>
      <c r="L64" s="23">
        <v>2.6455025654285999E-3</v>
      </c>
      <c r="M64" s="24">
        <v>0.46825397014617898</v>
      </c>
      <c r="N64" s="23">
        <v>0</v>
      </c>
      <c r="O64" s="24">
        <v>0.198412701487541</v>
      </c>
      <c r="P64" s="23">
        <v>7.9365083947778008E-3</v>
      </c>
      <c r="Q64" s="23">
        <v>0.190476194024086</v>
      </c>
      <c r="R64" s="25">
        <v>0</v>
      </c>
      <c r="S64" s="25">
        <v>0</v>
      </c>
      <c r="T64" s="25">
        <v>0.20634920634920634</v>
      </c>
    </row>
    <row r="65" spans="1:20" x14ac:dyDescent="0.25">
      <c r="A65" s="8" t="s">
        <v>168</v>
      </c>
      <c r="B65" s="8" t="s">
        <v>169</v>
      </c>
      <c r="C65" s="8" t="s">
        <v>3540</v>
      </c>
      <c r="D65" s="8">
        <v>849</v>
      </c>
      <c r="E65" s="24">
        <v>0.61130744218826205</v>
      </c>
      <c r="F65" s="24">
        <v>0.388692587614059</v>
      </c>
      <c r="G65" s="23">
        <v>0</v>
      </c>
      <c r="H65" s="24">
        <v>0.137809187173843</v>
      </c>
      <c r="I65" s="23">
        <v>3.6513544619083398E-2</v>
      </c>
      <c r="J65" s="24">
        <v>0.13898704946041099</v>
      </c>
      <c r="K65" s="23">
        <v>7.42049440741539E-2</v>
      </c>
      <c r="L65" s="23">
        <v>3.5335689317435E-3</v>
      </c>
      <c r="M65" s="24">
        <v>0.53003531694412198</v>
      </c>
      <c r="N65" s="23">
        <v>7.8916370868682903E-2</v>
      </c>
      <c r="O65" s="24">
        <v>0.21436984837055201</v>
      </c>
      <c r="P65" s="23">
        <v>8.2449940964579999E-3</v>
      </c>
      <c r="Q65" s="24">
        <v>0.22850412130355799</v>
      </c>
      <c r="R65" s="25">
        <v>0</v>
      </c>
      <c r="S65" s="25">
        <v>0</v>
      </c>
      <c r="T65" s="25">
        <v>0.20730270906949352</v>
      </c>
    </row>
    <row r="66" spans="1:20" x14ac:dyDescent="0.25">
      <c r="A66" s="8" t="s">
        <v>170</v>
      </c>
      <c r="B66" s="8" t="s">
        <v>171</v>
      </c>
      <c r="C66" s="8" t="s">
        <v>3540</v>
      </c>
      <c r="D66" s="8">
        <v>350</v>
      </c>
      <c r="E66" s="24">
        <v>0.53714287281036299</v>
      </c>
      <c r="F66" s="24">
        <v>0.46285715699195801</v>
      </c>
      <c r="G66" s="23">
        <v>0</v>
      </c>
      <c r="H66" s="24">
        <v>0.18571428954601199</v>
      </c>
      <c r="I66" s="23">
        <v>3.14285717904568E-2</v>
      </c>
      <c r="J66" s="24">
        <v>0.14285714924335399</v>
      </c>
      <c r="K66" s="23">
        <v>5.9999998658895499E-2</v>
      </c>
      <c r="L66" s="23">
        <v>0</v>
      </c>
      <c r="M66" s="24">
        <v>0.57999998331069902</v>
      </c>
      <c r="N66" s="23">
        <v>0</v>
      </c>
      <c r="O66" s="23">
        <v>0.14571428298950201</v>
      </c>
      <c r="P66" s="23">
        <v>7.4285715818405207E-2</v>
      </c>
      <c r="Q66" s="24">
        <v>0.162857145071029</v>
      </c>
      <c r="R66" s="25">
        <v>0</v>
      </c>
      <c r="S66" s="25">
        <v>0</v>
      </c>
      <c r="T66" s="25">
        <v>0.1657142857142857</v>
      </c>
    </row>
    <row r="67" spans="1:20" x14ac:dyDescent="0.25">
      <c r="A67" s="8" t="s">
        <v>172</v>
      </c>
      <c r="B67" s="8" t="s">
        <v>173</v>
      </c>
      <c r="C67" s="8" t="s">
        <v>3540</v>
      </c>
      <c r="D67" s="8">
        <v>792</v>
      </c>
      <c r="E67" s="23">
        <v>0.49368685483932501</v>
      </c>
      <c r="F67" s="23">
        <v>0.50631314516067505</v>
      </c>
      <c r="G67" s="23">
        <v>0</v>
      </c>
      <c r="H67" s="24">
        <v>0.23484848439693401</v>
      </c>
      <c r="I67" s="23">
        <v>4.1666667908430099E-2</v>
      </c>
      <c r="J67" s="24">
        <v>0.23863635957241</v>
      </c>
      <c r="K67" s="23">
        <v>8.9646466076374096E-2</v>
      </c>
      <c r="L67" s="23">
        <v>0</v>
      </c>
      <c r="M67" s="24">
        <v>0.39520201086997903</v>
      </c>
      <c r="N67" s="23">
        <v>0</v>
      </c>
      <c r="O67" s="24">
        <v>0.193181812763214</v>
      </c>
      <c r="P67" s="23">
        <v>0.11994949728250499</v>
      </c>
      <c r="Q67" s="24">
        <v>0.20833332836627899</v>
      </c>
      <c r="R67" s="25">
        <v>7.575757575757576E-3</v>
      </c>
      <c r="S67" s="25">
        <v>1.2626262626262627E-3</v>
      </c>
      <c r="T67" s="25">
        <v>0.17803030303030304</v>
      </c>
    </row>
    <row r="68" spans="1:20" x14ac:dyDescent="0.25">
      <c r="A68" s="8" t="s">
        <v>174</v>
      </c>
      <c r="B68" s="8" t="s">
        <v>175</v>
      </c>
      <c r="C68" s="8" t="s">
        <v>3540</v>
      </c>
      <c r="D68" s="8">
        <v>389</v>
      </c>
      <c r="E68" s="24">
        <v>0.53727507591247503</v>
      </c>
      <c r="F68" s="24">
        <v>0.46272492408752403</v>
      </c>
      <c r="G68" s="23">
        <v>0</v>
      </c>
      <c r="H68" s="23">
        <v>8.9974291622638702E-2</v>
      </c>
      <c r="I68" s="24">
        <v>0.27506425976753202</v>
      </c>
      <c r="J68" s="24">
        <v>0.59125965833663896</v>
      </c>
      <c r="K68" s="23">
        <v>1.02827763184905E-2</v>
      </c>
      <c r="L68" s="23">
        <v>2.5706940796225999E-3</v>
      </c>
      <c r="M68" s="23">
        <v>2.5706941261887599E-2</v>
      </c>
      <c r="N68" s="23">
        <v>5.1413881592453003E-3</v>
      </c>
      <c r="O68" s="24">
        <v>0.16709510982036499</v>
      </c>
      <c r="P68" s="24">
        <v>0.118251927196979</v>
      </c>
      <c r="Q68" s="24">
        <v>0.84061694145202603</v>
      </c>
      <c r="R68" s="25">
        <v>0</v>
      </c>
      <c r="S68" s="25">
        <v>2.5706940874035988E-3</v>
      </c>
      <c r="T68" s="25">
        <v>0.15424164524421594</v>
      </c>
    </row>
    <row r="69" spans="1:20" x14ac:dyDescent="0.25">
      <c r="A69" s="8" t="s">
        <v>176</v>
      </c>
      <c r="B69" s="8" t="s">
        <v>177</v>
      </c>
      <c r="C69" s="8" t="s">
        <v>3540</v>
      </c>
      <c r="D69" s="8">
        <v>503</v>
      </c>
      <c r="E69" s="24">
        <v>0.52087473869323697</v>
      </c>
      <c r="F69" s="24">
        <v>0.47912526130676197</v>
      </c>
      <c r="G69" s="23">
        <v>0</v>
      </c>
      <c r="H69" s="24">
        <v>0.35984095931053101</v>
      </c>
      <c r="I69" s="23">
        <v>7.3558650910854298E-2</v>
      </c>
      <c r="J69" s="24">
        <v>0.16302186250686601</v>
      </c>
      <c r="K69" s="23">
        <v>3.5785287618637099E-2</v>
      </c>
      <c r="L69" s="23">
        <v>9.9403578788041999E-3</v>
      </c>
      <c r="M69" s="24">
        <v>0.35785287618637002</v>
      </c>
      <c r="N69" s="23">
        <v>0</v>
      </c>
      <c r="O69" s="24">
        <v>0.12524850666522899</v>
      </c>
      <c r="P69" s="24">
        <v>0.145129218697547</v>
      </c>
      <c r="Q69" s="24">
        <v>0.22067594528198201</v>
      </c>
      <c r="R69" s="25">
        <v>0</v>
      </c>
      <c r="S69" s="25">
        <v>0</v>
      </c>
      <c r="T69" s="25">
        <v>0.12326043737574553</v>
      </c>
    </row>
    <row r="70" spans="1:20" x14ac:dyDescent="0.25">
      <c r="A70" s="8" t="s">
        <v>178</v>
      </c>
      <c r="B70" s="8" t="s">
        <v>179</v>
      </c>
      <c r="C70" s="8" t="s">
        <v>3540</v>
      </c>
      <c r="D70" s="8">
        <v>537</v>
      </c>
      <c r="E70" s="24">
        <v>0.35567969083786</v>
      </c>
      <c r="F70" s="24">
        <v>0.644320309162139</v>
      </c>
      <c r="G70" s="23">
        <v>0</v>
      </c>
      <c r="H70" s="23">
        <v>7.2625696659088093E-2</v>
      </c>
      <c r="I70" s="23">
        <v>0.25139665603637701</v>
      </c>
      <c r="J70" s="24">
        <v>0.48417133092880199</v>
      </c>
      <c r="K70" s="23">
        <v>2.2346368059516002E-2</v>
      </c>
      <c r="L70" s="23">
        <v>1.8621974159032E-3</v>
      </c>
      <c r="M70" s="24">
        <v>0.152700185775756</v>
      </c>
      <c r="N70" s="23">
        <v>1.4897579327225701E-2</v>
      </c>
      <c r="O70" s="24">
        <v>0.25698325037956199</v>
      </c>
      <c r="P70" s="23">
        <v>6.5176911652088207E-2</v>
      </c>
      <c r="Q70" s="24">
        <v>0.72625696659088101</v>
      </c>
      <c r="R70" s="25">
        <v>1.8621973929236499E-3</v>
      </c>
      <c r="S70" s="25">
        <v>1.8621973929236499E-3</v>
      </c>
      <c r="T70" s="25">
        <v>0.24581005586592178</v>
      </c>
    </row>
    <row r="71" spans="1:20" x14ac:dyDescent="0.25">
      <c r="A71" s="8" t="s">
        <v>180</v>
      </c>
      <c r="B71" s="8" t="s">
        <v>181</v>
      </c>
      <c r="C71" s="8" t="s">
        <v>3540</v>
      </c>
      <c r="D71" s="8">
        <v>485</v>
      </c>
      <c r="E71" s="24">
        <v>0.54226803779601995</v>
      </c>
      <c r="F71" s="24">
        <v>0.45773196220397899</v>
      </c>
      <c r="G71" s="23">
        <v>0</v>
      </c>
      <c r="H71" s="23">
        <v>2.4742268025875098E-2</v>
      </c>
      <c r="I71" s="24">
        <v>0.30721649527549699</v>
      </c>
      <c r="J71" s="24">
        <v>0.60824739933013905</v>
      </c>
      <c r="K71" s="23">
        <v>1.03092780336738E-2</v>
      </c>
      <c r="L71" s="23">
        <v>6.1855670064687998E-3</v>
      </c>
      <c r="M71" s="23">
        <v>3.5051546990871402E-2</v>
      </c>
      <c r="N71" s="23">
        <v>8.2474229857326005E-3</v>
      </c>
      <c r="O71" s="24">
        <v>0.24536082148551899</v>
      </c>
      <c r="P71" s="23">
        <v>6.8041235208511394E-2</v>
      </c>
      <c r="Q71" s="24">
        <v>0.82886600494384699</v>
      </c>
      <c r="R71" s="25">
        <v>0</v>
      </c>
      <c r="S71" s="25">
        <v>0</v>
      </c>
      <c r="T71" s="25">
        <v>0.2309278350515464</v>
      </c>
    </row>
    <row r="72" spans="1:20" x14ac:dyDescent="0.25">
      <c r="A72" s="8" t="s">
        <v>182</v>
      </c>
      <c r="B72" s="8" t="s">
        <v>183</v>
      </c>
      <c r="C72" s="8" t="s">
        <v>3540</v>
      </c>
      <c r="D72" s="8">
        <v>255</v>
      </c>
      <c r="E72" s="24">
        <v>0.49411764740943898</v>
      </c>
      <c r="F72" s="24">
        <v>0.50588238239288297</v>
      </c>
      <c r="G72" s="23">
        <v>0</v>
      </c>
      <c r="H72" s="24">
        <v>0.41960784792900002</v>
      </c>
      <c r="I72" s="23">
        <v>8.6274512112140697E-2</v>
      </c>
      <c r="J72" s="24">
        <v>0.176470592617988</v>
      </c>
      <c r="K72" s="23">
        <v>5.0980392843484899E-2</v>
      </c>
      <c r="L72" s="23">
        <v>3.9215688593686E-3</v>
      </c>
      <c r="M72" s="24">
        <v>0.26274511218070901</v>
      </c>
      <c r="N72" s="23">
        <v>0</v>
      </c>
      <c r="O72" s="24">
        <v>0.21568627655506101</v>
      </c>
      <c r="P72" s="23">
        <v>6.2745101749897003E-2</v>
      </c>
      <c r="Q72" s="24">
        <v>0.50588238239288297</v>
      </c>
      <c r="R72" s="25">
        <v>3.9215686274509803E-3</v>
      </c>
      <c r="S72" s="25">
        <v>0</v>
      </c>
      <c r="T72" s="25">
        <v>0.22745098039215686</v>
      </c>
    </row>
    <row r="73" spans="1:20" x14ac:dyDescent="0.25">
      <c r="A73" s="8" t="s">
        <v>184</v>
      </c>
      <c r="B73" s="8" t="s">
        <v>185</v>
      </c>
      <c r="C73" s="8" t="s">
        <v>3540</v>
      </c>
      <c r="D73" s="8">
        <v>445</v>
      </c>
      <c r="E73" s="24">
        <v>0.507865190505981</v>
      </c>
      <c r="F73" s="24">
        <v>0.49213483929634</v>
      </c>
      <c r="G73" s="23">
        <v>0</v>
      </c>
      <c r="H73" s="23">
        <v>0.17078651487827301</v>
      </c>
      <c r="I73" s="23">
        <v>1.12359551712871E-2</v>
      </c>
      <c r="J73" s="23">
        <v>8.9887641370296506E-2</v>
      </c>
      <c r="K73" s="24">
        <v>0.110112361609935</v>
      </c>
      <c r="L73" s="23">
        <v>0</v>
      </c>
      <c r="M73" s="23">
        <v>0.61797749996185303</v>
      </c>
      <c r="N73" s="23">
        <v>0</v>
      </c>
      <c r="O73" s="24">
        <v>0.14831461012363401</v>
      </c>
      <c r="P73" s="23">
        <v>5.3932584822177901E-2</v>
      </c>
      <c r="Q73" s="24">
        <v>0.128089889883995</v>
      </c>
      <c r="R73" s="25">
        <v>2.2471910112359553E-3</v>
      </c>
      <c r="S73" s="25">
        <v>0</v>
      </c>
      <c r="T73" s="25">
        <v>0.14382022471910114</v>
      </c>
    </row>
    <row r="74" spans="1:20" x14ac:dyDescent="0.25">
      <c r="A74" s="8" t="s">
        <v>186</v>
      </c>
      <c r="B74" s="8" t="s">
        <v>187</v>
      </c>
      <c r="C74" s="8" t="s">
        <v>3540</v>
      </c>
      <c r="D74" s="8">
        <v>367</v>
      </c>
      <c r="E74" s="24">
        <v>0.482288837432861</v>
      </c>
      <c r="F74" s="24">
        <v>0.51771116256713801</v>
      </c>
      <c r="G74" s="23">
        <v>0</v>
      </c>
      <c r="H74" s="23">
        <v>5.4495912045240402E-2</v>
      </c>
      <c r="I74" s="24">
        <v>0.185286104679107</v>
      </c>
      <c r="J74" s="24">
        <v>0.36239781975746099</v>
      </c>
      <c r="K74" s="23">
        <v>3.8147140294313403E-2</v>
      </c>
      <c r="L74" s="23">
        <v>8.1743868067861002E-3</v>
      </c>
      <c r="M74" s="24">
        <v>0.32970026135444602</v>
      </c>
      <c r="N74" s="23">
        <v>2.1798364818096199E-2</v>
      </c>
      <c r="O74" s="24">
        <v>0.277929157018661</v>
      </c>
      <c r="P74" s="23">
        <v>2.1798364818096199E-2</v>
      </c>
      <c r="Q74" s="24">
        <v>0.63760215044021595</v>
      </c>
      <c r="R74" s="25">
        <v>5.4495912806539508E-3</v>
      </c>
      <c r="S74" s="25">
        <v>0</v>
      </c>
      <c r="T74" s="25">
        <v>0.26975476839237056</v>
      </c>
    </row>
    <row r="75" spans="1:20" x14ac:dyDescent="0.25">
      <c r="A75" s="8" t="s">
        <v>188</v>
      </c>
      <c r="B75" s="8" t="s">
        <v>189</v>
      </c>
      <c r="C75" s="8" t="s">
        <v>3540</v>
      </c>
      <c r="D75" s="8">
        <v>235</v>
      </c>
      <c r="E75" s="24">
        <v>0.53191488981246904</v>
      </c>
      <c r="F75" s="24">
        <v>0.46808511018753002</v>
      </c>
      <c r="G75" s="23">
        <v>0</v>
      </c>
      <c r="H75" s="23">
        <v>2.55319140851498E-2</v>
      </c>
      <c r="I75" s="24">
        <v>0.18297871947288499</v>
      </c>
      <c r="J75" s="23">
        <v>0.73617023229598999</v>
      </c>
      <c r="K75" s="23">
        <v>8.5106380283833001E-3</v>
      </c>
      <c r="L75" s="23">
        <v>4.2553190141915997E-3</v>
      </c>
      <c r="M75" s="23">
        <v>2.55319140851498E-2</v>
      </c>
      <c r="N75" s="23">
        <v>1.70212760567665E-2</v>
      </c>
      <c r="O75" s="24">
        <v>0.225531920790672</v>
      </c>
      <c r="P75" s="24">
        <v>0.27234041690826399</v>
      </c>
      <c r="Q75" s="24">
        <v>0.91914892196655196</v>
      </c>
      <c r="R75" s="25">
        <v>0</v>
      </c>
      <c r="S75" s="25">
        <v>0</v>
      </c>
      <c r="T75" s="25">
        <v>0.19574468085106383</v>
      </c>
    </row>
    <row r="76" spans="1:20" x14ac:dyDescent="0.25">
      <c r="A76" s="8" t="s">
        <v>190</v>
      </c>
      <c r="B76" s="8" t="s">
        <v>191</v>
      </c>
      <c r="C76" s="8" t="s">
        <v>3540</v>
      </c>
      <c r="D76" s="8">
        <v>297</v>
      </c>
      <c r="E76" s="24">
        <v>0.48821547627449002</v>
      </c>
      <c r="F76" s="24">
        <v>0.51178449392318703</v>
      </c>
      <c r="G76" s="23">
        <v>0</v>
      </c>
      <c r="H76" s="23">
        <v>7.0707067847251906E-2</v>
      </c>
      <c r="I76" s="24">
        <v>0.111111111938953</v>
      </c>
      <c r="J76" s="24">
        <v>0.572390556335449</v>
      </c>
      <c r="K76" s="23">
        <v>3.0303031206130999E-2</v>
      </c>
      <c r="L76" s="23">
        <v>6.7340065725148002E-3</v>
      </c>
      <c r="M76" s="24">
        <v>0.208754211664199</v>
      </c>
      <c r="N76" s="23">
        <v>0</v>
      </c>
      <c r="O76" s="24">
        <v>0.19865319132804801</v>
      </c>
      <c r="P76" s="24">
        <v>0.390572398900985</v>
      </c>
      <c r="Q76" s="23">
        <v>0.74747473001480103</v>
      </c>
      <c r="R76" s="25">
        <v>0</v>
      </c>
      <c r="S76" s="25">
        <v>1.0101010101010102E-2</v>
      </c>
      <c r="T76" s="25">
        <v>0.17845117845117844</v>
      </c>
    </row>
    <row r="77" spans="1:20" x14ac:dyDescent="0.25">
      <c r="A77" s="8" t="s">
        <v>192</v>
      </c>
      <c r="B77" s="8" t="s">
        <v>193</v>
      </c>
      <c r="C77" s="8" t="s">
        <v>3540</v>
      </c>
      <c r="D77" s="8">
        <v>498</v>
      </c>
      <c r="E77" s="24">
        <v>0.49397590756416299</v>
      </c>
      <c r="F77" s="24">
        <v>0.50602412223815896</v>
      </c>
      <c r="G77" s="23">
        <v>0</v>
      </c>
      <c r="H77" s="24">
        <v>0.10240963846445</v>
      </c>
      <c r="I77" s="24">
        <v>0.32931727170944203</v>
      </c>
      <c r="J77" s="24">
        <v>0.50803214311599698</v>
      </c>
      <c r="K77" s="23">
        <v>1.20481923222542E-2</v>
      </c>
      <c r="L77" s="23">
        <v>2.0080320537089998E-3</v>
      </c>
      <c r="M77" s="23">
        <v>4.61847372353077E-2</v>
      </c>
      <c r="N77" s="23">
        <v>0</v>
      </c>
      <c r="O77" s="23">
        <v>0.22891566157341001</v>
      </c>
      <c r="P77" s="23">
        <v>4.0160641074180603E-2</v>
      </c>
      <c r="Q77" s="24">
        <v>0.81325298547744695</v>
      </c>
      <c r="R77" s="25">
        <v>0</v>
      </c>
      <c r="S77" s="25">
        <v>2.8112449799196786E-2</v>
      </c>
      <c r="T77" s="25">
        <v>0.19879518072289157</v>
      </c>
    </row>
    <row r="78" spans="1:20" x14ac:dyDescent="0.25">
      <c r="A78" s="8" t="s">
        <v>194</v>
      </c>
      <c r="B78" s="8" t="s">
        <v>195</v>
      </c>
      <c r="C78" s="8" t="s">
        <v>3540</v>
      </c>
      <c r="D78" s="8">
        <v>199</v>
      </c>
      <c r="E78" s="24">
        <v>0.42211055755615201</v>
      </c>
      <c r="F78" s="24">
        <v>0.57788944244384699</v>
      </c>
      <c r="G78" s="23">
        <v>0</v>
      </c>
      <c r="H78" s="23">
        <v>5.0251255743205998E-3</v>
      </c>
      <c r="I78" s="24">
        <v>0.246231153607368</v>
      </c>
      <c r="J78" s="24">
        <v>0.70854270458221402</v>
      </c>
      <c r="K78" s="23">
        <v>5.0251255743205998E-3</v>
      </c>
      <c r="L78" s="23">
        <v>1.5075377188623E-2</v>
      </c>
      <c r="M78" s="23">
        <v>2.0100502297282202E-2</v>
      </c>
      <c r="N78" s="23">
        <v>0</v>
      </c>
      <c r="O78" s="24">
        <v>0.221105530858039</v>
      </c>
      <c r="P78" s="24">
        <v>0.135678395628929</v>
      </c>
      <c r="Q78" s="24">
        <v>0.84422111511230402</v>
      </c>
      <c r="R78" s="25">
        <v>5.0251256281407036E-3</v>
      </c>
      <c r="S78" s="25">
        <v>0</v>
      </c>
      <c r="T78" s="25">
        <v>0.21105527638190955</v>
      </c>
    </row>
    <row r="79" spans="1:20" x14ac:dyDescent="0.25">
      <c r="A79" s="8" t="s">
        <v>196</v>
      </c>
      <c r="B79" s="8" t="s">
        <v>197</v>
      </c>
      <c r="C79" s="8" t="s">
        <v>3540</v>
      </c>
      <c r="D79" s="8">
        <v>393</v>
      </c>
      <c r="E79" s="24">
        <v>0.46564885973930298</v>
      </c>
      <c r="F79" s="24">
        <v>0.53435117006301802</v>
      </c>
      <c r="G79" s="23">
        <v>0</v>
      </c>
      <c r="H79" s="23">
        <v>1.52671756222844E-2</v>
      </c>
      <c r="I79" s="24">
        <v>0.18829517066478699</v>
      </c>
      <c r="J79" s="24">
        <v>0.74045801162719704</v>
      </c>
      <c r="K79" s="23">
        <v>5.0890585407615003E-3</v>
      </c>
      <c r="L79" s="23">
        <v>1.01781170815229E-2</v>
      </c>
      <c r="M79" s="23">
        <v>3.3078879117965698E-2</v>
      </c>
      <c r="N79" s="23">
        <v>7.6335878111422001E-3</v>
      </c>
      <c r="O79" s="24">
        <v>0.25954198837280201</v>
      </c>
      <c r="P79" s="24">
        <v>0.27989822626113797</v>
      </c>
      <c r="Q79" s="24">
        <v>0.92366409301757801</v>
      </c>
      <c r="R79" s="25">
        <v>2.2900763358778626E-2</v>
      </c>
      <c r="S79" s="25">
        <v>2.5445292620865142E-3</v>
      </c>
      <c r="T79" s="25">
        <v>0.19592875318066158</v>
      </c>
    </row>
    <row r="80" spans="1:20" x14ac:dyDescent="0.25">
      <c r="A80" s="8" t="s">
        <v>198</v>
      </c>
      <c r="B80" s="8" t="s">
        <v>199</v>
      </c>
      <c r="C80" s="8" t="s">
        <v>3540</v>
      </c>
      <c r="D80" s="8">
        <v>258</v>
      </c>
      <c r="E80" s="24">
        <v>0.61240309476852395</v>
      </c>
      <c r="F80" s="24">
        <v>0.387596905231475</v>
      </c>
      <c r="G80" s="23">
        <v>0</v>
      </c>
      <c r="H80" s="24">
        <v>0.11627907305955799</v>
      </c>
      <c r="I80" s="24">
        <v>0.271317839622497</v>
      </c>
      <c r="J80" s="24">
        <v>0.53488373756408603</v>
      </c>
      <c r="K80" s="23">
        <v>1.5503875911235801E-2</v>
      </c>
      <c r="L80" s="23">
        <v>3.875968977809E-3</v>
      </c>
      <c r="M80" s="23">
        <v>5.0387598574161502E-2</v>
      </c>
      <c r="N80" s="23">
        <v>7.7519379556179003E-3</v>
      </c>
      <c r="O80" s="24">
        <v>0.18604651093482899</v>
      </c>
      <c r="P80" s="24">
        <v>0.10465116053819599</v>
      </c>
      <c r="Q80" s="23">
        <v>0.85658913850784302</v>
      </c>
      <c r="R80" s="25">
        <v>0</v>
      </c>
      <c r="S80" s="25">
        <v>0</v>
      </c>
      <c r="T80" s="25">
        <v>0.16666666666666666</v>
      </c>
    </row>
    <row r="81" spans="1:20" x14ac:dyDescent="0.25">
      <c r="A81" s="8" t="s">
        <v>200</v>
      </c>
      <c r="B81" s="8" t="s">
        <v>201</v>
      </c>
      <c r="C81" s="8" t="s">
        <v>3540</v>
      </c>
      <c r="D81" s="8">
        <v>263</v>
      </c>
      <c r="E81" s="24">
        <v>0.68060839176177901</v>
      </c>
      <c r="F81" s="24">
        <v>0.31939163804054199</v>
      </c>
      <c r="G81" s="23">
        <v>0</v>
      </c>
      <c r="H81" s="23">
        <v>6.0836501419544199E-2</v>
      </c>
      <c r="I81" s="24">
        <v>0.30418249964714</v>
      </c>
      <c r="J81" s="23">
        <v>0.58935362100601196</v>
      </c>
      <c r="K81" s="23">
        <v>1.1406844481825801E-2</v>
      </c>
      <c r="L81" s="23">
        <v>7.6045626774429997E-3</v>
      </c>
      <c r="M81" s="23">
        <v>2.6615969836711901E-2</v>
      </c>
      <c r="N81" s="23">
        <v>0</v>
      </c>
      <c r="O81" s="24">
        <v>0.27756655216217002</v>
      </c>
      <c r="P81" s="23">
        <v>7.9847909510135706E-2</v>
      </c>
      <c r="Q81" s="24">
        <v>0.87832701206207198</v>
      </c>
      <c r="R81" s="25">
        <v>1.1406844106463879E-2</v>
      </c>
      <c r="S81" s="25">
        <v>3.4220532319391636E-2</v>
      </c>
      <c r="T81" s="25">
        <v>0.23954372623574144</v>
      </c>
    </row>
    <row r="82" spans="1:20" x14ac:dyDescent="0.25">
      <c r="A82" s="8" t="s">
        <v>202</v>
      </c>
      <c r="B82" s="8" t="s">
        <v>203</v>
      </c>
      <c r="C82" s="8" t="s">
        <v>3540</v>
      </c>
      <c r="D82" s="8">
        <v>543</v>
      </c>
      <c r="E82" s="24">
        <v>0.45856353640556302</v>
      </c>
      <c r="F82" s="23">
        <v>0.54143649339675903</v>
      </c>
      <c r="G82" s="23">
        <v>0</v>
      </c>
      <c r="H82" s="24">
        <v>0.46224677562713601</v>
      </c>
      <c r="I82" s="23">
        <v>4.0515653789043399E-2</v>
      </c>
      <c r="J82" s="24">
        <v>0.132596686482429</v>
      </c>
      <c r="K82" s="23">
        <v>8.6556166410446195E-2</v>
      </c>
      <c r="L82" s="23">
        <v>1.8416206585243E-3</v>
      </c>
      <c r="M82" s="24">
        <v>0.27624309062957703</v>
      </c>
      <c r="N82" s="23">
        <v>0</v>
      </c>
      <c r="O82" s="23">
        <v>0.20810313522815699</v>
      </c>
      <c r="P82" s="23">
        <v>1.8416205421090098E-2</v>
      </c>
      <c r="Q82" s="24">
        <v>0.394106805324554</v>
      </c>
      <c r="R82" s="25">
        <v>0</v>
      </c>
      <c r="S82" s="25">
        <v>1.841620626151013E-3</v>
      </c>
      <c r="T82" s="25">
        <v>0.20810313075506445</v>
      </c>
    </row>
    <row r="83" spans="1:20" x14ac:dyDescent="0.25">
      <c r="A83" s="8" t="s">
        <v>204</v>
      </c>
      <c r="B83" s="8" t="s">
        <v>205</v>
      </c>
      <c r="C83" s="8" t="s">
        <v>3540</v>
      </c>
      <c r="D83" s="8">
        <v>161</v>
      </c>
      <c r="E83" s="24">
        <v>0.53416150808334295</v>
      </c>
      <c r="F83" s="24">
        <v>0.46583852171897799</v>
      </c>
      <c r="G83" s="23">
        <v>0</v>
      </c>
      <c r="H83" s="23">
        <v>1.8633540719747502E-2</v>
      </c>
      <c r="I83" s="24">
        <v>0.34161490201950001</v>
      </c>
      <c r="J83" s="24">
        <v>0.57763975858688299</v>
      </c>
      <c r="K83" s="23">
        <v>6.2111802399158001E-3</v>
      </c>
      <c r="L83" s="23">
        <v>3.1055901199579201E-2</v>
      </c>
      <c r="M83" s="23">
        <v>2.4844720959663402E-2</v>
      </c>
      <c r="N83" s="23">
        <v>0</v>
      </c>
      <c r="O83" s="24">
        <v>0.31055900454521101</v>
      </c>
      <c r="P83" s="23">
        <v>6.2111802399158499E-2</v>
      </c>
      <c r="Q83" s="24">
        <v>0.92546582221984797</v>
      </c>
      <c r="R83" s="25">
        <v>0</v>
      </c>
      <c r="S83" s="25">
        <v>0</v>
      </c>
      <c r="T83" s="25">
        <v>0.27950310559006208</v>
      </c>
    </row>
    <row r="84" spans="1:20" x14ac:dyDescent="0.25">
      <c r="A84" s="8" t="s">
        <v>206</v>
      </c>
      <c r="B84" s="8" t="s">
        <v>207</v>
      </c>
      <c r="C84" s="8" t="s">
        <v>3540</v>
      </c>
      <c r="D84" s="8">
        <v>125</v>
      </c>
      <c r="E84" s="23">
        <v>1</v>
      </c>
      <c r="F84" s="23">
        <v>0</v>
      </c>
      <c r="G84" s="23">
        <v>0</v>
      </c>
      <c r="H84" s="23">
        <v>2.4000000208616298E-2</v>
      </c>
      <c r="I84" s="24">
        <v>0.29600000381469699</v>
      </c>
      <c r="J84" s="24">
        <v>0.62400001287460305</v>
      </c>
      <c r="K84" s="23">
        <v>8.0000003799796E-3</v>
      </c>
      <c r="L84" s="23">
        <v>0</v>
      </c>
      <c r="M84" s="23">
        <v>4.80000004172325E-2</v>
      </c>
      <c r="N84" s="23">
        <v>0</v>
      </c>
      <c r="O84" s="24">
        <v>0.12800000607967299</v>
      </c>
      <c r="P84" s="24">
        <v>0.37599998712539601</v>
      </c>
      <c r="Q84" s="24">
        <v>0.93599998950958196</v>
      </c>
      <c r="R84" s="25">
        <v>0</v>
      </c>
      <c r="S84" s="25">
        <v>0</v>
      </c>
      <c r="T84" s="25">
        <v>0.12</v>
      </c>
    </row>
    <row r="85" spans="1:20" x14ac:dyDescent="0.25">
      <c r="A85" s="8" t="s">
        <v>208</v>
      </c>
      <c r="B85" s="8" t="s">
        <v>209</v>
      </c>
      <c r="C85" s="8" t="s">
        <v>3540</v>
      </c>
      <c r="D85" s="8">
        <v>299</v>
      </c>
      <c r="E85" s="24">
        <v>0.46822741627693099</v>
      </c>
      <c r="F85" s="24">
        <v>0.53177255392074496</v>
      </c>
      <c r="G85" s="23">
        <v>0</v>
      </c>
      <c r="H85" s="23">
        <v>9.0301007032394395E-2</v>
      </c>
      <c r="I85" s="23">
        <v>3.0100334435701401E-2</v>
      </c>
      <c r="J85" s="24">
        <v>0.23411370813846499</v>
      </c>
      <c r="K85" s="24">
        <v>0.153846159577369</v>
      </c>
      <c r="L85" s="23">
        <v>0</v>
      </c>
      <c r="M85" s="24">
        <v>0.49163880944251998</v>
      </c>
      <c r="N85" s="23">
        <v>0</v>
      </c>
      <c r="O85" s="24">
        <v>0.20066890120506201</v>
      </c>
      <c r="P85" s="23">
        <v>5.6856188923120499E-2</v>
      </c>
      <c r="Q85" s="23">
        <v>0.23745819926261899</v>
      </c>
      <c r="R85" s="25">
        <v>3.3444816053511705E-3</v>
      </c>
      <c r="S85" s="25">
        <v>0</v>
      </c>
      <c r="T85" s="25">
        <v>0.18729096989966554</v>
      </c>
    </row>
    <row r="86" spans="1:20" x14ac:dyDescent="0.25">
      <c r="A86" s="8" t="s">
        <v>210</v>
      </c>
      <c r="B86" s="8" t="s">
        <v>211</v>
      </c>
      <c r="C86" s="8" t="s">
        <v>3540</v>
      </c>
      <c r="D86" s="8">
        <v>307</v>
      </c>
      <c r="E86" s="24">
        <v>0.51140064001083296</v>
      </c>
      <c r="F86" s="24">
        <v>0.48859935998916598</v>
      </c>
      <c r="G86" s="23">
        <v>0</v>
      </c>
      <c r="H86" s="24">
        <v>0.13680781424045499</v>
      </c>
      <c r="I86" s="23">
        <v>6.5146580338478102E-2</v>
      </c>
      <c r="J86" s="24">
        <v>0.332247555255889</v>
      </c>
      <c r="K86" s="24">
        <v>0.11074918508529601</v>
      </c>
      <c r="L86" s="23">
        <v>3.2573288772255E-3</v>
      </c>
      <c r="M86" s="24">
        <v>0.35179153084754899</v>
      </c>
      <c r="N86" s="23">
        <v>0</v>
      </c>
      <c r="O86" s="24">
        <v>0.16286644339561401</v>
      </c>
      <c r="P86" s="24">
        <v>0.192182406783103</v>
      </c>
      <c r="Q86" s="24">
        <v>0.32573288679122903</v>
      </c>
      <c r="R86" s="25">
        <v>0</v>
      </c>
      <c r="S86" s="25">
        <v>6.5146579804560263E-3</v>
      </c>
      <c r="T86" s="25">
        <v>0.1465798045602606</v>
      </c>
    </row>
    <row r="87" spans="1:20" x14ac:dyDescent="0.25">
      <c r="A87" s="8" t="s">
        <v>212</v>
      </c>
      <c r="B87" s="8" t="s">
        <v>213</v>
      </c>
      <c r="C87" s="8" t="s">
        <v>3540</v>
      </c>
      <c r="D87" s="8">
        <v>173</v>
      </c>
      <c r="E87" s="24">
        <v>0.50867050886154097</v>
      </c>
      <c r="F87" s="24">
        <v>0.49132949113845797</v>
      </c>
      <c r="G87" s="23">
        <v>0</v>
      </c>
      <c r="H87" s="23">
        <v>6.3583813607692705E-2</v>
      </c>
      <c r="I87" s="24">
        <v>0.184971094131469</v>
      </c>
      <c r="J87" s="24">
        <v>0.53179192543029696</v>
      </c>
      <c r="K87" s="23">
        <v>3.4682080149650601E-2</v>
      </c>
      <c r="L87" s="23">
        <v>1.15606933832169E-2</v>
      </c>
      <c r="M87" s="24">
        <v>0.17341040074825201</v>
      </c>
      <c r="N87" s="23">
        <v>0</v>
      </c>
      <c r="O87" s="24">
        <v>0.54335260391235296</v>
      </c>
      <c r="P87" s="24">
        <v>0.196531787514686</v>
      </c>
      <c r="Q87" s="24">
        <v>0.74566471576690596</v>
      </c>
      <c r="R87" s="25">
        <v>0.10404624277456648</v>
      </c>
      <c r="S87" s="25">
        <v>1.7341040462427744E-2</v>
      </c>
      <c r="T87" s="25">
        <v>0.33526011560693642</v>
      </c>
    </row>
    <row r="88" spans="1:20" x14ac:dyDescent="0.25">
      <c r="A88" s="8" t="s">
        <v>214</v>
      </c>
      <c r="B88" s="8" t="s">
        <v>215</v>
      </c>
      <c r="C88" s="8" t="s">
        <v>3540</v>
      </c>
      <c r="D88" s="8">
        <v>421</v>
      </c>
      <c r="E88" s="24">
        <v>0.74109262228011996</v>
      </c>
      <c r="F88" s="24">
        <v>0.256532073020935</v>
      </c>
      <c r="G88" s="23">
        <v>2.3752970155328998E-3</v>
      </c>
      <c r="H88" s="23">
        <v>5.4631829261779799E-2</v>
      </c>
      <c r="I88" s="24">
        <v>0.25890737771987898</v>
      </c>
      <c r="J88" s="24">
        <v>0.52019000053405695</v>
      </c>
      <c r="K88" s="23">
        <v>2.13776715099812E-2</v>
      </c>
      <c r="L88" s="23">
        <v>4.7505940310656998E-3</v>
      </c>
      <c r="M88" s="24">
        <v>0.135391920804977</v>
      </c>
      <c r="N88" s="23">
        <v>4.7505940310656998E-3</v>
      </c>
      <c r="O88" s="24">
        <v>0.16389548778533899</v>
      </c>
      <c r="P88" s="23">
        <v>2.3752968758344699E-2</v>
      </c>
      <c r="Q88" s="24">
        <v>0.71258908510208097</v>
      </c>
      <c r="R88" s="25">
        <v>0</v>
      </c>
      <c r="S88" s="25">
        <v>4.7505938242280287E-3</v>
      </c>
      <c r="T88" s="25">
        <v>0.14251781472684086</v>
      </c>
    </row>
    <row r="89" spans="1:20" x14ac:dyDescent="0.25">
      <c r="A89" s="8" t="s">
        <v>216</v>
      </c>
      <c r="B89" s="8" t="s">
        <v>217</v>
      </c>
      <c r="C89" s="8" t="s">
        <v>3540</v>
      </c>
      <c r="D89" s="8">
        <v>446</v>
      </c>
      <c r="E89" s="24">
        <v>0.538116574287414</v>
      </c>
      <c r="F89" s="24">
        <v>0.46188339591026301</v>
      </c>
      <c r="G89" s="23">
        <v>0</v>
      </c>
      <c r="H89" s="23">
        <v>8.2959644496440901E-2</v>
      </c>
      <c r="I89" s="23">
        <v>0.125560536980629</v>
      </c>
      <c r="J89" s="24">
        <v>0.38340806961059498</v>
      </c>
      <c r="K89" s="23">
        <v>4.7085203230380998E-2</v>
      </c>
      <c r="L89" s="23">
        <v>6.7264572717249003E-3</v>
      </c>
      <c r="M89" s="24">
        <v>0.325112104415893</v>
      </c>
      <c r="N89" s="23">
        <v>2.9147982597351099E-2</v>
      </c>
      <c r="O89" s="24">
        <v>0.27130043506622298</v>
      </c>
      <c r="P89" s="23">
        <v>1.56950671225786E-2</v>
      </c>
      <c r="Q89" s="24">
        <v>0.57847535610198897</v>
      </c>
      <c r="R89" s="25">
        <v>2.242152466367713E-3</v>
      </c>
      <c r="S89" s="25">
        <v>0</v>
      </c>
      <c r="T89" s="25">
        <v>0.27802690582959644</v>
      </c>
    </row>
    <row r="90" spans="1:20" x14ac:dyDescent="0.25">
      <c r="A90" s="8" t="s">
        <v>218</v>
      </c>
      <c r="B90" s="8" t="s">
        <v>3341</v>
      </c>
      <c r="C90" s="8" t="s">
        <v>3540</v>
      </c>
      <c r="D90" s="8">
        <v>437</v>
      </c>
      <c r="E90" s="24">
        <v>0.48283752799034102</v>
      </c>
      <c r="F90" s="24">
        <v>0.51716244220733598</v>
      </c>
      <c r="G90" s="23">
        <v>0</v>
      </c>
      <c r="H90" s="23">
        <v>5.9496566653251599E-2</v>
      </c>
      <c r="I90" s="24">
        <v>0.249427914619445</v>
      </c>
      <c r="J90" s="24">
        <v>0.61784899234771695</v>
      </c>
      <c r="K90" s="23">
        <v>2.2883294150233E-3</v>
      </c>
      <c r="L90" s="23">
        <v>1.6018306836485901E-2</v>
      </c>
      <c r="M90" s="23">
        <v>5.4919909685850102E-2</v>
      </c>
      <c r="N90" s="23">
        <v>0</v>
      </c>
      <c r="O90" s="23">
        <v>0.22883294522762301</v>
      </c>
      <c r="P90" s="23">
        <v>5.7208236306905698E-2</v>
      </c>
      <c r="Q90" s="24">
        <v>0.89931350946426303</v>
      </c>
      <c r="R90" s="25">
        <v>0</v>
      </c>
      <c r="S90" s="25">
        <v>0</v>
      </c>
      <c r="T90" s="25">
        <v>0.21510297482837529</v>
      </c>
    </row>
    <row r="91" spans="1:20" x14ac:dyDescent="0.25">
      <c r="A91" s="8" t="s">
        <v>220</v>
      </c>
      <c r="B91" s="8" t="s">
        <v>3342</v>
      </c>
      <c r="C91" s="8" t="s">
        <v>3540</v>
      </c>
      <c r="D91" s="8">
        <v>401</v>
      </c>
      <c r="E91" s="24">
        <v>0.25935161113739003</v>
      </c>
      <c r="F91" s="24">
        <v>0.74064838886260898</v>
      </c>
      <c r="G91" s="23">
        <v>0</v>
      </c>
      <c r="H91" s="23">
        <v>2.49376557767391E-2</v>
      </c>
      <c r="I91" s="24">
        <v>0.30174562335014299</v>
      </c>
      <c r="J91" s="24">
        <v>0.64837902784347501</v>
      </c>
      <c r="K91" s="23">
        <v>2.4937656708061999E-3</v>
      </c>
      <c r="L91" s="23">
        <v>0</v>
      </c>
      <c r="M91" s="23">
        <v>2.24438905715942E-2</v>
      </c>
      <c r="N91" s="23">
        <v>0</v>
      </c>
      <c r="O91" s="24">
        <v>0.25935161113739003</v>
      </c>
      <c r="P91" s="23">
        <v>8.2294262945651994E-2</v>
      </c>
      <c r="Q91" s="24">
        <v>0.86034911870956399</v>
      </c>
      <c r="R91" s="25">
        <v>0</v>
      </c>
      <c r="S91" s="25">
        <v>0</v>
      </c>
      <c r="T91" s="25">
        <v>0.24937655860349128</v>
      </c>
    </row>
    <row r="92" spans="1:20" x14ac:dyDescent="0.25">
      <c r="A92" s="8" t="s">
        <v>221</v>
      </c>
      <c r="B92" s="8" t="s">
        <v>222</v>
      </c>
      <c r="C92" s="8" t="s">
        <v>3540</v>
      </c>
      <c r="D92" s="8">
        <v>293</v>
      </c>
      <c r="E92" s="24">
        <v>0.41638225317001298</v>
      </c>
      <c r="F92" s="24">
        <v>0.58361774682998602</v>
      </c>
      <c r="G92" s="23">
        <v>0</v>
      </c>
      <c r="H92" s="24">
        <v>0.344709903001785</v>
      </c>
      <c r="I92" s="23">
        <v>0.19112628698348999</v>
      </c>
      <c r="J92" s="24">
        <v>0.40273037552833502</v>
      </c>
      <c r="K92" s="23">
        <v>0</v>
      </c>
      <c r="L92" s="23">
        <v>3.4129691775888001E-3</v>
      </c>
      <c r="M92" s="23">
        <v>5.8020476251840598E-2</v>
      </c>
      <c r="N92" s="23">
        <v>0</v>
      </c>
      <c r="O92" s="23">
        <v>3.4129691775888001E-3</v>
      </c>
      <c r="P92" s="24">
        <v>0.81569963693618697</v>
      </c>
      <c r="Q92" s="24">
        <v>0.96245735883712702</v>
      </c>
      <c r="R92" s="25">
        <v>0</v>
      </c>
      <c r="S92" s="25">
        <v>0</v>
      </c>
      <c r="T92" s="25">
        <v>6.8259385665529011E-3</v>
      </c>
    </row>
    <row r="93" spans="1:20" x14ac:dyDescent="0.25">
      <c r="A93" s="8" t="s">
        <v>223</v>
      </c>
      <c r="B93" s="8" t="s">
        <v>224</v>
      </c>
      <c r="C93" s="8" t="s">
        <v>3540</v>
      </c>
      <c r="D93" s="8">
        <v>207</v>
      </c>
      <c r="E93" s="24">
        <v>0.56038647890090898</v>
      </c>
      <c r="F93" s="24">
        <v>0.434782594442367</v>
      </c>
      <c r="G93" s="23">
        <v>4.8309178091586E-3</v>
      </c>
      <c r="H93" s="23">
        <v>5.7971015572547899E-2</v>
      </c>
      <c r="I93" s="24">
        <v>0.30917873978614802</v>
      </c>
      <c r="J93" s="24">
        <v>0.37681159377098</v>
      </c>
      <c r="K93" s="23">
        <v>5.7971015572547899E-2</v>
      </c>
      <c r="L93" s="23">
        <v>4.8309178091586E-3</v>
      </c>
      <c r="M93" s="24">
        <v>0.16908212006091999</v>
      </c>
      <c r="N93" s="23">
        <v>2.41545885801315E-2</v>
      </c>
      <c r="O93" s="24">
        <v>0.33333334326744002</v>
      </c>
      <c r="P93" s="23">
        <v>2.8985507786274001E-2</v>
      </c>
      <c r="Q93" s="24">
        <v>0.68115943670272805</v>
      </c>
      <c r="R93" s="25">
        <v>4.830917874396135E-3</v>
      </c>
      <c r="S93" s="25">
        <v>0</v>
      </c>
      <c r="T93" s="25">
        <v>0.34299516908212563</v>
      </c>
    </row>
    <row r="94" spans="1:20" x14ac:dyDescent="0.25">
      <c r="A94" s="8" t="s">
        <v>225</v>
      </c>
      <c r="B94" s="8" t="s">
        <v>226</v>
      </c>
      <c r="C94" s="8" t="s">
        <v>3540</v>
      </c>
      <c r="D94" s="8">
        <v>442</v>
      </c>
      <c r="E94" s="24">
        <v>0.51583713293075495</v>
      </c>
      <c r="F94" s="24">
        <v>0.484162896871566</v>
      </c>
      <c r="G94" s="23">
        <v>0</v>
      </c>
      <c r="H94" s="24">
        <v>0.23076923191547299</v>
      </c>
      <c r="I94" s="23">
        <v>5.8823529630899402E-2</v>
      </c>
      <c r="J94" s="23">
        <v>0.167420819401741</v>
      </c>
      <c r="K94" s="23">
        <v>0.115384615957737</v>
      </c>
      <c r="L94" s="23">
        <v>4.5248870737851004E-3</v>
      </c>
      <c r="M94" s="24">
        <v>0.42307692766189497</v>
      </c>
      <c r="N94" s="23">
        <v>0</v>
      </c>
      <c r="O94" s="24">
        <v>0.171945706009864</v>
      </c>
      <c r="P94" s="23">
        <v>7.6923079788684803E-2</v>
      </c>
      <c r="Q94" s="24">
        <v>0.239819005131721</v>
      </c>
      <c r="R94" s="25">
        <v>2.2624434389140274E-3</v>
      </c>
      <c r="S94" s="25">
        <v>2.2624434389140274E-3</v>
      </c>
      <c r="T94" s="25">
        <v>0.17194570135746606</v>
      </c>
    </row>
    <row r="95" spans="1:20" x14ac:dyDescent="0.25">
      <c r="A95" s="8" t="s">
        <v>227</v>
      </c>
      <c r="B95" s="8" t="s">
        <v>228</v>
      </c>
      <c r="C95" s="8" t="s">
        <v>3540</v>
      </c>
      <c r="D95" s="8">
        <v>132</v>
      </c>
      <c r="E95" s="23">
        <v>0.5</v>
      </c>
      <c r="F95" s="23">
        <v>0.5</v>
      </c>
      <c r="G95" s="23">
        <v>0</v>
      </c>
      <c r="H95" s="23">
        <v>6.8181820213794694E-2</v>
      </c>
      <c r="I95" s="24">
        <v>0.204545453190803</v>
      </c>
      <c r="J95" s="24">
        <v>0.60606062412261896</v>
      </c>
      <c r="K95" s="23">
        <v>7.5757578015327003E-3</v>
      </c>
      <c r="L95" s="23">
        <v>1.5151515603065499E-2</v>
      </c>
      <c r="M95" s="23">
        <v>8.3333335816860199E-2</v>
      </c>
      <c r="N95" s="23">
        <v>1.5151515603065499E-2</v>
      </c>
      <c r="O95" s="24">
        <v>0.12878787517547599</v>
      </c>
      <c r="P95" s="24">
        <v>0.34848484396934498</v>
      </c>
      <c r="Q95" s="24">
        <v>0.78030300140380804</v>
      </c>
      <c r="R95" s="25">
        <v>0</v>
      </c>
      <c r="S95" s="25">
        <v>7.575757575757576E-3</v>
      </c>
      <c r="T95" s="25">
        <v>0.10606060606060606</v>
      </c>
    </row>
    <row r="96" spans="1:20" x14ac:dyDescent="0.25">
      <c r="A96" s="8" t="s">
        <v>229</v>
      </c>
      <c r="B96" s="8" t="s">
        <v>230</v>
      </c>
      <c r="C96" s="8" t="s">
        <v>3540</v>
      </c>
      <c r="D96" s="8">
        <v>995</v>
      </c>
      <c r="E96" s="24">
        <v>0.52060300111770597</v>
      </c>
      <c r="F96" s="24">
        <v>0.47939699888229298</v>
      </c>
      <c r="G96" s="23">
        <v>0</v>
      </c>
      <c r="H96" s="24">
        <v>0.119597986340522</v>
      </c>
      <c r="I96" s="24">
        <v>0.134673371911048</v>
      </c>
      <c r="J96" s="24">
        <v>0.54170852899551303</v>
      </c>
      <c r="K96" s="23">
        <v>2.7135677635669701E-2</v>
      </c>
      <c r="L96" s="23">
        <v>9.0452264994382997E-3</v>
      </c>
      <c r="M96" s="24">
        <v>0.158793970942497</v>
      </c>
      <c r="N96" s="23">
        <v>9.0452264994382997E-3</v>
      </c>
      <c r="O96" s="24">
        <v>0.160804018378257</v>
      </c>
      <c r="P96" s="23">
        <v>5.1256280392408399E-2</v>
      </c>
      <c r="Q96" s="24">
        <v>0.68140703439712502</v>
      </c>
      <c r="R96" s="25">
        <v>0</v>
      </c>
      <c r="S96" s="25">
        <v>2.4120603015075376E-2</v>
      </c>
      <c r="T96" s="25">
        <v>0.13467336683417086</v>
      </c>
    </row>
    <row r="97" spans="1:20" x14ac:dyDescent="0.25">
      <c r="A97" s="8" t="s">
        <v>231</v>
      </c>
      <c r="B97" s="8" t="s">
        <v>232</v>
      </c>
      <c r="C97" s="8" t="s">
        <v>3540</v>
      </c>
      <c r="D97" s="8">
        <v>468</v>
      </c>
      <c r="E97" s="24">
        <v>0.50641024112701405</v>
      </c>
      <c r="F97" s="24">
        <v>0.49358972907066301</v>
      </c>
      <c r="G97" s="23">
        <v>0</v>
      </c>
      <c r="H97" s="23">
        <v>5.9829059988260297E-2</v>
      </c>
      <c r="I97" s="23">
        <v>0.16025641560554499</v>
      </c>
      <c r="J97" s="24">
        <v>0.21153846383094699</v>
      </c>
      <c r="K97" s="23">
        <v>7.6923079788684803E-2</v>
      </c>
      <c r="L97" s="23">
        <v>6.4102564938365997E-3</v>
      </c>
      <c r="M97" s="23">
        <v>0.47008547186851501</v>
      </c>
      <c r="N97" s="23">
        <v>1.49572649970651E-2</v>
      </c>
      <c r="O97" s="23">
        <v>0.27991452813148499</v>
      </c>
      <c r="P97" s="23">
        <v>1.06837609782815E-2</v>
      </c>
      <c r="Q97" s="24">
        <v>0.33119657635688698</v>
      </c>
      <c r="R97" s="25">
        <v>2.136752136752137E-3</v>
      </c>
      <c r="S97" s="25">
        <v>0</v>
      </c>
      <c r="T97" s="25">
        <v>0.27564102564102566</v>
      </c>
    </row>
    <row r="98" spans="1:20" x14ac:dyDescent="0.25">
      <c r="A98" s="8" t="s">
        <v>233</v>
      </c>
      <c r="B98" s="8" t="s">
        <v>234</v>
      </c>
      <c r="C98" s="8" t="s">
        <v>3540</v>
      </c>
      <c r="D98" s="8">
        <v>529</v>
      </c>
      <c r="E98" s="23">
        <v>0.77504724264144897</v>
      </c>
      <c r="F98" s="24">
        <v>0.22306238114833801</v>
      </c>
      <c r="G98" s="23">
        <v>1.8903592135757E-3</v>
      </c>
      <c r="H98" s="23">
        <v>5.4820414632558802E-2</v>
      </c>
      <c r="I98" s="24">
        <v>0.21550095081329301</v>
      </c>
      <c r="J98" s="24">
        <v>0.31568998098373402</v>
      </c>
      <c r="K98" s="23">
        <v>5.6710775941610302E-2</v>
      </c>
      <c r="L98" s="23">
        <v>3.7807184271513999E-3</v>
      </c>
      <c r="M98" s="24">
        <v>0.336483925580978</v>
      </c>
      <c r="N98" s="23">
        <v>1.70132331550121E-2</v>
      </c>
      <c r="O98" s="24">
        <v>0.202268436551094</v>
      </c>
      <c r="P98" s="23">
        <v>9.4517963007092008E-3</v>
      </c>
      <c r="Q98" s="24">
        <v>0.42155009508132901</v>
      </c>
      <c r="R98" s="25">
        <v>0</v>
      </c>
      <c r="S98" s="25">
        <v>0</v>
      </c>
      <c r="T98" s="25">
        <v>0.20037807183364839</v>
      </c>
    </row>
    <row r="99" spans="1:20" x14ac:dyDescent="0.25">
      <c r="A99" s="8" t="s">
        <v>235</v>
      </c>
      <c r="B99" s="8" t="s">
        <v>236</v>
      </c>
      <c r="C99" s="8" t="s">
        <v>3540</v>
      </c>
      <c r="D99" s="8">
        <v>479</v>
      </c>
      <c r="E99" s="24">
        <v>0.60960334539413397</v>
      </c>
      <c r="F99" s="24">
        <v>0.39039665460586498</v>
      </c>
      <c r="G99" s="23">
        <v>0</v>
      </c>
      <c r="H99" s="24">
        <v>0.29645094275474498</v>
      </c>
      <c r="I99" s="24">
        <v>0.100208766758441</v>
      </c>
      <c r="J99" s="24">
        <v>0.33611690998077298</v>
      </c>
      <c r="K99" s="23">
        <v>2.9227556660771401E-2</v>
      </c>
      <c r="L99" s="23">
        <v>8.3507308736444005E-3</v>
      </c>
      <c r="M99" s="24">
        <v>0.22755740582942899</v>
      </c>
      <c r="N99" s="23">
        <v>2.0876827184111001E-3</v>
      </c>
      <c r="O99" s="24">
        <v>0.16910229623317699</v>
      </c>
      <c r="P99" s="23">
        <v>1.4613778330385701E-2</v>
      </c>
      <c r="Q99" s="24">
        <v>0.65135699510574296</v>
      </c>
      <c r="R99" s="25">
        <v>0</v>
      </c>
      <c r="S99" s="25">
        <v>2.0876826722338203E-3</v>
      </c>
      <c r="T99" s="25">
        <v>0.16701461377870563</v>
      </c>
    </row>
    <row r="100" spans="1:20" x14ac:dyDescent="0.25">
      <c r="A100" s="8" t="s">
        <v>237</v>
      </c>
      <c r="B100" s="8" t="s">
        <v>238</v>
      </c>
      <c r="C100" s="8" t="s">
        <v>3540</v>
      </c>
      <c r="D100" s="8">
        <v>415</v>
      </c>
      <c r="E100" s="24">
        <v>0.47228914499282798</v>
      </c>
      <c r="F100" s="24">
        <v>0.52771085500717096</v>
      </c>
      <c r="G100" s="23">
        <v>0</v>
      </c>
      <c r="H100" s="24">
        <v>0.28674697875976501</v>
      </c>
      <c r="I100" s="23">
        <v>6.9879516959190396E-2</v>
      </c>
      <c r="J100" s="24">
        <v>0.23614457249641399</v>
      </c>
      <c r="K100" s="23">
        <v>4.8192769289016703E-2</v>
      </c>
      <c r="L100" s="23">
        <v>0</v>
      </c>
      <c r="M100" s="23">
        <v>0.34939759969711298</v>
      </c>
      <c r="N100" s="23">
        <v>9.6385544165968999E-3</v>
      </c>
      <c r="O100" s="24">
        <v>0.26506024599075301</v>
      </c>
      <c r="P100" s="23">
        <v>1.20481923222542E-2</v>
      </c>
      <c r="Q100" s="24">
        <v>0.55903613567352195</v>
      </c>
      <c r="R100" s="25">
        <v>0</v>
      </c>
      <c r="S100" s="25">
        <v>0</v>
      </c>
      <c r="T100" s="25">
        <v>0.26506024096385544</v>
      </c>
    </row>
    <row r="101" spans="1:20" x14ac:dyDescent="0.25">
      <c r="A101" s="8" t="s">
        <v>239</v>
      </c>
      <c r="B101" s="8" t="s">
        <v>240</v>
      </c>
      <c r="C101" s="8" t="s">
        <v>3540</v>
      </c>
      <c r="D101" s="8">
        <v>703</v>
      </c>
      <c r="E101" s="24">
        <v>0.46514937281608498</v>
      </c>
      <c r="F101" s="24">
        <v>0.53342819213867099</v>
      </c>
      <c r="G101" s="23">
        <v>1.422475092113E-3</v>
      </c>
      <c r="H101" s="24">
        <v>0.149359881877899</v>
      </c>
      <c r="I101" s="24">
        <v>0.14082503318786599</v>
      </c>
      <c r="J101" s="23">
        <v>0.26884779334068298</v>
      </c>
      <c r="K101" s="23">
        <v>5.26315793395042E-2</v>
      </c>
      <c r="L101" s="23">
        <v>7.1123754605650997E-3</v>
      </c>
      <c r="M101" s="24">
        <v>0.37980085611343301</v>
      </c>
      <c r="N101" s="23">
        <v>1.422475092113E-3</v>
      </c>
      <c r="O101" s="23">
        <v>0.26031294465065002</v>
      </c>
      <c r="P101" s="23">
        <v>3.1294453889131497E-2</v>
      </c>
      <c r="Q101" s="24">
        <v>0.48790895938873202</v>
      </c>
      <c r="R101" s="25">
        <v>2.8449502133712661E-3</v>
      </c>
      <c r="S101" s="25">
        <v>0</v>
      </c>
      <c r="T101" s="25">
        <v>0.25746799431009959</v>
      </c>
    </row>
    <row r="102" spans="1:20" x14ac:dyDescent="0.25">
      <c r="A102" s="8" t="s">
        <v>241</v>
      </c>
      <c r="B102" s="8" t="s">
        <v>242</v>
      </c>
      <c r="C102" s="8" t="s">
        <v>3540</v>
      </c>
      <c r="D102" s="8">
        <v>483</v>
      </c>
      <c r="E102" s="24">
        <v>0.53416150808334295</v>
      </c>
      <c r="F102" s="24">
        <v>0.46376812458038302</v>
      </c>
      <c r="G102" s="23">
        <v>2.0703934133052999E-3</v>
      </c>
      <c r="H102" s="24">
        <v>0.19668737053871099</v>
      </c>
      <c r="I102" s="23">
        <v>7.0393376052379594E-2</v>
      </c>
      <c r="J102" s="24">
        <v>0.29813665151596003</v>
      </c>
      <c r="K102" s="23">
        <v>5.17598353326321E-2</v>
      </c>
      <c r="L102" s="23">
        <v>4.1407868266105999E-3</v>
      </c>
      <c r="M102" s="24">
        <v>0.354037255048751</v>
      </c>
      <c r="N102" s="23">
        <v>2.4844720959663402E-2</v>
      </c>
      <c r="O102" s="24">
        <v>0.20496894419193201</v>
      </c>
      <c r="P102" s="23">
        <v>2.4844720959663402E-2</v>
      </c>
      <c r="Q102" s="24">
        <v>0.54037266969680697</v>
      </c>
      <c r="R102" s="25">
        <v>2.070393374741201E-3</v>
      </c>
      <c r="S102" s="25">
        <v>0</v>
      </c>
      <c r="T102" s="25">
        <v>0.20082815734989648</v>
      </c>
    </row>
    <row r="103" spans="1:20" x14ac:dyDescent="0.25">
      <c r="A103" s="8" t="s">
        <v>243</v>
      </c>
      <c r="B103" s="8" t="s">
        <v>244</v>
      </c>
      <c r="C103" s="8" t="s">
        <v>3540</v>
      </c>
      <c r="D103" s="8">
        <v>540</v>
      </c>
      <c r="E103" s="24">
        <v>0.58888888359069802</v>
      </c>
      <c r="F103" s="24">
        <v>0.41111111640930098</v>
      </c>
      <c r="G103" s="23">
        <v>0</v>
      </c>
      <c r="H103" s="24">
        <v>0.22407408058643299</v>
      </c>
      <c r="I103" s="23">
        <v>8.3333335816860199E-2</v>
      </c>
      <c r="J103" s="24">
        <v>0.27407407760620101</v>
      </c>
      <c r="K103" s="23">
        <v>7.2222225368022905E-2</v>
      </c>
      <c r="L103" s="23">
        <v>0</v>
      </c>
      <c r="M103" s="24">
        <v>0.33888888359069802</v>
      </c>
      <c r="N103" s="23">
        <v>7.4074072763324001E-3</v>
      </c>
      <c r="O103" s="24">
        <v>0.15925925970077501</v>
      </c>
      <c r="P103" s="23">
        <v>1.8518518190831E-3</v>
      </c>
      <c r="Q103" s="24">
        <v>0.53333336114883401</v>
      </c>
      <c r="R103" s="25">
        <v>0</v>
      </c>
      <c r="S103" s="25">
        <v>0</v>
      </c>
      <c r="T103" s="25">
        <v>0.16111111111111112</v>
      </c>
    </row>
    <row r="104" spans="1:20" x14ac:dyDescent="0.25">
      <c r="A104" s="8" t="s">
        <v>245</v>
      </c>
      <c r="B104" s="8" t="s">
        <v>246</v>
      </c>
      <c r="C104" s="8" t="s">
        <v>3540</v>
      </c>
      <c r="D104" s="8">
        <v>687</v>
      </c>
      <c r="E104" s="24">
        <v>0.55749636888503995</v>
      </c>
      <c r="F104" s="24">
        <v>0.442503631114959</v>
      </c>
      <c r="G104" s="23">
        <v>0</v>
      </c>
      <c r="H104" s="23">
        <v>0.38864627480506903</v>
      </c>
      <c r="I104" s="23">
        <v>5.9679765254259103E-2</v>
      </c>
      <c r="J104" s="24">
        <v>0.16593886911868999</v>
      </c>
      <c r="K104" s="23">
        <v>4.5123726129531902E-2</v>
      </c>
      <c r="L104" s="23">
        <v>1.4556040987371999E-3</v>
      </c>
      <c r="M104" s="23">
        <v>0.33187773823738098</v>
      </c>
      <c r="N104" s="23">
        <v>7.2780204936862001E-3</v>
      </c>
      <c r="O104" s="24">
        <v>0.17321687936782801</v>
      </c>
      <c r="P104" s="23">
        <v>1.16448327898979E-2</v>
      </c>
      <c r="Q104" s="23">
        <v>0.42794761061668402</v>
      </c>
      <c r="R104" s="25">
        <v>0</v>
      </c>
      <c r="S104" s="25">
        <v>0</v>
      </c>
      <c r="T104" s="25">
        <v>0.1703056768558952</v>
      </c>
    </row>
    <row r="105" spans="1:20" x14ac:dyDescent="0.25">
      <c r="A105" s="8" t="s">
        <v>247</v>
      </c>
      <c r="B105" s="8" t="s">
        <v>248</v>
      </c>
      <c r="C105" s="8" t="s">
        <v>3540</v>
      </c>
      <c r="D105" s="8">
        <v>294</v>
      </c>
      <c r="E105" s="23">
        <v>0.52380955219268799</v>
      </c>
      <c r="F105" s="24">
        <v>0.47619047760963401</v>
      </c>
      <c r="G105" s="23">
        <v>0</v>
      </c>
      <c r="H105" s="23">
        <v>2.04081628471613E-2</v>
      </c>
      <c r="I105" s="24">
        <v>0.22108843922615001</v>
      </c>
      <c r="J105" s="24">
        <v>0.63605439662933305</v>
      </c>
      <c r="K105" s="23">
        <v>6.8027209490537999E-3</v>
      </c>
      <c r="L105" s="23">
        <v>1.02040814235806E-2</v>
      </c>
      <c r="M105" s="23">
        <v>6.80272132158279E-2</v>
      </c>
      <c r="N105" s="23">
        <v>3.7414964288473102E-2</v>
      </c>
      <c r="O105" s="24">
        <v>0.28911563754081698</v>
      </c>
      <c r="P105" s="24">
        <v>0.22108843922615001</v>
      </c>
      <c r="Q105" s="24">
        <v>0.86054420471191395</v>
      </c>
      <c r="R105" s="25">
        <v>0</v>
      </c>
      <c r="S105" s="25">
        <v>0</v>
      </c>
      <c r="T105" s="25">
        <v>0.27210884353741499</v>
      </c>
    </row>
    <row r="106" spans="1:20" x14ac:dyDescent="0.25">
      <c r="A106" s="8" t="s">
        <v>249</v>
      </c>
      <c r="B106" s="8" t="s">
        <v>250</v>
      </c>
      <c r="C106" s="8" t="s">
        <v>3540</v>
      </c>
      <c r="D106" s="8">
        <v>1723</v>
      </c>
      <c r="E106" s="24">
        <v>0.70110273361205999</v>
      </c>
      <c r="F106" s="24">
        <v>0.29831689596176098</v>
      </c>
      <c r="G106" s="23">
        <v>5.8038305724039999E-4</v>
      </c>
      <c r="H106" s="23">
        <v>0.19907139241695401</v>
      </c>
      <c r="I106" s="24">
        <v>0.15147997438907601</v>
      </c>
      <c r="J106" s="24">
        <v>0.53511315584182695</v>
      </c>
      <c r="K106" s="23">
        <v>1.1027278378605799E-2</v>
      </c>
      <c r="L106" s="23">
        <v>9.8665114492177998E-3</v>
      </c>
      <c r="M106" s="23">
        <v>8.6477078497409807E-2</v>
      </c>
      <c r="N106" s="23">
        <v>6.9645964540540999E-3</v>
      </c>
      <c r="O106" s="24">
        <v>0.130586192011833</v>
      </c>
      <c r="P106" s="23">
        <v>3.5403367131948499E-2</v>
      </c>
      <c r="Q106" s="24">
        <v>0.84735924005508401</v>
      </c>
      <c r="R106" s="25">
        <v>0</v>
      </c>
      <c r="S106" s="25">
        <v>3.4822983168891469E-3</v>
      </c>
      <c r="T106" s="25">
        <v>0.118398142774231</v>
      </c>
    </row>
    <row r="107" spans="1:20" x14ac:dyDescent="0.25">
      <c r="A107" s="8" t="s">
        <v>251</v>
      </c>
      <c r="B107" s="8" t="s">
        <v>252</v>
      </c>
      <c r="C107" s="8" t="s">
        <v>3540</v>
      </c>
      <c r="D107" s="8">
        <v>376</v>
      </c>
      <c r="E107" s="24">
        <v>0.40691488981246898</v>
      </c>
      <c r="F107" s="24">
        <v>0.59308511018752996</v>
      </c>
      <c r="G107" s="23">
        <v>0</v>
      </c>
      <c r="H107" s="23">
        <v>7.1808509528636905E-2</v>
      </c>
      <c r="I107" s="24">
        <v>0.21276596188545199</v>
      </c>
      <c r="J107" s="24">
        <v>0.52393615245819003</v>
      </c>
      <c r="K107" s="23">
        <v>2.6595745235681499E-2</v>
      </c>
      <c r="L107" s="23">
        <v>7.9787233844399001E-3</v>
      </c>
      <c r="M107" s="24">
        <v>0.15159574151039101</v>
      </c>
      <c r="N107" s="23">
        <v>5.3191487677394997E-3</v>
      </c>
      <c r="O107" s="24">
        <v>0.32978722453117298</v>
      </c>
      <c r="P107" s="24">
        <v>0.19946809113025599</v>
      </c>
      <c r="Q107" s="24">
        <v>0.76063829660415605</v>
      </c>
      <c r="R107" s="25">
        <v>0</v>
      </c>
      <c r="S107" s="25">
        <v>1.3297872340425532E-2</v>
      </c>
      <c r="T107" s="25">
        <v>0.32180851063829785</v>
      </c>
    </row>
    <row r="108" spans="1:20" x14ac:dyDescent="0.25">
      <c r="A108" s="8" t="s">
        <v>253</v>
      </c>
      <c r="B108" s="8" t="s">
        <v>254</v>
      </c>
      <c r="C108" s="8" t="s">
        <v>3540</v>
      </c>
      <c r="D108" s="8">
        <v>267</v>
      </c>
      <c r="E108" s="23">
        <v>0.55056178569793701</v>
      </c>
      <c r="F108" s="23">
        <v>0.44943821430206299</v>
      </c>
      <c r="G108" s="23">
        <v>0</v>
      </c>
      <c r="H108" s="23">
        <v>8.6142323911190005E-2</v>
      </c>
      <c r="I108" s="24">
        <v>0.254681646823883</v>
      </c>
      <c r="J108" s="24">
        <v>0.61423218250274603</v>
      </c>
      <c r="K108" s="23">
        <v>1.12359551712871E-2</v>
      </c>
      <c r="L108" s="23">
        <v>3.745318390429E-3</v>
      </c>
      <c r="M108" s="23">
        <v>2.62172278016806E-2</v>
      </c>
      <c r="N108" s="23">
        <v>3.745318390429E-3</v>
      </c>
      <c r="O108" s="24">
        <v>0.17228464782238001</v>
      </c>
      <c r="P108" s="24">
        <v>0.16853933036327301</v>
      </c>
      <c r="Q108" s="24">
        <v>0.83146065473556496</v>
      </c>
      <c r="R108" s="25">
        <v>0</v>
      </c>
      <c r="S108" s="25">
        <v>3.7453183520599251E-3</v>
      </c>
      <c r="T108" s="25">
        <v>0.17228464419475656</v>
      </c>
    </row>
    <row r="109" spans="1:20" x14ac:dyDescent="0.25">
      <c r="A109" s="8" t="s">
        <v>255</v>
      </c>
      <c r="B109" s="8" t="s">
        <v>256</v>
      </c>
      <c r="C109" s="8" t="s">
        <v>3540</v>
      </c>
      <c r="D109" s="8">
        <v>288</v>
      </c>
      <c r="E109" s="24">
        <v>0.46527779102325401</v>
      </c>
      <c r="F109" s="24">
        <v>0.53472220897674505</v>
      </c>
      <c r="G109" s="23">
        <v>0</v>
      </c>
      <c r="H109" s="23">
        <v>3.4722222480922998E-3</v>
      </c>
      <c r="I109" s="23">
        <v>6.25E-2</v>
      </c>
      <c r="J109" s="24">
        <v>0.91319441795349099</v>
      </c>
      <c r="K109" s="23">
        <v>0</v>
      </c>
      <c r="L109" s="23">
        <v>0</v>
      </c>
      <c r="M109" s="23">
        <v>1.73611119389534E-2</v>
      </c>
      <c r="N109" s="23">
        <v>3.4722222480922998E-3</v>
      </c>
      <c r="O109" s="23">
        <v>4.51388880610466E-2</v>
      </c>
      <c r="P109" s="24">
        <v>0.83333331346511796</v>
      </c>
      <c r="Q109" s="24">
        <v>0.93055558204650801</v>
      </c>
      <c r="R109" s="25">
        <v>0</v>
      </c>
      <c r="S109" s="25">
        <v>6.9444444444444441E-3</v>
      </c>
      <c r="T109" s="25">
        <v>4.5138888888888888E-2</v>
      </c>
    </row>
    <row r="110" spans="1:20" x14ac:dyDescent="0.25">
      <c r="A110" s="8" t="s">
        <v>257</v>
      </c>
      <c r="B110" s="8" t="s">
        <v>258</v>
      </c>
      <c r="C110" s="8" t="s">
        <v>3540</v>
      </c>
      <c r="D110" s="8">
        <v>300</v>
      </c>
      <c r="E110" s="23">
        <v>0.476666659116745</v>
      </c>
      <c r="F110" s="24">
        <v>0.51999998092651301</v>
      </c>
      <c r="G110" s="23">
        <v>3.3333334140479998E-3</v>
      </c>
      <c r="H110" s="24">
        <v>0.15666666626930201</v>
      </c>
      <c r="I110" s="24">
        <v>0.20333333313465099</v>
      </c>
      <c r="J110" s="24">
        <v>0.493333339691162</v>
      </c>
      <c r="K110" s="23">
        <v>2.66666673123837E-2</v>
      </c>
      <c r="L110" s="23">
        <v>6.6666668280958999E-3</v>
      </c>
      <c r="M110" s="24">
        <v>0.103333331644535</v>
      </c>
      <c r="N110" s="23">
        <v>9.9999997764825994E-3</v>
      </c>
      <c r="O110" s="24">
        <v>0.18666666746139499</v>
      </c>
      <c r="P110" s="23">
        <v>3.9999999105930301E-2</v>
      </c>
      <c r="Q110" s="24">
        <v>0.78666669130325295</v>
      </c>
      <c r="R110" s="25">
        <v>0</v>
      </c>
      <c r="S110" s="25">
        <v>0</v>
      </c>
      <c r="T110" s="25">
        <v>0.21</v>
      </c>
    </row>
    <row r="111" spans="1:20" x14ac:dyDescent="0.25">
      <c r="A111" s="8" t="s">
        <v>259</v>
      </c>
      <c r="B111" s="8" t="s">
        <v>260</v>
      </c>
      <c r="C111" s="8" t="s">
        <v>3540</v>
      </c>
      <c r="D111" s="8">
        <v>187</v>
      </c>
      <c r="E111" s="23">
        <v>0.33155080676078802</v>
      </c>
      <c r="F111" s="24">
        <v>0.66844922304153398</v>
      </c>
      <c r="G111" s="23">
        <v>0</v>
      </c>
      <c r="H111" s="23">
        <v>4.27807494997978E-2</v>
      </c>
      <c r="I111" s="24">
        <v>0.25133690237998901</v>
      </c>
      <c r="J111" s="24">
        <v>0.64705884456634499</v>
      </c>
      <c r="K111" s="23">
        <v>5.3475936874746999E-3</v>
      </c>
      <c r="L111" s="23">
        <v>0</v>
      </c>
      <c r="M111" s="23">
        <v>5.3475935012102099E-2</v>
      </c>
      <c r="N111" s="23">
        <v>0</v>
      </c>
      <c r="O111" s="24">
        <v>0.224598929286003</v>
      </c>
      <c r="P111" s="24">
        <v>0.21925133466720501</v>
      </c>
      <c r="Q111" s="24">
        <v>0.81283420324325495</v>
      </c>
      <c r="R111" s="25">
        <v>0</v>
      </c>
      <c r="S111" s="25">
        <v>5.3475935828877002E-3</v>
      </c>
      <c r="T111" s="25">
        <v>0.20855614973262032</v>
      </c>
    </row>
    <row r="112" spans="1:20" x14ac:dyDescent="0.25">
      <c r="A112" s="8" t="s">
        <v>261</v>
      </c>
      <c r="B112" s="8" t="s">
        <v>262</v>
      </c>
      <c r="C112" s="8" t="s">
        <v>3540</v>
      </c>
      <c r="D112" s="8">
        <v>361</v>
      </c>
      <c r="E112" s="24">
        <v>0.47091412544250399</v>
      </c>
      <c r="F112" s="24">
        <v>0.52908587455749501</v>
      </c>
      <c r="G112" s="23">
        <v>0</v>
      </c>
      <c r="H112" s="23">
        <v>6.9252081215381595E-2</v>
      </c>
      <c r="I112" s="24">
        <v>0.141274243593215</v>
      </c>
      <c r="J112" s="24">
        <v>0.73407202959060602</v>
      </c>
      <c r="K112" s="23">
        <v>0</v>
      </c>
      <c r="L112" s="23">
        <v>5.5401660501957E-3</v>
      </c>
      <c r="M112" s="23">
        <v>4.1551247239112903E-2</v>
      </c>
      <c r="N112" s="23">
        <v>8.3102490752934993E-3</v>
      </c>
      <c r="O112" s="23">
        <v>1.6620498150587099E-2</v>
      </c>
      <c r="P112" s="24">
        <v>0.86149585247039695</v>
      </c>
      <c r="Q112" s="24">
        <v>0.853185594081878</v>
      </c>
      <c r="R112" s="25">
        <v>0</v>
      </c>
      <c r="S112" s="25">
        <v>0</v>
      </c>
      <c r="T112" s="25">
        <v>1.3850415512465374E-2</v>
      </c>
    </row>
    <row r="113" spans="1:20" x14ac:dyDescent="0.25">
      <c r="A113" s="8" t="s">
        <v>263</v>
      </c>
      <c r="B113" s="8" t="s">
        <v>264</v>
      </c>
      <c r="C113" s="8" t="s">
        <v>3540</v>
      </c>
      <c r="D113" s="8">
        <v>393</v>
      </c>
      <c r="E113" s="24">
        <v>0.552162826061248</v>
      </c>
      <c r="F113" s="24">
        <v>0.447837144136428</v>
      </c>
      <c r="G113" s="23">
        <v>0</v>
      </c>
      <c r="H113" s="24">
        <v>0.167938932776451</v>
      </c>
      <c r="I113" s="24">
        <v>0.134860053658485</v>
      </c>
      <c r="J113" s="24">
        <v>0.51908397674560502</v>
      </c>
      <c r="K113" s="23">
        <v>1.52671756222844E-2</v>
      </c>
      <c r="L113" s="23">
        <v>5.0890585407615003E-3</v>
      </c>
      <c r="M113" s="24">
        <v>0.145038172602653</v>
      </c>
      <c r="N113" s="23">
        <v>1.27226458862424E-2</v>
      </c>
      <c r="O113" s="24">
        <v>0.190839692950248</v>
      </c>
      <c r="P113" s="23">
        <v>2.54452917724848E-2</v>
      </c>
      <c r="Q113" s="24">
        <v>0.66412216424942005</v>
      </c>
      <c r="R113" s="25">
        <v>0</v>
      </c>
      <c r="S113" s="25">
        <v>0</v>
      </c>
      <c r="T113" s="25">
        <v>0.17811704834605599</v>
      </c>
    </row>
    <row r="114" spans="1:20" x14ac:dyDescent="0.25">
      <c r="A114" s="8" t="s">
        <v>265</v>
      </c>
      <c r="B114" s="8" t="s">
        <v>266</v>
      </c>
      <c r="C114" s="8" t="s">
        <v>3540</v>
      </c>
      <c r="D114" s="8">
        <v>112</v>
      </c>
      <c r="E114" s="24">
        <v>0.73214286565780595</v>
      </c>
      <c r="F114" s="24">
        <v>0.26785713434219299</v>
      </c>
      <c r="G114" s="23">
        <v>0</v>
      </c>
      <c r="H114" s="24">
        <v>0.196428567171096</v>
      </c>
      <c r="I114" s="24">
        <v>0.196428567171096</v>
      </c>
      <c r="J114" s="24">
        <v>0.15178571641445099</v>
      </c>
      <c r="K114" s="23">
        <v>8.9285716414451599E-2</v>
      </c>
      <c r="L114" s="23">
        <v>8.9285718277097009E-3</v>
      </c>
      <c r="M114" s="24">
        <v>0.35714286565780601</v>
      </c>
      <c r="N114" s="23">
        <v>0</v>
      </c>
      <c r="O114" s="23">
        <v>7.1428574621677399E-2</v>
      </c>
      <c r="P114" s="23">
        <v>8.9285718277097009E-3</v>
      </c>
      <c r="Q114" s="24">
        <v>0.45535713434219299</v>
      </c>
      <c r="R114" s="25">
        <v>0</v>
      </c>
      <c r="S114" s="25">
        <v>0</v>
      </c>
      <c r="T114" s="25">
        <v>8.0357142857142863E-2</v>
      </c>
    </row>
    <row r="115" spans="1:20" x14ac:dyDescent="0.25">
      <c r="A115" s="8" t="s">
        <v>267</v>
      </c>
      <c r="B115" s="8" t="s">
        <v>268</v>
      </c>
      <c r="C115" s="8" t="s">
        <v>3540</v>
      </c>
      <c r="D115" s="8">
        <v>398</v>
      </c>
      <c r="E115" s="23">
        <v>0.5</v>
      </c>
      <c r="F115" s="23">
        <v>0.5</v>
      </c>
      <c r="G115" s="23">
        <v>0</v>
      </c>
      <c r="H115" s="23">
        <v>3.2663315534591703E-2</v>
      </c>
      <c r="I115" s="24">
        <v>0.26130652427673301</v>
      </c>
      <c r="J115" s="24">
        <v>0.59798997640609697</v>
      </c>
      <c r="K115" s="23">
        <v>7.5376885943115E-3</v>
      </c>
      <c r="L115" s="23">
        <v>7.5376885943115E-3</v>
      </c>
      <c r="M115" s="23">
        <v>9.2964820563793196E-2</v>
      </c>
      <c r="N115" s="23">
        <v>0</v>
      </c>
      <c r="O115" s="24">
        <v>0.25628140568733199</v>
      </c>
      <c r="P115" s="23">
        <v>6.5326631069183294E-2</v>
      </c>
      <c r="Q115" s="24">
        <v>0.81658291816711404</v>
      </c>
      <c r="R115" s="25">
        <v>0</v>
      </c>
      <c r="S115" s="25">
        <v>0</v>
      </c>
      <c r="T115" s="25">
        <v>0.24120603015075376</v>
      </c>
    </row>
    <row r="116" spans="1:20" x14ac:dyDescent="0.25">
      <c r="A116" s="8" t="s">
        <v>269</v>
      </c>
      <c r="B116" s="8" t="s">
        <v>270</v>
      </c>
      <c r="C116" s="8" t="s">
        <v>3540</v>
      </c>
      <c r="D116" s="8">
        <v>358</v>
      </c>
      <c r="E116" s="24">
        <v>0.491620123386383</v>
      </c>
      <c r="F116" s="24">
        <v>0.50837987661361606</v>
      </c>
      <c r="G116" s="23">
        <v>0</v>
      </c>
      <c r="H116" s="23">
        <v>5.5865921080112499E-2</v>
      </c>
      <c r="I116" s="24">
        <v>0.13128492236137301</v>
      </c>
      <c r="J116" s="24">
        <v>0.71229052543640103</v>
      </c>
      <c r="K116" s="23">
        <v>0</v>
      </c>
      <c r="L116" s="23">
        <v>8.3798887208103995E-3</v>
      </c>
      <c r="M116" s="23">
        <v>8.9385472238063798E-2</v>
      </c>
      <c r="N116" s="23">
        <v>2.7932960074395002E-3</v>
      </c>
      <c r="O116" s="23">
        <v>2.51396652311087E-2</v>
      </c>
      <c r="P116" s="24">
        <v>0.71508377790451005</v>
      </c>
      <c r="Q116" s="24">
        <v>0.87430167198181097</v>
      </c>
      <c r="R116" s="25">
        <v>8.3798882681564244E-3</v>
      </c>
      <c r="S116" s="25">
        <v>0</v>
      </c>
      <c r="T116" s="25">
        <v>2.23463687150838E-2</v>
      </c>
    </row>
    <row r="117" spans="1:20" x14ac:dyDescent="0.25">
      <c r="A117" s="8" t="s">
        <v>271</v>
      </c>
      <c r="B117" s="8" t="s">
        <v>272</v>
      </c>
      <c r="C117" s="8" t="s">
        <v>3540</v>
      </c>
      <c r="D117" s="8">
        <v>3266</v>
      </c>
      <c r="E117" s="24">
        <v>0.44121250510215698</v>
      </c>
      <c r="F117" s="24">
        <v>0.55848133563995295</v>
      </c>
      <c r="G117" s="23">
        <v>3.0618492746729999E-4</v>
      </c>
      <c r="H117" s="24">
        <v>0.718003690242767</v>
      </c>
      <c r="I117" s="23">
        <v>2.1126760169863701E-2</v>
      </c>
      <c r="J117" s="23">
        <v>4.31720763444901E-2</v>
      </c>
      <c r="K117" s="23">
        <v>4.9295775592327097E-2</v>
      </c>
      <c r="L117" s="23">
        <v>2.7556645218282999E-3</v>
      </c>
      <c r="M117" s="24">
        <v>0.16564604640007</v>
      </c>
      <c r="N117" s="23">
        <v>0</v>
      </c>
      <c r="O117" s="23">
        <v>1.92896500229836E-2</v>
      </c>
      <c r="P117" s="23">
        <v>3.0618492746729999E-4</v>
      </c>
      <c r="Q117" s="24">
        <v>0.49387630820274298</v>
      </c>
      <c r="R117" s="25">
        <v>0</v>
      </c>
      <c r="S117" s="25">
        <v>0</v>
      </c>
      <c r="T117" s="25">
        <v>1.8677281077770974E-2</v>
      </c>
    </row>
    <row r="118" spans="1:20" x14ac:dyDescent="0.25">
      <c r="A118" s="8" t="s">
        <v>273</v>
      </c>
      <c r="B118" s="8" t="s">
        <v>274</v>
      </c>
      <c r="C118" s="8" t="s">
        <v>3540</v>
      </c>
      <c r="D118" s="8">
        <v>645</v>
      </c>
      <c r="E118" s="24">
        <v>0.420155048370361</v>
      </c>
      <c r="F118" s="24">
        <v>0.57984495162963801</v>
      </c>
      <c r="G118" s="23">
        <v>0</v>
      </c>
      <c r="H118" s="24">
        <v>0.179844960570335</v>
      </c>
      <c r="I118" s="24">
        <v>0.179844960570335</v>
      </c>
      <c r="J118" s="24">
        <v>0.52093023061752297</v>
      </c>
      <c r="K118" s="23">
        <v>6.2015503644943003E-3</v>
      </c>
      <c r="L118" s="23">
        <v>1.2403100728988601E-2</v>
      </c>
      <c r="M118" s="23">
        <v>9.1472871601581601E-2</v>
      </c>
      <c r="N118" s="23">
        <v>9.3023255467414995E-3</v>
      </c>
      <c r="O118" s="24">
        <v>0.151937991380691</v>
      </c>
      <c r="P118" s="23">
        <v>5.1162790507078199E-2</v>
      </c>
      <c r="Q118" s="24">
        <v>0.79534882307052601</v>
      </c>
      <c r="R118" s="25">
        <v>0</v>
      </c>
      <c r="S118" s="25">
        <v>0</v>
      </c>
      <c r="T118" s="25">
        <v>0.14418604651162792</v>
      </c>
    </row>
    <row r="119" spans="1:20" x14ac:dyDescent="0.25">
      <c r="A119" s="8" t="s">
        <v>275</v>
      </c>
      <c r="B119" s="8" t="s">
        <v>276</v>
      </c>
      <c r="C119" s="8" t="s">
        <v>3540</v>
      </c>
      <c r="D119" s="8">
        <v>256</v>
      </c>
      <c r="E119" s="23">
        <v>0.4140625</v>
      </c>
      <c r="F119" s="23">
        <v>0.5859375</v>
      </c>
      <c r="G119" s="23">
        <v>0</v>
      </c>
      <c r="H119" s="23">
        <v>0.1171875</v>
      </c>
      <c r="I119" s="23">
        <v>0.14453125</v>
      </c>
      <c r="J119" s="23">
        <v>0.640625</v>
      </c>
      <c r="K119" s="23">
        <v>1.171875E-2</v>
      </c>
      <c r="L119" s="23">
        <v>1.5625E-2</v>
      </c>
      <c r="M119" s="23">
        <v>7.03125E-2</v>
      </c>
      <c r="N119" s="23">
        <v>0</v>
      </c>
      <c r="O119" s="23">
        <v>0.1796875</v>
      </c>
      <c r="P119" s="23">
        <v>0.2265625</v>
      </c>
      <c r="Q119" s="23">
        <v>0.859375</v>
      </c>
      <c r="R119" s="25">
        <v>0</v>
      </c>
      <c r="S119" s="25">
        <v>0</v>
      </c>
      <c r="T119" s="25">
        <v>0.1640625</v>
      </c>
    </row>
    <row r="120" spans="1:20" x14ac:dyDescent="0.25">
      <c r="A120" s="8" t="s">
        <v>277</v>
      </c>
      <c r="B120" s="8" t="s">
        <v>278</v>
      </c>
      <c r="C120" s="8" t="s">
        <v>3540</v>
      </c>
      <c r="D120" s="8">
        <v>405</v>
      </c>
      <c r="E120" s="24">
        <v>0.17037037014961201</v>
      </c>
      <c r="F120" s="24">
        <v>0.82962960004806496</v>
      </c>
      <c r="G120" s="23">
        <v>0</v>
      </c>
      <c r="H120" s="23">
        <v>7.1604937314987196E-2</v>
      </c>
      <c r="I120" s="24">
        <v>0.18765431642532299</v>
      </c>
      <c r="J120" s="23">
        <v>0.60493826866149902</v>
      </c>
      <c r="K120" s="23">
        <v>2.4691359139978998E-3</v>
      </c>
      <c r="L120" s="23">
        <v>1.2345679104328201E-2</v>
      </c>
      <c r="M120" s="24">
        <v>0.111111111938953</v>
      </c>
      <c r="N120" s="23">
        <v>9.8765436559915994E-3</v>
      </c>
      <c r="O120" s="24">
        <v>0.266666680574417</v>
      </c>
      <c r="P120" s="23">
        <v>3.4567900002002702E-2</v>
      </c>
      <c r="Q120" s="24">
        <v>0.69876545667648304</v>
      </c>
      <c r="R120" s="25">
        <v>0</v>
      </c>
      <c r="S120" s="25">
        <v>0</v>
      </c>
      <c r="T120" s="25">
        <v>0.25925925925925924</v>
      </c>
    </row>
    <row r="121" spans="1:20" x14ac:dyDescent="0.25">
      <c r="A121" s="8" t="s">
        <v>279</v>
      </c>
      <c r="B121" s="8" t="s">
        <v>280</v>
      </c>
      <c r="C121" s="8" t="s">
        <v>3540</v>
      </c>
      <c r="D121" s="8">
        <v>462</v>
      </c>
      <c r="E121" s="24">
        <v>0.74242424964904696</v>
      </c>
      <c r="F121" s="24">
        <v>0.25757575035095198</v>
      </c>
      <c r="G121" s="23">
        <v>0</v>
      </c>
      <c r="H121" s="23">
        <v>4.9783550202846499E-2</v>
      </c>
      <c r="I121" s="23">
        <v>0.190476194024086</v>
      </c>
      <c r="J121" s="24">
        <v>0.56709957122802701</v>
      </c>
      <c r="K121" s="23">
        <v>3.8961037993431098E-2</v>
      </c>
      <c r="L121" s="23">
        <v>4.3290043249726001E-3</v>
      </c>
      <c r="M121" s="24">
        <v>0.14285714924335399</v>
      </c>
      <c r="N121" s="23">
        <v>6.4935064874589001E-3</v>
      </c>
      <c r="O121" s="24">
        <v>0.18614718317985501</v>
      </c>
      <c r="P121" s="23">
        <v>1.5151515603065499E-2</v>
      </c>
      <c r="Q121" s="24">
        <v>0.66883116960525502</v>
      </c>
      <c r="R121" s="25">
        <v>2.1645021645021645E-3</v>
      </c>
      <c r="S121" s="25">
        <v>0</v>
      </c>
      <c r="T121" s="25">
        <v>0.17099567099567101</v>
      </c>
    </row>
    <row r="122" spans="1:20" x14ac:dyDescent="0.25">
      <c r="A122" s="8" t="s">
        <v>281</v>
      </c>
      <c r="B122" s="8" t="s">
        <v>282</v>
      </c>
      <c r="C122" s="8" t="s">
        <v>3540</v>
      </c>
      <c r="D122" s="8">
        <v>133</v>
      </c>
      <c r="E122" s="24">
        <v>0.390977442264556</v>
      </c>
      <c r="F122" s="24">
        <v>0.609022557735443</v>
      </c>
      <c r="G122" s="23">
        <v>0</v>
      </c>
      <c r="H122" s="23">
        <v>3.0075188726186801E-2</v>
      </c>
      <c r="I122" s="24">
        <v>0.360902249813079</v>
      </c>
      <c r="J122" s="23">
        <v>0.54887217283248901</v>
      </c>
      <c r="K122" s="23">
        <v>2.25563906133175E-2</v>
      </c>
      <c r="L122" s="23">
        <v>1.50375943630934E-2</v>
      </c>
      <c r="M122" s="23">
        <v>2.25563906133175E-2</v>
      </c>
      <c r="N122" s="23">
        <v>0</v>
      </c>
      <c r="O122" s="24">
        <v>0.14285714924335399</v>
      </c>
      <c r="P122" s="23">
        <v>4.5112781226635E-2</v>
      </c>
      <c r="Q122" s="23">
        <v>0.90225565433502197</v>
      </c>
      <c r="R122" s="25">
        <v>0</v>
      </c>
      <c r="S122" s="25">
        <v>0</v>
      </c>
      <c r="T122" s="25">
        <v>0.10526315789473684</v>
      </c>
    </row>
    <row r="123" spans="1:20" x14ac:dyDescent="0.25">
      <c r="A123" s="8" t="s">
        <v>283</v>
      </c>
      <c r="B123" s="8" t="s">
        <v>284</v>
      </c>
      <c r="C123" s="8" t="s">
        <v>3540</v>
      </c>
      <c r="D123" s="8">
        <v>382</v>
      </c>
      <c r="E123" s="24">
        <v>0.47643980383872903</v>
      </c>
      <c r="F123" s="24">
        <v>0.52356022596359197</v>
      </c>
      <c r="G123" s="23">
        <v>0</v>
      </c>
      <c r="H123" s="24">
        <v>0.13350784778594901</v>
      </c>
      <c r="I123" s="23">
        <v>4.9738220870494801E-2</v>
      </c>
      <c r="J123" s="24">
        <v>0.18324607610702501</v>
      </c>
      <c r="K123" s="23">
        <v>0.109947644174099</v>
      </c>
      <c r="L123" s="23">
        <v>2.6178010739385999E-3</v>
      </c>
      <c r="M123" s="23">
        <v>0.51832461357116699</v>
      </c>
      <c r="N123" s="23">
        <v>2.6178010739385999E-3</v>
      </c>
      <c r="O123" s="24">
        <v>0.26178011298179599</v>
      </c>
      <c r="P123" s="23">
        <v>5.4973822087049498E-2</v>
      </c>
      <c r="Q123" s="24">
        <v>0.217277482151985</v>
      </c>
      <c r="R123" s="25">
        <v>0</v>
      </c>
      <c r="S123" s="25">
        <v>0</v>
      </c>
      <c r="T123" s="25">
        <v>0.26701570680628273</v>
      </c>
    </row>
    <row r="124" spans="1:20" x14ac:dyDescent="0.25">
      <c r="A124" s="8" t="s">
        <v>285</v>
      </c>
      <c r="B124" s="8" t="s">
        <v>286</v>
      </c>
      <c r="C124" s="8" t="s">
        <v>3540</v>
      </c>
      <c r="D124" s="8">
        <v>316</v>
      </c>
      <c r="E124" s="24">
        <v>0.610759496688842</v>
      </c>
      <c r="F124" s="24">
        <v>0.389240503311157</v>
      </c>
      <c r="G124" s="23">
        <v>0</v>
      </c>
      <c r="H124" s="23">
        <v>3.48101258277893E-2</v>
      </c>
      <c r="I124" s="24">
        <v>0.19303797185420901</v>
      </c>
      <c r="J124" s="24">
        <v>0.68987339735031095</v>
      </c>
      <c r="K124" s="23">
        <v>3.1645570416003002E-3</v>
      </c>
      <c r="L124" s="23">
        <v>6.3291140832007001E-3</v>
      </c>
      <c r="M124" s="23">
        <v>6.6455699503421797E-2</v>
      </c>
      <c r="N124" s="23">
        <v>6.3291140832007001E-3</v>
      </c>
      <c r="O124" s="24">
        <v>0.19303797185420901</v>
      </c>
      <c r="P124" s="24">
        <v>0.139240503311157</v>
      </c>
      <c r="Q124" s="24">
        <v>0.84810125827789296</v>
      </c>
      <c r="R124" s="25">
        <v>0</v>
      </c>
      <c r="S124" s="25">
        <v>4.746835443037975E-2</v>
      </c>
      <c r="T124" s="25">
        <v>0.12974683544303797</v>
      </c>
    </row>
    <row r="125" spans="1:20" x14ac:dyDescent="0.25">
      <c r="A125" s="8" t="s">
        <v>287</v>
      </c>
      <c r="B125" s="8" t="s">
        <v>288</v>
      </c>
      <c r="C125" s="8" t="s">
        <v>3540</v>
      </c>
      <c r="D125" s="8">
        <v>204</v>
      </c>
      <c r="E125" s="23">
        <v>0.81372547149658203</v>
      </c>
      <c r="F125" s="24">
        <v>0.176470592617988</v>
      </c>
      <c r="G125" s="23">
        <v>9.8039219155907995E-3</v>
      </c>
      <c r="H125" s="23">
        <v>2.45098043233156E-2</v>
      </c>
      <c r="I125" s="24">
        <v>0.24509803950786499</v>
      </c>
      <c r="J125" s="24">
        <v>0.44607841968536299</v>
      </c>
      <c r="K125" s="23">
        <v>4.9019608646631199E-2</v>
      </c>
      <c r="L125" s="23">
        <v>1.4705882407724901E-2</v>
      </c>
      <c r="M125" s="23">
        <v>0.19607843458652499</v>
      </c>
      <c r="N125" s="23">
        <v>2.45098043233156E-2</v>
      </c>
      <c r="O125" s="24">
        <v>0.26470589637756298</v>
      </c>
      <c r="P125" s="23">
        <v>1.4705882407724901E-2</v>
      </c>
      <c r="Q125" s="24">
        <v>0.66666668653488104</v>
      </c>
      <c r="R125" s="25">
        <v>0</v>
      </c>
      <c r="S125" s="25">
        <v>0</v>
      </c>
      <c r="T125" s="25">
        <v>0.27450980392156865</v>
      </c>
    </row>
    <row r="126" spans="1:20" x14ac:dyDescent="0.25">
      <c r="A126" s="8" t="s">
        <v>289</v>
      </c>
      <c r="B126" s="8" t="s">
        <v>290</v>
      </c>
      <c r="C126" s="8" t="s">
        <v>3540</v>
      </c>
      <c r="D126" s="8">
        <v>520</v>
      </c>
      <c r="E126" s="23">
        <v>0.68269228935241699</v>
      </c>
      <c r="F126" s="24">
        <v>0.31730768084526001</v>
      </c>
      <c r="G126" s="23">
        <v>0</v>
      </c>
      <c r="H126" s="24">
        <v>0.15000000596046401</v>
      </c>
      <c r="I126" s="24">
        <v>0.153846159577369</v>
      </c>
      <c r="J126" s="23">
        <v>0.57499998807907104</v>
      </c>
      <c r="K126" s="23">
        <v>1.3461538590490801E-2</v>
      </c>
      <c r="L126" s="23">
        <v>1.7307693138718602E-2</v>
      </c>
      <c r="M126" s="23">
        <v>7.5000002980232197E-2</v>
      </c>
      <c r="N126" s="23">
        <v>1.53846153989434E-2</v>
      </c>
      <c r="O126" s="24">
        <v>0.13269230723381001</v>
      </c>
      <c r="P126" s="23">
        <v>6.73076957464218E-2</v>
      </c>
      <c r="Q126" s="24">
        <v>0.85769230127334495</v>
      </c>
      <c r="R126" s="25">
        <v>0</v>
      </c>
      <c r="S126" s="25">
        <v>3.8461538461538464E-3</v>
      </c>
      <c r="T126" s="25">
        <v>0.12115384615384615</v>
      </c>
    </row>
    <row r="127" spans="1:20" x14ac:dyDescent="0.25">
      <c r="A127" s="8" t="s">
        <v>291</v>
      </c>
      <c r="B127" s="8" t="s">
        <v>292</v>
      </c>
      <c r="C127" s="8" t="s">
        <v>3540</v>
      </c>
      <c r="D127" s="8">
        <v>370</v>
      </c>
      <c r="E127" s="24">
        <v>0.54324322938919001</v>
      </c>
      <c r="F127" s="24">
        <v>0.45675677061080899</v>
      </c>
      <c r="G127" s="23">
        <v>0</v>
      </c>
      <c r="H127" s="23">
        <v>5.40540553629398E-2</v>
      </c>
      <c r="I127" s="24">
        <v>0.23513513803482</v>
      </c>
      <c r="J127" s="24">
        <v>0.529729723930358</v>
      </c>
      <c r="K127" s="23">
        <v>1.6216216608881999E-2</v>
      </c>
      <c r="L127" s="23">
        <v>5.4054055362939999E-3</v>
      </c>
      <c r="M127" s="24">
        <v>0.12972973287105499</v>
      </c>
      <c r="N127" s="23">
        <v>2.97297295182943E-2</v>
      </c>
      <c r="O127" s="24">
        <v>0.28918918967246998</v>
      </c>
      <c r="P127" s="23">
        <v>5.40540553629398E-2</v>
      </c>
      <c r="Q127" s="24">
        <v>0.71621620655059803</v>
      </c>
      <c r="R127" s="25">
        <v>1.6216216216216217E-2</v>
      </c>
      <c r="S127" s="25">
        <v>2.7027027027027029E-3</v>
      </c>
      <c r="T127" s="25">
        <v>0.26216216216216215</v>
      </c>
    </row>
    <row r="128" spans="1:20" x14ac:dyDescent="0.25">
      <c r="A128" s="8" t="s">
        <v>293</v>
      </c>
      <c r="B128" s="8" t="s">
        <v>294</v>
      </c>
      <c r="C128" s="8" t="s">
        <v>3540</v>
      </c>
      <c r="D128" s="8">
        <v>395</v>
      </c>
      <c r="E128" s="24">
        <v>0.41265821456909102</v>
      </c>
      <c r="F128" s="24">
        <v>0.58734178543090798</v>
      </c>
      <c r="G128" s="23">
        <v>0</v>
      </c>
      <c r="H128" s="23">
        <v>0</v>
      </c>
      <c r="I128" s="23">
        <v>2.5316455867140999E-3</v>
      </c>
      <c r="J128" s="24">
        <v>0.98734176158904996</v>
      </c>
      <c r="K128" s="23">
        <v>0</v>
      </c>
      <c r="L128" s="23">
        <v>0</v>
      </c>
      <c r="M128" s="23">
        <v>0</v>
      </c>
      <c r="N128" s="23">
        <v>1.0126582346856599E-2</v>
      </c>
      <c r="O128" s="23">
        <v>7.8481011092662797E-2</v>
      </c>
      <c r="P128" s="24">
        <v>0.379746824502944</v>
      </c>
      <c r="Q128" s="24">
        <v>0.97215187549590998</v>
      </c>
      <c r="R128" s="25">
        <v>0</v>
      </c>
      <c r="S128" s="25">
        <v>0</v>
      </c>
      <c r="T128" s="25">
        <v>6.5822784810126586E-2</v>
      </c>
    </row>
    <row r="129" spans="1:20" x14ac:dyDescent="0.25">
      <c r="A129" s="8" t="s">
        <v>295</v>
      </c>
      <c r="B129" s="8" t="s">
        <v>296</v>
      </c>
      <c r="C129" s="8" t="s">
        <v>3540</v>
      </c>
      <c r="D129" s="8">
        <v>415</v>
      </c>
      <c r="E129" s="24">
        <v>0.71325302124023404</v>
      </c>
      <c r="F129" s="24">
        <v>0.28674697875976501</v>
      </c>
      <c r="G129" s="23">
        <v>0</v>
      </c>
      <c r="H129" s="23">
        <v>5.7831324636936202E-2</v>
      </c>
      <c r="I129" s="24">
        <v>0.27951806783676098</v>
      </c>
      <c r="J129" s="24">
        <v>0.60240966081619196</v>
      </c>
      <c r="K129" s="23">
        <v>1.20481923222542E-2</v>
      </c>
      <c r="L129" s="23">
        <v>1.20481923222542E-2</v>
      </c>
      <c r="M129" s="23">
        <v>3.3734939992427798E-2</v>
      </c>
      <c r="N129" s="23">
        <v>2.4096386041491998E-3</v>
      </c>
      <c r="O129" s="24">
        <v>0.25301206111907898</v>
      </c>
      <c r="P129" s="23">
        <v>5.3012046962976497E-2</v>
      </c>
      <c r="Q129" s="24">
        <v>0.84578311443328802</v>
      </c>
      <c r="R129" s="25">
        <v>0</v>
      </c>
      <c r="S129" s="25">
        <v>0</v>
      </c>
      <c r="T129" s="25">
        <v>0.25542168674698795</v>
      </c>
    </row>
    <row r="130" spans="1:20" x14ac:dyDescent="0.25">
      <c r="A130" s="8" t="s">
        <v>297</v>
      </c>
      <c r="B130" s="8" t="s">
        <v>298</v>
      </c>
      <c r="C130" s="8" t="s">
        <v>3540</v>
      </c>
      <c r="D130" s="8">
        <v>270</v>
      </c>
      <c r="E130" s="24">
        <v>0.42962962388992298</v>
      </c>
      <c r="F130" s="24">
        <v>0.57037037611007602</v>
      </c>
      <c r="G130" s="23">
        <v>0</v>
      </c>
      <c r="H130" s="23">
        <v>1.8518518656492199E-2</v>
      </c>
      <c r="I130" s="24">
        <v>0.35925924777984602</v>
      </c>
      <c r="J130" s="24">
        <v>0.57777780294418302</v>
      </c>
      <c r="K130" s="23">
        <v>3.7037036381662E-3</v>
      </c>
      <c r="L130" s="23">
        <v>1.48148145526648E-2</v>
      </c>
      <c r="M130" s="23">
        <v>2.5925925001501999E-2</v>
      </c>
      <c r="N130" s="23">
        <v>0</v>
      </c>
      <c r="O130" s="24">
        <v>0.30370369553565901</v>
      </c>
      <c r="P130" s="24">
        <v>0.244444444775581</v>
      </c>
      <c r="Q130" s="24">
        <v>0.92222219705581598</v>
      </c>
      <c r="R130" s="25">
        <v>3.7037037037037038E-3</v>
      </c>
      <c r="S130" s="25">
        <v>0</v>
      </c>
      <c r="T130" s="25">
        <v>0.24074074074074073</v>
      </c>
    </row>
    <row r="131" spans="1:20" x14ac:dyDescent="0.25">
      <c r="A131" s="8" t="s">
        <v>299</v>
      </c>
      <c r="B131" s="8" t="s">
        <v>300</v>
      </c>
      <c r="C131" s="8" t="s">
        <v>3540</v>
      </c>
      <c r="D131" s="8">
        <v>363</v>
      </c>
      <c r="E131" s="24">
        <v>0.48484849929809498</v>
      </c>
      <c r="F131" s="24">
        <v>0.51515150070190396</v>
      </c>
      <c r="G131" s="23">
        <v>0</v>
      </c>
      <c r="H131" s="23">
        <v>0.93663913011550903</v>
      </c>
      <c r="I131" s="23">
        <v>8.2644624635576994E-3</v>
      </c>
      <c r="J131" s="23">
        <v>1.92837473005056E-2</v>
      </c>
      <c r="K131" s="23">
        <v>8.2644624635576994E-3</v>
      </c>
      <c r="L131" s="23">
        <v>5.5096419528127003E-3</v>
      </c>
      <c r="M131" s="23">
        <v>1.92837473005056E-2</v>
      </c>
      <c r="N131" s="23">
        <v>2.7548209764062998E-3</v>
      </c>
      <c r="O131" s="23">
        <v>4.9586776643991498E-2</v>
      </c>
      <c r="P131" s="24">
        <v>0.11845730245113301</v>
      </c>
      <c r="Q131" s="24">
        <v>0.77134984731674106</v>
      </c>
      <c r="R131" s="25">
        <v>0</v>
      </c>
      <c r="S131" s="25">
        <v>0</v>
      </c>
      <c r="T131" s="25">
        <v>4.9586776859504134E-2</v>
      </c>
    </row>
    <row r="132" spans="1:20" x14ac:dyDescent="0.25">
      <c r="A132" s="8" t="s">
        <v>301</v>
      </c>
      <c r="B132" s="8" t="s">
        <v>302</v>
      </c>
      <c r="C132" s="8" t="s">
        <v>3540</v>
      </c>
      <c r="D132" s="8">
        <v>441</v>
      </c>
      <c r="E132" s="24">
        <v>0.17460317909717499</v>
      </c>
      <c r="F132" s="24">
        <v>0.82539683580398504</v>
      </c>
      <c r="G132" s="23">
        <v>0</v>
      </c>
      <c r="H132" s="24">
        <v>0.15646257996559099</v>
      </c>
      <c r="I132" s="24">
        <v>0.25396826863288802</v>
      </c>
      <c r="J132" s="24">
        <v>0.51473921537399203</v>
      </c>
      <c r="K132" s="23">
        <v>1.5873016789555501E-2</v>
      </c>
      <c r="L132" s="23">
        <v>4.5351474545896001E-3</v>
      </c>
      <c r="M132" s="23">
        <v>4.9886621534824399E-2</v>
      </c>
      <c r="N132" s="23">
        <v>4.5351474545896001E-3</v>
      </c>
      <c r="O132" s="24">
        <v>0.25623583793640098</v>
      </c>
      <c r="P132" s="23">
        <v>6.1224490404129001E-2</v>
      </c>
      <c r="Q132" s="24">
        <v>0.834467113018035</v>
      </c>
      <c r="R132" s="25">
        <v>2.2675736961451248E-3</v>
      </c>
      <c r="S132" s="25">
        <v>0</v>
      </c>
      <c r="T132" s="25">
        <v>0.2471655328798186</v>
      </c>
    </row>
    <row r="133" spans="1:20" x14ac:dyDescent="0.25">
      <c r="A133" s="8" t="s">
        <v>303</v>
      </c>
      <c r="B133" s="8" t="s">
        <v>304</v>
      </c>
      <c r="C133" s="8" t="s">
        <v>3540</v>
      </c>
      <c r="D133" s="8">
        <v>461</v>
      </c>
      <c r="E133" s="24">
        <v>0.36659437417983998</v>
      </c>
      <c r="F133" s="24">
        <v>0.63340562582015902</v>
      </c>
      <c r="G133" s="23">
        <v>0</v>
      </c>
      <c r="H133" s="23">
        <v>2.6030369102954899E-2</v>
      </c>
      <c r="I133" s="24">
        <v>0.29501083493232699</v>
      </c>
      <c r="J133" s="24">
        <v>0.62039047479629505</v>
      </c>
      <c r="K133" s="23">
        <v>0</v>
      </c>
      <c r="L133" s="23">
        <v>2.1691974252462001E-3</v>
      </c>
      <c r="M133" s="23">
        <v>5.6399133056402199E-2</v>
      </c>
      <c r="N133" s="23">
        <v>0</v>
      </c>
      <c r="O133" s="23">
        <v>1.3015184551477399E-2</v>
      </c>
      <c r="P133" s="24">
        <v>0.87418657541275002</v>
      </c>
      <c r="Q133" s="24">
        <v>0.89587855339050204</v>
      </c>
      <c r="R133" s="25">
        <v>0</v>
      </c>
      <c r="S133" s="25">
        <v>0</v>
      </c>
      <c r="T133" s="25">
        <v>8.6767895878524948E-3</v>
      </c>
    </row>
    <row r="134" spans="1:20" x14ac:dyDescent="0.25">
      <c r="A134" s="8" t="s">
        <v>305</v>
      </c>
      <c r="B134" s="8" t="s">
        <v>306</v>
      </c>
      <c r="C134" s="8" t="s">
        <v>3540</v>
      </c>
      <c r="D134" s="8">
        <v>518</v>
      </c>
      <c r="E134" s="24">
        <v>0.30308881402015603</v>
      </c>
      <c r="F134" s="24">
        <v>0.69691121578216497</v>
      </c>
      <c r="G134" s="23">
        <v>0</v>
      </c>
      <c r="H134" s="23">
        <v>5.0193049013614703E-2</v>
      </c>
      <c r="I134" s="24">
        <v>0.15830115973949399</v>
      </c>
      <c r="J134" s="24">
        <v>0.40926641225814803</v>
      </c>
      <c r="K134" s="23">
        <v>6.5637066960334806E-2</v>
      </c>
      <c r="L134" s="23">
        <v>7.7220075763761997E-3</v>
      </c>
      <c r="M134" s="24">
        <v>0.29729729890823298</v>
      </c>
      <c r="N134" s="23">
        <v>1.15830115973949E-2</v>
      </c>
      <c r="O134" s="24">
        <v>0.29150578379630998</v>
      </c>
      <c r="P134" s="23">
        <v>3.0888030305504799E-2</v>
      </c>
      <c r="Q134" s="24">
        <v>0.62162160873412997</v>
      </c>
      <c r="R134" s="25">
        <v>0</v>
      </c>
      <c r="S134" s="25">
        <v>3.8610038610038611E-3</v>
      </c>
      <c r="T134" s="25">
        <v>0.2606177606177606</v>
      </c>
    </row>
    <row r="135" spans="1:20" x14ac:dyDescent="0.25">
      <c r="A135" s="8" t="s">
        <v>307</v>
      </c>
      <c r="B135" s="8" t="s">
        <v>308</v>
      </c>
      <c r="C135" s="8" t="s">
        <v>3540</v>
      </c>
      <c r="D135" s="8">
        <v>545</v>
      </c>
      <c r="E135" s="24">
        <v>0.48990824818611101</v>
      </c>
      <c r="F135" s="24">
        <v>0.50825685262679998</v>
      </c>
      <c r="G135" s="23">
        <v>1.8348623998463E-3</v>
      </c>
      <c r="H135" s="23">
        <v>3.3027522265911102E-2</v>
      </c>
      <c r="I135" s="24">
        <v>0.30825689435005099</v>
      </c>
      <c r="J135" s="24">
        <v>0.48623853921890198</v>
      </c>
      <c r="K135" s="23">
        <v>2.2018348798155798E-2</v>
      </c>
      <c r="L135" s="23">
        <v>1.28440363332629E-2</v>
      </c>
      <c r="M135" s="24">
        <v>0.13761468231678001</v>
      </c>
      <c r="N135" s="23">
        <v>0</v>
      </c>
      <c r="O135" s="24">
        <v>0.39082568883895802</v>
      </c>
      <c r="P135" s="23">
        <v>5.8715596795082099E-2</v>
      </c>
      <c r="Q135" s="24">
        <v>0.78715598583221402</v>
      </c>
      <c r="R135" s="25">
        <v>1.834862385321101E-3</v>
      </c>
      <c r="S135" s="25">
        <v>0</v>
      </c>
      <c r="T135" s="25">
        <v>0.31743119266055048</v>
      </c>
    </row>
    <row r="136" spans="1:20" x14ac:dyDescent="0.25">
      <c r="A136" s="8" t="s">
        <v>309</v>
      </c>
      <c r="B136" s="8" t="s">
        <v>310</v>
      </c>
      <c r="C136" s="8" t="s">
        <v>3540</v>
      </c>
      <c r="D136" s="8">
        <v>131</v>
      </c>
      <c r="E136" s="24">
        <v>0.64885497093200595</v>
      </c>
      <c r="F136" s="24">
        <v>0.343511462211608</v>
      </c>
      <c r="G136" s="23">
        <v>7.6335878111422001E-3</v>
      </c>
      <c r="H136" s="23">
        <v>7.6335878111422001E-3</v>
      </c>
      <c r="I136" s="23">
        <v>0.22137404978275299</v>
      </c>
      <c r="J136" s="24">
        <v>0.42748090624809199</v>
      </c>
      <c r="K136" s="23">
        <v>7.6335877180099501E-2</v>
      </c>
      <c r="L136" s="23">
        <v>0</v>
      </c>
      <c r="M136" s="24">
        <v>0.26717558503150901</v>
      </c>
      <c r="N136" s="23">
        <v>0</v>
      </c>
      <c r="O136" s="24">
        <v>0.23664122819900499</v>
      </c>
      <c r="P136" s="23">
        <v>2.2900763899087899E-2</v>
      </c>
      <c r="Q136" s="24">
        <v>0.55725193023681596</v>
      </c>
      <c r="R136" s="25">
        <v>0</v>
      </c>
      <c r="S136" s="25">
        <v>0</v>
      </c>
      <c r="T136" s="25">
        <v>0.19847328244274809</v>
      </c>
    </row>
    <row r="137" spans="1:20" x14ac:dyDescent="0.25">
      <c r="A137" s="8" t="s">
        <v>311</v>
      </c>
      <c r="B137" s="8" t="s">
        <v>312</v>
      </c>
      <c r="C137" s="8" t="s">
        <v>3540</v>
      </c>
      <c r="D137" s="8">
        <v>148</v>
      </c>
      <c r="E137" s="24">
        <v>0.56081080436706499</v>
      </c>
      <c r="F137" s="24">
        <v>0.43918919563293402</v>
      </c>
      <c r="G137" s="23">
        <v>0</v>
      </c>
      <c r="H137" s="23">
        <v>1.3513513840735E-2</v>
      </c>
      <c r="I137" s="23">
        <v>0.27702704071998602</v>
      </c>
      <c r="J137" s="24">
        <v>0.68918919563293402</v>
      </c>
      <c r="K137" s="23">
        <v>6.7567569203675001E-3</v>
      </c>
      <c r="L137" s="23">
        <v>0</v>
      </c>
      <c r="M137" s="23">
        <v>1.3513513840735E-2</v>
      </c>
      <c r="N137" s="23">
        <v>0</v>
      </c>
      <c r="O137" s="24">
        <v>0.35135135054588301</v>
      </c>
      <c r="P137" s="23">
        <v>8.1081077456474304E-2</v>
      </c>
      <c r="Q137" s="23">
        <v>0.912162184715271</v>
      </c>
      <c r="R137" s="25">
        <v>6.7567567567567571E-3</v>
      </c>
      <c r="S137" s="25">
        <v>0</v>
      </c>
      <c r="T137" s="25">
        <v>0.3108108108108108</v>
      </c>
    </row>
    <row r="138" spans="1:20" x14ac:dyDescent="0.25">
      <c r="A138" s="8" t="s">
        <v>313</v>
      </c>
      <c r="B138" s="8" t="s">
        <v>314</v>
      </c>
      <c r="C138" s="8" t="s">
        <v>3540</v>
      </c>
      <c r="D138" s="8">
        <v>709</v>
      </c>
      <c r="E138" s="23">
        <v>0.36671367287635798</v>
      </c>
      <c r="F138" s="24">
        <v>0.63328629732131902</v>
      </c>
      <c r="G138" s="23">
        <v>0</v>
      </c>
      <c r="H138" s="23">
        <v>5.0775740295648603E-2</v>
      </c>
      <c r="I138" s="24">
        <v>0.41889986395835799</v>
      </c>
      <c r="J138" s="24">
        <v>0.490832149982452</v>
      </c>
      <c r="K138" s="23">
        <v>0</v>
      </c>
      <c r="L138" s="23">
        <v>2.8208745643496999E-3</v>
      </c>
      <c r="M138" s="23">
        <v>3.6671366542577702E-2</v>
      </c>
      <c r="N138" s="23">
        <v>0</v>
      </c>
      <c r="O138" s="23">
        <v>5.5007051676511799E-2</v>
      </c>
      <c r="P138" s="24">
        <v>0.78279268741607599</v>
      </c>
      <c r="Q138" s="24">
        <v>0.93088859319686801</v>
      </c>
      <c r="R138" s="25">
        <v>0</v>
      </c>
      <c r="S138" s="25">
        <v>0</v>
      </c>
      <c r="T138" s="25">
        <v>5.0775740479548657E-2</v>
      </c>
    </row>
    <row r="139" spans="1:20" x14ac:dyDescent="0.25">
      <c r="A139" s="8" t="s">
        <v>315</v>
      </c>
      <c r="B139" s="8" t="s">
        <v>316</v>
      </c>
      <c r="C139" s="8" t="s">
        <v>3540</v>
      </c>
      <c r="D139" s="8">
        <v>407</v>
      </c>
      <c r="E139" s="24">
        <v>0.62162160873412997</v>
      </c>
      <c r="F139" s="24">
        <v>0.37837839126586897</v>
      </c>
      <c r="G139" s="23">
        <v>0</v>
      </c>
      <c r="H139" s="24">
        <v>0.120393119752407</v>
      </c>
      <c r="I139" s="24">
        <v>0.16461916267871801</v>
      </c>
      <c r="J139" s="24">
        <v>0.38083538413047702</v>
      </c>
      <c r="K139" s="23">
        <v>4.42260429263115E-2</v>
      </c>
      <c r="L139" s="23">
        <v>9.8280096426606005E-3</v>
      </c>
      <c r="M139" s="24">
        <v>0.25552824139594998</v>
      </c>
      <c r="N139" s="23">
        <v>2.4570023640990299E-2</v>
      </c>
      <c r="O139" s="23">
        <v>0.19901719689369199</v>
      </c>
      <c r="P139" s="23">
        <v>5.40540553629398E-2</v>
      </c>
      <c r="Q139" s="23">
        <v>0.60196560621261597</v>
      </c>
      <c r="R139" s="25">
        <v>0</v>
      </c>
      <c r="S139" s="25">
        <v>0</v>
      </c>
      <c r="T139" s="25">
        <v>0.19164619164619165</v>
      </c>
    </row>
    <row r="140" spans="1:20" x14ac:dyDescent="0.25">
      <c r="A140" s="8" t="s">
        <v>317</v>
      </c>
      <c r="B140" s="8" t="s">
        <v>318</v>
      </c>
      <c r="C140" s="8" t="s">
        <v>3540</v>
      </c>
      <c r="D140" s="8">
        <v>94</v>
      </c>
      <c r="E140" s="23">
        <v>0.52127659320831299</v>
      </c>
      <c r="F140" s="24">
        <v>0.42553192377090399</v>
      </c>
      <c r="G140" s="23">
        <v>5.3191490471363102E-2</v>
      </c>
      <c r="H140" s="23">
        <v>3.1914893537759802E-2</v>
      </c>
      <c r="I140" s="24">
        <v>0.159574463963508</v>
      </c>
      <c r="J140" s="24">
        <v>0.61702126264572099</v>
      </c>
      <c r="K140" s="23">
        <v>3.1914893537759802E-2</v>
      </c>
      <c r="L140" s="23">
        <v>0</v>
      </c>
      <c r="M140" s="24">
        <v>0.13829787075519501</v>
      </c>
      <c r="N140" s="23">
        <v>2.1276595070958099E-2</v>
      </c>
      <c r="O140" s="23">
        <v>0.43617022037506098</v>
      </c>
      <c r="P140" s="23">
        <v>4.2553190141916303E-2</v>
      </c>
      <c r="Q140" s="24">
        <v>0.80851066112518299</v>
      </c>
      <c r="R140" s="25">
        <v>1.0638297872340425E-2</v>
      </c>
      <c r="S140" s="25">
        <v>1.0638297872340425E-2</v>
      </c>
      <c r="T140" s="25">
        <v>0.36170212765957449</v>
      </c>
    </row>
    <row r="141" spans="1:20" x14ac:dyDescent="0.25">
      <c r="A141" s="8" t="s">
        <v>319</v>
      </c>
      <c r="B141" s="8" t="s">
        <v>320</v>
      </c>
      <c r="C141" s="8" t="s">
        <v>3540</v>
      </c>
      <c r="D141" s="8">
        <v>1446</v>
      </c>
      <c r="E141" s="24">
        <v>0.87551867961883501</v>
      </c>
      <c r="F141" s="24">
        <v>0.124481327831745</v>
      </c>
      <c r="G141" s="23">
        <v>0</v>
      </c>
      <c r="H141" s="23">
        <v>4.0110651403665501E-2</v>
      </c>
      <c r="I141" s="24">
        <v>0.28699862957000699</v>
      </c>
      <c r="J141" s="24">
        <v>0.59336102008819502</v>
      </c>
      <c r="K141" s="23">
        <v>1.1065007187426101E-2</v>
      </c>
      <c r="L141" s="23">
        <v>8.9903185144067001E-3</v>
      </c>
      <c r="M141" s="23">
        <v>5.2558783441781998E-2</v>
      </c>
      <c r="N141" s="23">
        <v>6.9156293757260002E-3</v>
      </c>
      <c r="O141" s="24">
        <v>0.18118949234485601</v>
      </c>
      <c r="P141" s="23">
        <v>1.8672199919819801E-2</v>
      </c>
      <c r="Q141" s="24">
        <v>0.80221301317214899</v>
      </c>
      <c r="R141" s="25">
        <v>6.9156293222683268E-4</v>
      </c>
      <c r="S141" s="25">
        <v>1.7980636237897647E-2</v>
      </c>
      <c r="T141" s="25">
        <v>0.15767634854771784</v>
      </c>
    </row>
    <row r="142" spans="1:20" x14ac:dyDescent="0.25">
      <c r="A142" s="8" t="s">
        <v>321</v>
      </c>
      <c r="B142" s="8" t="s">
        <v>322</v>
      </c>
      <c r="C142" s="8" t="s">
        <v>3540</v>
      </c>
      <c r="D142" s="8">
        <v>268</v>
      </c>
      <c r="E142" s="24">
        <v>0.54104477167129505</v>
      </c>
      <c r="F142" s="24">
        <v>0.458955228328704</v>
      </c>
      <c r="G142" s="23">
        <v>0</v>
      </c>
      <c r="H142" s="23">
        <v>7.0895522832870497E-2</v>
      </c>
      <c r="I142" s="23">
        <v>0.14179104566574099</v>
      </c>
      <c r="J142" s="24">
        <v>0.55970150232314997</v>
      </c>
      <c r="K142" s="23">
        <v>1.49253727868199E-2</v>
      </c>
      <c r="L142" s="23">
        <v>0</v>
      </c>
      <c r="M142" s="24">
        <v>0.17164179682731601</v>
      </c>
      <c r="N142" s="23">
        <v>4.1044775396585499E-2</v>
      </c>
      <c r="O142" s="23">
        <v>0.23880596458911901</v>
      </c>
      <c r="P142" s="23">
        <v>5.2238807082176202E-2</v>
      </c>
      <c r="Q142" s="24">
        <v>0.67910450696945102</v>
      </c>
      <c r="R142" s="25">
        <v>0</v>
      </c>
      <c r="S142" s="25">
        <v>0</v>
      </c>
      <c r="T142" s="25">
        <v>0.22761194029850745</v>
      </c>
    </row>
    <row r="143" spans="1:20" x14ac:dyDescent="0.25">
      <c r="A143" s="8" t="s">
        <v>323</v>
      </c>
      <c r="B143" s="8" t="s">
        <v>324</v>
      </c>
      <c r="C143" s="8" t="s">
        <v>3540</v>
      </c>
      <c r="D143" s="8">
        <v>388</v>
      </c>
      <c r="E143" s="24">
        <v>0.368556708097457</v>
      </c>
      <c r="F143" s="24">
        <v>0.63144332170486395</v>
      </c>
      <c r="G143" s="23">
        <v>0</v>
      </c>
      <c r="H143" s="23">
        <v>0.11082474142312999</v>
      </c>
      <c r="I143" s="24">
        <v>0.260309278964996</v>
      </c>
      <c r="J143" s="24">
        <v>0.55412369966506902</v>
      </c>
      <c r="K143" s="23">
        <v>1.03092780336738E-2</v>
      </c>
      <c r="L143" s="23">
        <v>5.1546390168368999E-3</v>
      </c>
      <c r="M143" s="23">
        <v>5.1546391099691398E-2</v>
      </c>
      <c r="N143" s="23">
        <v>7.7319587580859999E-3</v>
      </c>
      <c r="O143" s="24">
        <v>0.27061855792999201</v>
      </c>
      <c r="P143" s="23">
        <v>8.2474224269390106E-2</v>
      </c>
      <c r="Q143" s="24">
        <v>0.85309278964996305</v>
      </c>
      <c r="R143" s="25">
        <v>0</v>
      </c>
      <c r="S143" s="25">
        <v>7.7319587628865982E-3</v>
      </c>
      <c r="T143" s="25">
        <v>0.2422680412371134</v>
      </c>
    </row>
    <row r="144" spans="1:20" x14ac:dyDescent="0.25">
      <c r="A144" s="8" t="s">
        <v>325</v>
      </c>
      <c r="B144" s="8" t="s">
        <v>326</v>
      </c>
      <c r="C144" s="8" t="s">
        <v>3540</v>
      </c>
      <c r="D144" s="8">
        <v>1490</v>
      </c>
      <c r="E144" s="24">
        <v>0.69328856468200595</v>
      </c>
      <c r="F144" s="24">
        <v>0.30335569381713801</v>
      </c>
      <c r="G144" s="23">
        <v>3.3557047136128001E-3</v>
      </c>
      <c r="H144" s="23">
        <v>8.9932888746261597E-2</v>
      </c>
      <c r="I144" s="23">
        <v>0.124161072075367</v>
      </c>
      <c r="J144" s="24">
        <v>0.40201342105865401</v>
      </c>
      <c r="K144" s="23">
        <v>6.6442951560020405E-2</v>
      </c>
      <c r="L144" s="23">
        <v>3.3557047136128001E-3</v>
      </c>
      <c r="M144" s="24">
        <v>0.30469799041748002</v>
      </c>
      <c r="N144" s="23">
        <v>9.3959728255867993E-3</v>
      </c>
      <c r="O144" s="24">
        <v>0.22617450356483401</v>
      </c>
      <c r="P144" s="23">
        <v>8.7248319759964995E-3</v>
      </c>
      <c r="Q144" s="24">
        <v>0.46778523921966497</v>
      </c>
      <c r="R144" s="25">
        <v>0</v>
      </c>
      <c r="S144" s="25">
        <v>1.2080536912751677E-2</v>
      </c>
      <c r="T144" s="25">
        <v>0.20671140939597316</v>
      </c>
    </row>
    <row r="145" spans="1:20" x14ac:dyDescent="0.25">
      <c r="A145" s="8" t="s">
        <v>327</v>
      </c>
      <c r="B145" s="8" t="s">
        <v>328</v>
      </c>
      <c r="C145" s="8" t="s">
        <v>3540</v>
      </c>
      <c r="D145" s="8">
        <v>380</v>
      </c>
      <c r="E145" s="24">
        <v>0.528947353363037</v>
      </c>
      <c r="F145" s="24">
        <v>0.47105261683464</v>
      </c>
      <c r="G145" s="23">
        <v>0</v>
      </c>
      <c r="H145" s="23">
        <v>5.26315793395042E-2</v>
      </c>
      <c r="I145" s="24">
        <v>0.22631579637527399</v>
      </c>
      <c r="J145" s="24">
        <v>0.61315786838531405</v>
      </c>
      <c r="K145" s="23">
        <v>7.8947367146611006E-3</v>
      </c>
      <c r="L145" s="23">
        <v>1.31578948348761E-2</v>
      </c>
      <c r="M145" s="23">
        <v>5.5263157933950403E-2</v>
      </c>
      <c r="N145" s="23">
        <v>3.1578946858644499E-2</v>
      </c>
      <c r="O145" s="24">
        <v>0.24210526049137099</v>
      </c>
      <c r="P145" s="24">
        <v>0.105263158679008</v>
      </c>
      <c r="Q145" s="23">
        <v>0.87894737720489502</v>
      </c>
      <c r="R145" s="25">
        <v>2.631578947368421E-3</v>
      </c>
      <c r="S145" s="25">
        <v>2.6315789473684209E-2</v>
      </c>
      <c r="T145" s="25">
        <v>0.21052631578947367</v>
      </c>
    </row>
    <row r="146" spans="1:20" x14ac:dyDescent="0.25">
      <c r="A146" s="8" t="s">
        <v>329</v>
      </c>
      <c r="B146" s="8" t="s">
        <v>330</v>
      </c>
      <c r="C146" s="8" t="s">
        <v>3540</v>
      </c>
      <c r="D146" s="8">
        <v>312</v>
      </c>
      <c r="E146" s="24">
        <v>0.49358972907066301</v>
      </c>
      <c r="F146" s="24">
        <v>0.50641024112701405</v>
      </c>
      <c r="G146" s="23">
        <v>0</v>
      </c>
      <c r="H146" s="23">
        <v>0.23397435247898099</v>
      </c>
      <c r="I146" s="23">
        <v>9.2948719859123202E-2</v>
      </c>
      <c r="J146" s="24">
        <v>0.30448716878890902</v>
      </c>
      <c r="K146" s="23">
        <v>5.7692307978868498E-2</v>
      </c>
      <c r="L146" s="23">
        <v>0</v>
      </c>
      <c r="M146" s="24">
        <v>0.31089743971824602</v>
      </c>
      <c r="N146" s="23">
        <v>0</v>
      </c>
      <c r="O146" s="24">
        <v>0.27564102411270103</v>
      </c>
      <c r="P146" s="23">
        <v>0.115384615957737</v>
      </c>
      <c r="Q146" s="24">
        <v>0.51282054185867298</v>
      </c>
      <c r="R146" s="25">
        <v>9.6153846153846159E-3</v>
      </c>
      <c r="S146" s="25">
        <v>2.8846153846153848E-2</v>
      </c>
      <c r="T146" s="25">
        <v>0.25320512820512819</v>
      </c>
    </row>
    <row r="147" spans="1:20" x14ac:dyDescent="0.25">
      <c r="A147" s="8" t="s">
        <v>331</v>
      </c>
      <c r="B147" s="8" t="s">
        <v>332</v>
      </c>
      <c r="C147" s="8" t="s">
        <v>3540</v>
      </c>
      <c r="D147" s="8">
        <v>529</v>
      </c>
      <c r="E147" s="24">
        <v>0.51606804132461503</v>
      </c>
      <c r="F147" s="24">
        <v>0.48393195867538402</v>
      </c>
      <c r="G147" s="23">
        <v>0</v>
      </c>
      <c r="H147" s="23">
        <v>8.6956523358821897E-2</v>
      </c>
      <c r="I147" s="23">
        <v>2.64650285243988E-2</v>
      </c>
      <c r="J147" s="24">
        <v>0.153119087219238</v>
      </c>
      <c r="K147" s="24">
        <v>0.10586011409759501</v>
      </c>
      <c r="L147" s="23">
        <v>3.7807184271513999E-3</v>
      </c>
      <c r="M147" s="24">
        <v>0.61436671018600397</v>
      </c>
      <c r="N147" s="23">
        <v>9.4517963007092008E-3</v>
      </c>
      <c r="O147" s="24">
        <v>0.19281663000583599</v>
      </c>
      <c r="P147" s="23">
        <v>5.29300570487976E-2</v>
      </c>
      <c r="Q147" s="24">
        <v>0.14744801819324399</v>
      </c>
      <c r="R147" s="25">
        <v>3.780718336483932E-3</v>
      </c>
      <c r="S147" s="25">
        <v>0</v>
      </c>
      <c r="T147" s="25">
        <v>0.20037807183364839</v>
      </c>
    </row>
    <row r="148" spans="1:20" x14ac:dyDescent="0.25">
      <c r="A148" s="8" t="s">
        <v>333</v>
      </c>
      <c r="B148" s="8" t="s">
        <v>334</v>
      </c>
      <c r="C148" s="8" t="s">
        <v>3540</v>
      </c>
      <c r="D148" s="8">
        <v>719</v>
      </c>
      <c r="E148" s="24">
        <v>0.48678719997406</v>
      </c>
      <c r="F148" s="23">
        <v>0.50904035568237305</v>
      </c>
      <c r="G148" s="23">
        <v>4.1724615730344998E-3</v>
      </c>
      <c r="H148" s="24">
        <v>0.126564666628837</v>
      </c>
      <c r="I148" s="23">
        <v>8.3449237048625904E-2</v>
      </c>
      <c r="J148" s="24">
        <v>0.203059807419776</v>
      </c>
      <c r="K148" s="24">
        <v>0.107093185186386</v>
      </c>
      <c r="L148" s="23">
        <v>1.3908206019551E-3</v>
      </c>
      <c r="M148" s="24">
        <v>0.467315703630447</v>
      </c>
      <c r="N148" s="23">
        <v>1.1126564815640399E-2</v>
      </c>
      <c r="O148" s="24">
        <v>0.136300414800643</v>
      </c>
      <c r="P148" s="23">
        <v>1.52990268543363E-2</v>
      </c>
      <c r="Q148" s="24">
        <v>0.22670374810695601</v>
      </c>
      <c r="R148" s="25">
        <v>3.4770514603616132E-2</v>
      </c>
      <c r="S148" s="25">
        <v>0</v>
      </c>
      <c r="T148" s="25">
        <v>0.10570236439499305</v>
      </c>
    </row>
    <row r="149" spans="1:20" x14ac:dyDescent="0.25">
      <c r="A149" s="8" t="s">
        <v>335</v>
      </c>
      <c r="B149" s="8" t="s">
        <v>336</v>
      </c>
      <c r="C149" s="8" t="s">
        <v>3540</v>
      </c>
      <c r="D149" s="8">
        <v>467</v>
      </c>
      <c r="E149" s="24">
        <v>0.46038544178009</v>
      </c>
      <c r="F149" s="24">
        <v>0.53747326135635298</v>
      </c>
      <c r="G149" s="23">
        <v>2.1413275972009E-3</v>
      </c>
      <c r="H149" s="23">
        <v>3.6402568221092203E-2</v>
      </c>
      <c r="I149" s="24">
        <v>0.14346894621848999</v>
      </c>
      <c r="J149" s="23">
        <v>0.55674517154693604</v>
      </c>
      <c r="K149" s="23">
        <v>3.6402568221092203E-2</v>
      </c>
      <c r="L149" s="23">
        <v>6.4239827916026003E-3</v>
      </c>
      <c r="M149" s="24">
        <v>0.220556750893592</v>
      </c>
      <c r="N149" s="23">
        <v>0</v>
      </c>
      <c r="O149" s="24">
        <v>0.42826551198959301</v>
      </c>
      <c r="P149" s="24">
        <v>0.21199142932891801</v>
      </c>
      <c r="Q149" s="24">
        <v>0.67665952444076505</v>
      </c>
      <c r="R149" s="25">
        <v>4.9250535331905779E-2</v>
      </c>
      <c r="S149" s="25">
        <v>0</v>
      </c>
      <c r="T149" s="25">
        <v>0.39400428265524623</v>
      </c>
    </row>
    <row r="150" spans="1:20" x14ac:dyDescent="0.25">
      <c r="A150" s="8" t="s">
        <v>3541</v>
      </c>
      <c r="B150" s="8"/>
      <c r="C150" s="8" t="s">
        <v>3540</v>
      </c>
      <c r="D150" s="8">
        <v>238</v>
      </c>
      <c r="E150" s="24">
        <v>0.46638655662536599</v>
      </c>
      <c r="F150" s="24">
        <v>0.53361344337463301</v>
      </c>
      <c r="G150" s="23">
        <v>0</v>
      </c>
      <c r="H150" s="23">
        <v>4.2016808874904997E-3</v>
      </c>
      <c r="I150" s="24">
        <v>0.52100843191146795</v>
      </c>
      <c r="J150" s="24">
        <v>0.36134454607963501</v>
      </c>
      <c r="K150" s="23">
        <v>4.2016808874904997E-3</v>
      </c>
      <c r="L150" s="23">
        <v>4.2016808874904997E-3</v>
      </c>
      <c r="M150" s="24">
        <v>0.10504201799631099</v>
      </c>
      <c r="N150" s="23">
        <v>0</v>
      </c>
      <c r="O150" s="24">
        <v>0.243697479367256</v>
      </c>
      <c r="P150" s="24">
        <v>0.159663870930671</v>
      </c>
      <c r="Q150" s="23">
        <v>0.97058820724487305</v>
      </c>
      <c r="R150" s="25">
        <v>7.9831932773109238E-2</v>
      </c>
      <c r="S150" s="25">
        <v>4.2016806722689074E-3</v>
      </c>
      <c r="T150" s="25">
        <v>0.15966386554621848</v>
      </c>
    </row>
    <row r="151" spans="1:20" x14ac:dyDescent="0.25">
      <c r="A151" s="8" t="s">
        <v>337</v>
      </c>
      <c r="B151" s="8" t="s">
        <v>338</v>
      </c>
      <c r="C151" s="8" t="s">
        <v>3540</v>
      </c>
      <c r="D151" s="8">
        <v>692</v>
      </c>
      <c r="E151" s="24">
        <v>0.55780345201492298</v>
      </c>
      <c r="F151" s="24">
        <v>0.44219651818275402</v>
      </c>
      <c r="G151" s="23">
        <v>0</v>
      </c>
      <c r="H151" s="23">
        <v>2.4566473439335799E-2</v>
      </c>
      <c r="I151" s="24">
        <v>0.106936417520046</v>
      </c>
      <c r="J151" s="24">
        <v>0.29479768872260997</v>
      </c>
      <c r="K151" s="23">
        <v>7.0809245109558105E-2</v>
      </c>
      <c r="L151" s="23">
        <v>2.8901733458042002E-3</v>
      </c>
      <c r="M151" s="23">
        <v>0.5</v>
      </c>
      <c r="N151" s="23">
        <v>0</v>
      </c>
      <c r="O151" s="24">
        <v>0.187861278653144</v>
      </c>
      <c r="P151" s="23">
        <v>9.9710986018180806E-2</v>
      </c>
      <c r="Q151" s="24">
        <v>0.33959537744522</v>
      </c>
      <c r="R151" s="25">
        <v>4.6242774566473986E-2</v>
      </c>
      <c r="S151" s="25">
        <v>1.4450867052023121E-3</v>
      </c>
      <c r="T151" s="25">
        <v>0.12861271676300579</v>
      </c>
    </row>
    <row r="152" spans="1:20" x14ac:dyDescent="0.25">
      <c r="A152" s="8" t="s">
        <v>339</v>
      </c>
      <c r="B152" s="8" t="s">
        <v>340</v>
      </c>
      <c r="C152" s="8" t="s">
        <v>3540</v>
      </c>
      <c r="D152" s="8">
        <v>755</v>
      </c>
      <c r="E152" s="24">
        <v>0.49668875336647</v>
      </c>
      <c r="F152" s="24">
        <v>0.50331127643585205</v>
      </c>
      <c r="G152" s="23">
        <v>0</v>
      </c>
      <c r="H152" s="23">
        <v>8.3443708717823001E-2</v>
      </c>
      <c r="I152" s="23">
        <v>3.1788080930709797E-2</v>
      </c>
      <c r="J152" s="24">
        <v>0.17748343944549499</v>
      </c>
      <c r="K152" s="24">
        <v>0.105960264801979</v>
      </c>
      <c r="L152" s="23">
        <v>2.6490066666156002E-3</v>
      </c>
      <c r="M152" s="24">
        <v>0.59602648019790605</v>
      </c>
      <c r="N152" s="23">
        <v>2.6490066666156002E-3</v>
      </c>
      <c r="O152" s="24">
        <v>0.170860931277275</v>
      </c>
      <c r="P152" s="23">
        <v>6.0927152633666999E-2</v>
      </c>
      <c r="Q152" s="24">
        <v>0.13245032727718301</v>
      </c>
      <c r="R152" s="25">
        <v>0</v>
      </c>
      <c r="S152" s="25">
        <v>0</v>
      </c>
      <c r="T152" s="25">
        <v>0.17218543046357615</v>
      </c>
    </row>
    <row r="153" spans="1:20" x14ac:dyDescent="0.25">
      <c r="A153" s="8" t="s">
        <v>341</v>
      </c>
      <c r="B153" s="8" t="s">
        <v>342</v>
      </c>
      <c r="C153" s="8" t="s">
        <v>3540</v>
      </c>
      <c r="D153" s="8">
        <v>483</v>
      </c>
      <c r="E153" s="24">
        <v>0.49896481633186301</v>
      </c>
      <c r="F153" s="24">
        <v>0.49896481633186301</v>
      </c>
      <c r="G153" s="23">
        <v>2.0703934133052999E-3</v>
      </c>
      <c r="H153" s="23">
        <v>2.8985507786274001E-2</v>
      </c>
      <c r="I153" s="24">
        <v>0.20082814991474099</v>
      </c>
      <c r="J153" s="24">
        <v>0.46583852171897799</v>
      </c>
      <c r="K153" s="23">
        <v>2.0703934133052802E-2</v>
      </c>
      <c r="L153" s="23">
        <v>2.0703934133052999E-3</v>
      </c>
      <c r="M153" s="24">
        <v>0.28157350420951799</v>
      </c>
      <c r="N153" s="23">
        <v>0</v>
      </c>
      <c r="O153" s="24">
        <v>0.213250517845153</v>
      </c>
      <c r="P153" s="24">
        <v>0.22360248863696999</v>
      </c>
      <c r="Q153" s="24">
        <v>0.753623187541961</v>
      </c>
      <c r="R153" s="25">
        <v>4.9689440993788817E-2</v>
      </c>
      <c r="S153" s="25">
        <v>0</v>
      </c>
      <c r="T153" s="25">
        <v>0.17598343685300208</v>
      </c>
    </row>
    <row r="154" spans="1:20" x14ac:dyDescent="0.25">
      <c r="A154" s="8" t="s">
        <v>343</v>
      </c>
      <c r="B154" s="8" t="s">
        <v>344</v>
      </c>
      <c r="C154" s="8" t="s">
        <v>3540</v>
      </c>
      <c r="D154" s="8">
        <v>255</v>
      </c>
      <c r="E154" s="24">
        <v>0.50588238239288297</v>
      </c>
      <c r="F154" s="24">
        <v>0.49411764740943898</v>
      </c>
      <c r="G154" s="23">
        <v>0</v>
      </c>
      <c r="H154" s="23">
        <v>3.5294119268655798E-2</v>
      </c>
      <c r="I154" s="24">
        <v>0.42352941632270802</v>
      </c>
      <c r="J154" s="24">
        <v>0.48627451062202398</v>
      </c>
      <c r="K154" s="23">
        <v>7.8431377187370994E-3</v>
      </c>
      <c r="L154" s="23">
        <v>1.1764706112444401E-2</v>
      </c>
      <c r="M154" s="23">
        <v>3.5294119268655798E-2</v>
      </c>
      <c r="N154" s="23">
        <v>0</v>
      </c>
      <c r="O154" s="23">
        <v>0.32156863808631903</v>
      </c>
      <c r="P154" s="24">
        <v>0.20000000298023199</v>
      </c>
      <c r="Q154" s="24">
        <v>0.93725490570068304</v>
      </c>
      <c r="R154" s="25">
        <v>0.10588235294117647</v>
      </c>
      <c r="S154" s="25">
        <v>0</v>
      </c>
      <c r="T154" s="25">
        <v>0.24705882352941178</v>
      </c>
    </row>
    <row r="155" spans="1:20" x14ac:dyDescent="0.25">
      <c r="A155" s="8" t="s">
        <v>346</v>
      </c>
      <c r="B155" s="8" t="s">
        <v>347</v>
      </c>
      <c r="C155" s="8" t="s">
        <v>3540</v>
      </c>
      <c r="D155" s="8">
        <v>465</v>
      </c>
      <c r="E155" s="24">
        <v>0.507526874542236</v>
      </c>
      <c r="F155" s="24">
        <v>0.49032258987426702</v>
      </c>
      <c r="G155" s="23">
        <v>2.1505376789719001E-3</v>
      </c>
      <c r="H155" s="23">
        <v>5.1612902432680102E-2</v>
      </c>
      <c r="I155" s="24">
        <v>0.15483871102332999</v>
      </c>
      <c r="J155" s="24">
        <v>0.63870966434478704</v>
      </c>
      <c r="K155" s="23">
        <v>2.58064512163401E-2</v>
      </c>
      <c r="L155" s="23">
        <v>0</v>
      </c>
      <c r="M155" s="24">
        <v>0.12903225421905501</v>
      </c>
      <c r="N155" s="23">
        <v>0</v>
      </c>
      <c r="O155" s="24">
        <v>0.19569893181324</v>
      </c>
      <c r="P155" s="24">
        <v>0.260215044021606</v>
      </c>
      <c r="Q155" s="24">
        <v>0.670967757701873</v>
      </c>
      <c r="R155" s="25">
        <v>4.3010752688172043E-3</v>
      </c>
      <c r="S155" s="25">
        <v>0</v>
      </c>
      <c r="T155" s="25">
        <v>0.1913978494623656</v>
      </c>
    </row>
    <row r="156" spans="1:20" x14ac:dyDescent="0.25">
      <c r="A156" s="8" t="s">
        <v>348</v>
      </c>
      <c r="B156" s="8" t="s">
        <v>349</v>
      </c>
      <c r="C156" s="8" t="s">
        <v>3540</v>
      </c>
      <c r="D156" s="8">
        <v>459</v>
      </c>
      <c r="E156" s="23">
        <v>0.52941179275512695</v>
      </c>
      <c r="F156" s="24">
        <v>0.47058823704719499</v>
      </c>
      <c r="G156" s="23">
        <v>0</v>
      </c>
      <c r="H156" s="23">
        <v>8.7145969271659907E-2</v>
      </c>
      <c r="I156" s="24">
        <v>0.13289760053157801</v>
      </c>
      <c r="J156" s="24">
        <v>0.45533770322799599</v>
      </c>
      <c r="K156" s="23">
        <v>3.9215687662363101E-2</v>
      </c>
      <c r="L156" s="23">
        <v>4.3572983704507004E-3</v>
      </c>
      <c r="M156" s="23">
        <v>0.27886709570884699</v>
      </c>
      <c r="N156" s="23">
        <v>2.1786491852254001E-3</v>
      </c>
      <c r="O156" s="24">
        <v>0.20043572783470101</v>
      </c>
      <c r="P156" s="23">
        <v>9.1503269970416995E-2</v>
      </c>
      <c r="Q156" s="24">
        <v>0.55773419141769398</v>
      </c>
      <c r="R156" s="25">
        <v>8.7145969498910684E-3</v>
      </c>
      <c r="S156" s="25">
        <v>3.9215686274509803E-2</v>
      </c>
      <c r="T156" s="25">
        <v>0.15686274509803921</v>
      </c>
    </row>
    <row r="157" spans="1:20" x14ac:dyDescent="0.25">
      <c r="A157" s="8" t="s">
        <v>351</v>
      </c>
      <c r="B157" s="8" t="s">
        <v>352</v>
      </c>
      <c r="C157" s="8" t="s">
        <v>3540</v>
      </c>
      <c r="D157" s="8">
        <v>609</v>
      </c>
      <c r="E157" s="24">
        <v>0.48932677507400502</v>
      </c>
      <c r="F157" s="24">
        <v>0.51067322492599398</v>
      </c>
      <c r="G157" s="23">
        <v>0</v>
      </c>
      <c r="H157" s="23">
        <v>0.128078818321228</v>
      </c>
      <c r="I157" s="23">
        <v>4.59770113229752E-2</v>
      </c>
      <c r="J157" s="24">
        <v>0.16420361399650499</v>
      </c>
      <c r="K157" s="24">
        <v>0.11494252830743699</v>
      </c>
      <c r="L157" s="23">
        <v>3.2840722706168998E-3</v>
      </c>
      <c r="M157" s="23">
        <v>0.52380955219268799</v>
      </c>
      <c r="N157" s="23">
        <v>1.9704433158040002E-2</v>
      </c>
      <c r="O157" s="24">
        <v>0.12972085177898399</v>
      </c>
      <c r="P157" s="23">
        <v>5.0903119146823897E-2</v>
      </c>
      <c r="Q157" s="24">
        <v>0.19868637621402699</v>
      </c>
      <c r="R157" s="25">
        <v>0</v>
      </c>
      <c r="S157" s="25">
        <v>0</v>
      </c>
      <c r="T157" s="25">
        <v>0.13300492610837439</v>
      </c>
    </row>
    <row r="158" spans="1:20" x14ac:dyDescent="0.25">
      <c r="A158" s="8" t="s">
        <v>353</v>
      </c>
      <c r="B158" s="8" t="s">
        <v>354</v>
      </c>
      <c r="C158" s="8" t="s">
        <v>3540</v>
      </c>
      <c r="D158" s="8">
        <v>356</v>
      </c>
      <c r="E158" s="24">
        <v>0.55337077379226596</v>
      </c>
      <c r="F158" s="24">
        <v>0.44662922620773299</v>
      </c>
      <c r="G158" s="23">
        <v>0</v>
      </c>
      <c r="H158" s="23">
        <v>1.40449441969395E-2</v>
      </c>
      <c r="I158" s="24">
        <v>0.48595505952835</v>
      </c>
      <c r="J158" s="24">
        <v>0.38483145833015397</v>
      </c>
      <c r="K158" s="23">
        <v>2.8089887928218001E-3</v>
      </c>
      <c r="L158" s="23">
        <v>2.8089887928218001E-3</v>
      </c>
      <c r="M158" s="24">
        <v>0.109550565481185</v>
      </c>
      <c r="N158" s="23">
        <v>0</v>
      </c>
      <c r="O158" s="24">
        <v>0.227528095245361</v>
      </c>
      <c r="P158" s="24">
        <v>0.16011236608028401</v>
      </c>
      <c r="Q158" s="24">
        <v>0.79494380950927701</v>
      </c>
      <c r="R158" s="25">
        <v>5.8988764044943819E-2</v>
      </c>
      <c r="S158" s="25">
        <v>2.8089887640449437E-3</v>
      </c>
      <c r="T158" s="25">
        <v>0.17415730337078653</v>
      </c>
    </row>
    <row r="159" spans="1:20" x14ac:dyDescent="0.25">
      <c r="A159" s="8" t="s">
        <v>355</v>
      </c>
      <c r="B159" s="8" t="s">
        <v>356</v>
      </c>
      <c r="C159" s="8" t="s">
        <v>3540</v>
      </c>
      <c r="D159" s="8">
        <v>329</v>
      </c>
      <c r="E159" s="24">
        <v>0.45288753509521401</v>
      </c>
      <c r="F159" s="24">
        <v>0.54711246490478505</v>
      </c>
      <c r="G159" s="23">
        <v>0</v>
      </c>
      <c r="H159" s="23">
        <v>2.4316109716892201E-2</v>
      </c>
      <c r="I159" s="24">
        <v>0.28267475962638799</v>
      </c>
      <c r="J159" s="24">
        <v>0.38297873735427801</v>
      </c>
      <c r="K159" s="24">
        <v>0.115501523017883</v>
      </c>
      <c r="L159" s="23">
        <v>6.0790274292230996E-3</v>
      </c>
      <c r="M159" s="24">
        <v>0.18844984471797899</v>
      </c>
      <c r="N159" s="23">
        <v>0</v>
      </c>
      <c r="O159" s="24">
        <v>0.21276596188545199</v>
      </c>
      <c r="P159" s="23">
        <v>4.2553190141916303E-2</v>
      </c>
      <c r="Q159" s="24">
        <v>0.59878420829772905</v>
      </c>
      <c r="R159" s="25">
        <v>6.9908814589665649E-2</v>
      </c>
      <c r="S159" s="25">
        <v>0</v>
      </c>
      <c r="T159" s="25">
        <v>0.11854103343465046</v>
      </c>
    </row>
    <row r="160" spans="1:20" x14ac:dyDescent="0.25">
      <c r="A160" s="8" t="s">
        <v>357</v>
      </c>
      <c r="B160" s="8" t="s">
        <v>358</v>
      </c>
      <c r="C160" s="8" t="s">
        <v>3540</v>
      </c>
      <c r="D160" s="8">
        <v>492</v>
      </c>
      <c r="E160" s="24">
        <v>0.46951219439506497</v>
      </c>
      <c r="F160" s="24">
        <v>0.53048777580261197</v>
      </c>
      <c r="G160" s="23">
        <v>0</v>
      </c>
      <c r="H160" s="23">
        <v>5.0813008099794402E-2</v>
      </c>
      <c r="I160" s="24">
        <v>0.176829263567924</v>
      </c>
      <c r="J160" s="24">
        <v>0.65853661298751798</v>
      </c>
      <c r="K160" s="23">
        <v>1.6260161995887801E-2</v>
      </c>
      <c r="L160" s="23">
        <v>2.0325202494859999E-3</v>
      </c>
      <c r="M160" s="23">
        <v>8.7398372590541798E-2</v>
      </c>
      <c r="N160" s="23">
        <v>8.1300809979439007E-3</v>
      </c>
      <c r="O160" s="24">
        <v>0.215447157621383</v>
      </c>
      <c r="P160" s="24">
        <v>0.34349593520164401</v>
      </c>
      <c r="Q160" s="24">
        <v>0.86382114887237504</v>
      </c>
      <c r="R160" s="25">
        <v>2.4390243902439025E-2</v>
      </c>
      <c r="S160" s="25">
        <v>0</v>
      </c>
      <c r="T160" s="25">
        <v>0.17682926829268292</v>
      </c>
    </row>
    <row r="161" spans="1:20" x14ac:dyDescent="0.25">
      <c r="A161" s="8" t="s">
        <v>359</v>
      </c>
      <c r="B161" s="8" t="s">
        <v>360</v>
      </c>
      <c r="C161" s="8" t="s">
        <v>3540</v>
      </c>
      <c r="D161" s="8">
        <v>575</v>
      </c>
      <c r="E161" s="24">
        <v>0.52521741390228205</v>
      </c>
      <c r="F161" s="24">
        <v>0.47478261590003901</v>
      </c>
      <c r="G161" s="23">
        <v>0</v>
      </c>
      <c r="H161" s="24">
        <v>0.194782614707946</v>
      </c>
      <c r="I161" s="23">
        <v>4.1739132255315801E-2</v>
      </c>
      <c r="J161" s="24">
        <v>0.18434782326221399</v>
      </c>
      <c r="K161" s="23">
        <v>6.7826084792613997E-2</v>
      </c>
      <c r="L161" s="23">
        <v>3.4782609436661001E-3</v>
      </c>
      <c r="M161" s="24">
        <v>0.506086945533752</v>
      </c>
      <c r="N161" s="23">
        <v>1.7391304718330999E-3</v>
      </c>
      <c r="O161" s="24">
        <v>0.194782614707946</v>
      </c>
      <c r="P161" s="23">
        <v>0.104347825050354</v>
      </c>
      <c r="Q161" s="24">
        <v>0.24521739780902799</v>
      </c>
      <c r="R161" s="25">
        <v>1.7391304347826087E-2</v>
      </c>
      <c r="S161" s="25">
        <v>0</v>
      </c>
      <c r="T161" s="25">
        <v>0.17913043478260871</v>
      </c>
    </row>
    <row r="162" spans="1:20" x14ac:dyDescent="0.25">
      <c r="A162" s="8" t="s">
        <v>361</v>
      </c>
      <c r="B162" s="8" t="s">
        <v>362</v>
      </c>
      <c r="C162" s="8" t="s">
        <v>3540</v>
      </c>
      <c r="D162" s="8">
        <v>142</v>
      </c>
      <c r="E162" s="23">
        <v>0.5</v>
      </c>
      <c r="F162" s="23">
        <v>0.5</v>
      </c>
      <c r="G162" s="23">
        <v>0</v>
      </c>
      <c r="H162" s="23">
        <v>1.4084506779909099E-2</v>
      </c>
      <c r="I162" s="24">
        <v>0.53521126508712702</v>
      </c>
      <c r="J162" s="24">
        <v>0.394366204738616</v>
      </c>
      <c r="K162" s="23">
        <v>1.4084506779909099E-2</v>
      </c>
      <c r="L162" s="23">
        <v>2.1126760169863701E-2</v>
      </c>
      <c r="M162" s="23">
        <v>2.1126760169863701E-2</v>
      </c>
      <c r="N162" s="23">
        <v>0</v>
      </c>
      <c r="O162" s="24">
        <v>0.27464789152145302</v>
      </c>
      <c r="P162" s="24">
        <v>0.21830986440181699</v>
      </c>
      <c r="Q162" s="24">
        <v>0.94366198778152399</v>
      </c>
      <c r="R162" s="25">
        <v>4.9295774647887321E-2</v>
      </c>
      <c r="S162" s="25">
        <v>0</v>
      </c>
      <c r="T162" s="25">
        <v>0.22535211267605634</v>
      </c>
    </row>
    <row r="163" spans="1:20" x14ac:dyDescent="0.25">
      <c r="A163" s="8" t="s">
        <v>363</v>
      </c>
      <c r="B163" s="8" t="s">
        <v>364</v>
      </c>
      <c r="C163" s="8" t="s">
        <v>3540</v>
      </c>
      <c r="D163" s="8">
        <v>147</v>
      </c>
      <c r="E163" s="24">
        <v>0.489795923233032</v>
      </c>
      <c r="F163" s="24">
        <v>0.503401339054107</v>
      </c>
      <c r="G163" s="23">
        <v>6.8027209490537999E-3</v>
      </c>
      <c r="H163" s="23">
        <v>2.04081628471613E-2</v>
      </c>
      <c r="I163" s="24">
        <v>0.34013605117797802</v>
      </c>
      <c r="J163" s="24">
        <v>0.61904764175414995</v>
      </c>
      <c r="K163" s="23">
        <v>1.3605441898107499E-2</v>
      </c>
      <c r="L163" s="23">
        <v>0</v>
      </c>
      <c r="M163" s="23">
        <v>6.8027209490537999E-3</v>
      </c>
      <c r="N163" s="23">
        <v>0</v>
      </c>
      <c r="O163" s="24">
        <v>0.115646257996559</v>
      </c>
      <c r="P163" s="24">
        <v>0.40816327929496699</v>
      </c>
      <c r="Q163" s="24">
        <v>0.95238095521926802</v>
      </c>
      <c r="R163" s="25">
        <v>0</v>
      </c>
      <c r="S163" s="25">
        <v>1.3605442176870748E-2</v>
      </c>
      <c r="T163" s="25">
        <v>0.11564625850340136</v>
      </c>
    </row>
    <row r="164" spans="1:20" x14ac:dyDescent="0.25">
      <c r="A164" s="8" t="s">
        <v>365</v>
      </c>
      <c r="B164" s="8" t="s">
        <v>366</v>
      </c>
      <c r="C164" s="8" t="s">
        <v>3540</v>
      </c>
      <c r="D164" s="8">
        <v>246</v>
      </c>
      <c r="E164" s="24">
        <v>0.53658539056777899</v>
      </c>
      <c r="F164" s="24">
        <v>0.46341463923454201</v>
      </c>
      <c r="G164" s="23">
        <v>0</v>
      </c>
      <c r="H164" s="23">
        <v>8.1300809979438796E-2</v>
      </c>
      <c r="I164" s="24">
        <v>0.109756097197532</v>
      </c>
      <c r="J164" s="24">
        <v>0.15853658318519501</v>
      </c>
      <c r="K164" s="23">
        <v>8.1300809979438796E-2</v>
      </c>
      <c r="L164" s="23">
        <v>0</v>
      </c>
      <c r="M164" s="24">
        <v>0.56097561120986905</v>
      </c>
      <c r="N164" s="23">
        <v>8.1300809979439007E-3</v>
      </c>
      <c r="O164" s="24">
        <v>0.27235773205757102</v>
      </c>
      <c r="P164" s="23">
        <v>8.1300809979439007E-3</v>
      </c>
      <c r="Q164" s="24">
        <v>0.207317069172859</v>
      </c>
      <c r="R164" s="25">
        <v>0</v>
      </c>
      <c r="S164" s="25">
        <v>0</v>
      </c>
      <c r="T164" s="25">
        <v>0.27642276422764228</v>
      </c>
    </row>
    <row r="165" spans="1:20" x14ac:dyDescent="0.25">
      <c r="A165" s="8" t="s">
        <v>367</v>
      </c>
      <c r="B165" s="8" t="s">
        <v>368</v>
      </c>
      <c r="C165" s="8" t="s">
        <v>3540</v>
      </c>
      <c r="D165" s="8">
        <v>370</v>
      </c>
      <c r="E165" s="24">
        <v>0.49459460377693099</v>
      </c>
      <c r="F165" s="24">
        <v>0.50540542602538996</v>
      </c>
      <c r="G165" s="23">
        <v>0</v>
      </c>
      <c r="H165" s="23">
        <v>4.5945946127176299E-2</v>
      </c>
      <c r="I165" s="24">
        <v>0.113513514399528</v>
      </c>
      <c r="J165" s="24">
        <v>0.29189190268516502</v>
      </c>
      <c r="K165" s="23">
        <v>8.3783783018589006E-2</v>
      </c>
      <c r="L165" s="23">
        <v>8.1081083044409995E-3</v>
      </c>
      <c r="M165" s="24">
        <v>0.448648661375045</v>
      </c>
      <c r="N165" s="23">
        <v>8.1081083044409995E-3</v>
      </c>
      <c r="O165" s="24">
        <v>0.21081081032752899</v>
      </c>
      <c r="P165" s="23">
        <v>1.8918918445706399E-2</v>
      </c>
      <c r="Q165" s="24">
        <v>0.345945954322814</v>
      </c>
      <c r="R165" s="25">
        <v>0</v>
      </c>
      <c r="S165" s="25">
        <v>0</v>
      </c>
      <c r="T165" s="25">
        <v>0.21081081081081082</v>
      </c>
    </row>
    <row r="166" spans="1:20" x14ac:dyDescent="0.25">
      <c r="A166" s="8" t="s">
        <v>369</v>
      </c>
      <c r="B166" s="8" t="s">
        <v>370</v>
      </c>
      <c r="C166" s="8" t="s">
        <v>3540</v>
      </c>
      <c r="D166" s="8">
        <v>164</v>
      </c>
      <c r="E166" s="24">
        <v>0.48780488967895502</v>
      </c>
      <c r="F166" s="24">
        <v>0.51219511032104403</v>
      </c>
      <c r="G166" s="23">
        <v>0</v>
      </c>
      <c r="H166" s="23">
        <v>6.0975607484579E-3</v>
      </c>
      <c r="I166" s="23">
        <v>1.8292682245373702E-2</v>
      </c>
      <c r="J166" s="23">
        <v>0.957317054271698</v>
      </c>
      <c r="K166" s="23">
        <v>0</v>
      </c>
      <c r="L166" s="23">
        <v>0</v>
      </c>
      <c r="M166" s="23">
        <v>1.8292682245373702E-2</v>
      </c>
      <c r="N166" s="23">
        <v>0</v>
      </c>
      <c r="O166" s="24">
        <v>0.18902438879013</v>
      </c>
      <c r="P166" s="24">
        <v>0.58536583185195901</v>
      </c>
      <c r="Q166" s="24">
        <v>0.92682927846908503</v>
      </c>
      <c r="R166" s="25">
        <v>6.0975609756097563E-3</v>
      </c>
      <c r="S166" s="25">
        <v>0</v>
      </c>
      <c r="T166" s="25">
        <v>0.18902439024390244</v>
      </c>
    </row>
    <row r="167" spans="1:20" x14ac:dyDescent="0.25">
      <c r="A167" s="8" t="s">
        <v>371</v>
      </c>
      <c r="B167" s="8" t="s">
        <v>372</v>
      </c>
      <c r="C167" s="8" t="s">
        <v>3540</v>
      </c>
      <c r="D167" s="8">
        <v>199</v>
      </c>
      <c r="E167" s="24">
        <v>0.47738692164420998</v>
      </c>
      <c r="F167" s="24">
        <v>0.52261304855346602</v>
      </c>
      <c r="G167" s="23">
        <v>0</v>
      </c>
      <c r="H167" s="23">
        <v>0</v>
      </c>
      <c r="I167" s="24">
        <v>0.20603014528751301</v>
      </c>
      <c r="J167" s="24">
        <v>0.36683416366577098</v>
      </c>
      <c r="K167" s="23">
        <v>8.0402009189128903E-2</v>
      </c>
      <c r="L167" s="23">
        <v>0</v>
      </c>
      <c r="M167" s="24">
        <v>0.34673365950584401</v>
      </c>
      <c r="N167" s="23">
        <v>0</v>
      </c>
      <c r="O167" s="24">
        <v>0.246231153607368</v>
      </c>
      <c r="P167" s="24">
        <v>0.20100502669811199</v>
      </c>
      <c r="Q167" s="24">
        <v>0.56281405687332098</v>
      </c>
      <c r="R167" s="25">
        <v>4.0201005025125629E-2</v>
      </c>
      <c r="S167" s="25">
        <v>0</v>
      </c>
      <c r="T167" s="25">
        <v>0.20100502512562815</v>
      </c>
    </row>
    <row r="168" spans="1:20" x14ac:dyDescent="0.25">
      <c r="A168" s="8" t="s">
        <v>373</v>
      </c>
      <c r="B168" s="8" t="s">
        <v>374</v>
      </c>
      <c r="C168" s="8" t="s">
        <v>3540</v>
      </c>
      <c r="D168" s="8">
        <v>139</v>
      </c>
      <c r="E168" s="23">
        <v>0.48201438784599299</v>
      </c>
      <c r="F168" s="24">
        <v>0.51798558235168402</v>
      </c>
      <c r="G168" s="23">
        <v>0</v>
      </c>
      <c r="H168" s="23">
        <v>0</v>
      </c>
      <c r="I168" s="24">
        <v>0.28057554364204401</v>
      </c>
      <c r="J168" s="24">
        <v>0.65467625856399503</v>
      </c>
      <c r="K168" s="23">
        <v>1.43884895369411E-2</v>
      </c>
      <c r="L168" s="23">
        <v>7.1942447684704997E-3</v>
      </c>
      <c r="M168" s="23">
        <v>4.3165467679500601E-2</v>
      </c>
      <c r="N168" s="23">
        <v>0</v>
      </c>
      <c r="O168" s="24">
        <v>0.43165466189384399</v>
      </c>
      <c r="P168" s="24">
        <v>0.24460431933403001</v>
      </c>
      <c r="Q168" s="24">
        <v>0.94964027404785101</v>
      </c>
      <c r="R168" s="25">
        <v>0</v>
      </c>
      <c r="S168" s="25">
        <v>6.4748201438848921E-2</v>
      </c>
      <c r="T168" s="25">
        <v>0.38848920863309355</v>
      </c>
    </row>
    <row r="169" spans="1:20" x14ac:dyDescent="0.25">
      <c r="A169" s="8" t="s">
        <v>376</v>
      </c>
      <c r="B169" s="8" t="s">
        <v>377</v>
      </c>
      <c r="C169" s="8" t="s">
        <v>3540</v>
      </c>
      <c r="D169" s="8">
        <v>721</v>
      </c>
      <c r="E169" s="24">
        <v>0.53398060798644997</v>
      </c>
      <c r="F169" s="24">
        <v>0.46601942181587203</v>
      </c>
      <c r="G169" s="23">
        <v>0</v>
      </c>
      <c r="H169" s="23">
        <v>6.6574200987815899E-2</v>
      </c>
      <c r="I169" s="24">
        <v>0.12482663244009</v>
      </c>
      <c r="J169" s="24">
        <v>0.269070744514465</v>
      </c>
      <c r="K169" s="23">
        <v>4.5769765973091098E-2</v>
      </c>
      <c r="L169" s="23">
        <v>1.3869625981897001E-3</v>
      </c>
      <c r="M169" s="24">
        <v>0.48821082711219699</v>
      </c>
      <c r="N169" s="23">
        <v>4.1608875617384997E-3</v>
      </c>
      <c r="O169" s="24">
        <v>0.20804437994956901</v>
      </c>
      <c r="P169" s="23">
        <v>1.3869625516235801E-2</v>
      </c>
      <c r="Q169" s="24">
        <v>0.38002774119377097</v>
      </c>
      <c r="R169" s="25">
        <v>0</v>
      </c>
      <c r="S169" s="25">
        <v>1.3869625520110957E-3</v>
      </c>
      <c r="T169" s="25">
        <v>0.20527045769764216</v>
      </c>
    </row>
    <row r="170" spans="1:20" x14ac:dyDescent="0.25">
      <c r="A170" s="8" t="s">
        <v>378</v>
      </c>
      <c r="B170" s="8" t="s">
        <v>379</v>
      </c>
      <c r="C170" s="8" t="s">
        <v>3540</v>
      </c>
      <c r="D170" s="8">
        <v>332</v>
      </c>
      <c r="E170" s="24">
        <v>0.43373495340347201</v>
      </c>
      <c r="F170" s="24">
        <v>0.56626504659652699</v>
      </c>
      <c r="G170" s="23">
        <v>0</v>
      </c>
      <c r="H170" s="23">
        <v>3.0120482668280602E-2</v>
      </c>
      <c r="I170" s="24">
        <v>0.24397590756416301</v>
      </c>
      <c r="J170" s="24">
        <v>0.65662652254104603</v>
      </c>
      <c r="K170" s="23">
        <v>6.0240961611271E-3</v>
      </c>
      <c r="L170" s="23">
        <v>6.0240961611271E-3</v>
      </c>
      <c r="M170" s="23">
        <v>5.7228915393352502E-2</v>
      </c>
      <c r="N170" s="23">
        <v>0</v>
      </c>
      <c r="O170" s="23">
        <v>0.35843372344970698</v>
      </c>
      <c r="P170" s="24">
        <v>0.17168675363063801</v>
      </c>
      <c r="Q170" s="24">
        <v>0.84036141633987405</v>
      </c>
      <c r="R170" s="25">
        <v>0.13554216867469879</v>
      </c>
      <c r="S170" s="25">
        <v>0</v>
      </c>
      <c r="T170" s="25">
        <v>0.21084337349397592</v>
      </c>
    </row>
    <row r="171" spans="1:20" x14ac:dyDescent="0.25">
      <c r="A171" s="8" t="s">
        <v>380</v>
      </c>
      <c r="B171" s="8" t="s">
        <v>381</v>
      </c>
      <c r="C171" s="8" t="s">
        <v>3540</v>
      </c>
      <c r="D171" s="8">
        <v>448</v>
      </c>
      <c r="E171" s="23">
        <v>0.453125</v>
      </c>
      <c r="F171" s="23">
        <v>0.546875</v>
      </c>
      <c r="G171" s="23">
        <v>0</v>
      </c>
      <c r="H171" s="23">
        <v>4.2410712689161301E-2</v>
      </c>
      <c r="I171" s="24">
        <v>0.17633928358554801</v>
      </c>
      <c r="J171" s="24">
        <v>0.40848213434219299</v>
      </c>
      <c r="K171" s="23">
        <v>6.02678582072258E-2</v>
      </c>
      <c r="L171" s="23">
        <v>6.6964286379516003E-3</v>
      </c>
      <c r="M171" s="24">
        <v>0.30357143282890298</v>
      </c>
      <c r="N171" s="23">
        <v>2.2321429569274001E-3</v>
      </c>
      <c r="O171" s="24">
        <v>0.31919643282890298</v>
      </c>
      <c r="P171" s="24">
        <v>0.19196428358554801</v>
      </c>
      <c r="Q171" s="24">
        <v>0.55357140302658003</v>
      </c>
      <c r="R171" s="25">
        <v>4.2410714285714288E-2</v>
      </c>
      <c r="S171" s="25">
        <v>5.8035714285714288E-2</v>
      </c>
      <c r="T171" s="25">
        <v>0.22544642857142858</v>
      </c>
    </row>
    <row r="172" spans="1:20" x14ac:dyDescent="0.25">
      <c r="A172" s="8" t="s">
        <v>382</v>
      </c>
      <c r="B172" s="8" t="s">
        <v>383</v>
      </c>
      <c r="C172" s="8" t="s">
        <v>3540</v>
      </c>
      <c r="D172" s="8">
        <v>522</v>
      </c>
      <c r="E172" s="23">
        <v>0.5</v>
      </c>
      <c r="F172" s="23">
        <v>0.5</v>
      </c>
      <c r="G172" s="23">
        <v>0</v>
      </c>
      <c r="H172" s="24">
        <v>0.31800764799117998</v>
      </c>
      <c r="I172" s="23">
        <v>3.25670503079891E-2</v>
      </c>
      <c r="J172" s="24">
        <v>0.109195403754711</v>
      </c>
      <c r="K172" s="24">
        <v>0.111111111938953</v>
      </c>
      <c r="L172" s="23">
        <v>0</v>
      </c>
      <c r="M172" s="24">
        <v>0.429118782281875</v>
      </c>
      <c r="N172" s="23">
        <v>0</v>
      </c>
      <c r="O172" s="23">
        <v>9.3869730830192594E-2</v>
      </c>
      <c r="P172" s="23">
        <v>0</v>
      </c>
      <c r="Q172" s="23">
        <v>9.1954022645950304E-2</v>
      </c>
      <c r="R172" s="25">
        <v>0</v>
      </c>
      <c r="S172" s="25">
        <v>0</v>
      </c>
      <c r="T172" s="25">
        <v>8.8122605363984668E-2</v>
      </c>
    </row>
    <row r="173" spans="1:20" x14ac:dyDescent="0.25">
      <c r="A173" s="8" t="s">
        <v>384</v>
      </c>
      <c r="B173" s="8" t="s">
        <v>385</v>
      </c>
      <c r="C173" s="8" t="s">
        <v>3540</v>
      </c>
      <c r="D173" s="8">
        <v>323</v>
      </c>
      <c r="E173" s="24">
        <v>0.45820432901382402</v>
      </c>
      <c r="F173" s="24">
        <v>0.54179567098617498</v>
      </c>
      <c r="G173" s="23">
        <v>0</v>
      </c>
      <c r="H173" s="23">
        <v>1.5479875728488E-2</v>
      </c>
      <c r="I173" s="24">
        <v>0.164086684584617</v>
      </c>
      <c r="J173" s="24">
        <v>0.75851392745971602</v>
      </c>
      <c r="K173" s="23">
        <v>6.1919502913952004E-3</v>
      </c>
      <c r="L173" s="23">
        <v>9.2879254370928001E-3</v>
      </c>
      <c r="M173" s="23">
        <v>3.7151701748371103E-2</v>
      </c>
      <c r="N173" s="23">
        <v>9.2879254370928001E-3</v>
      </c>
      <c r="O173" s="24">
        <v>0.26315790414810097</v>
      </c>
      <c r="P173" s="24">
        <v>0.21981424093246399</v>
      </c>
      <c r="Q173" s="24">
        <v>0.88544893264770497</v>
      </c>
      <c r="R173" s="25">
        <v>5.8823529411764705E-2</v>
      </c>
      <c r="S173" s="25">
        <v>0</v>
      </c>
      <c r="T173" s="25">
        <v>0.17027863777089783</v>
      </c>
    </row>
    <row r="174" spans="1:20" x14ac:dyDescent="0.25">
      <c r="A174" s="8" t="s">
        <v>386</v>
      </c>
      <c r="B174" s="8" t="s">
        <v>387</v>
      </c>
      <c r="C174" s="8" t="s">
        <v>3540</v>
      </c>
      <c r="D174" s="8">
        <v>393</v>
      </c>
      <c r="E174" s="24">
        <v>0.51908397674560502</v>
      </c>
      <c r="F174" s="24">
        <v>0.48091602325439398</v>
      </c>
      <c r="G174" s="23">
        <v>0</v>
      </c>
      <c r="H174" s="23">
        <v>1.52671756222844E-2</v>
      </c>
      <c r="I174" s="24">
        <v>0.20356233417987801</v>
      </c>
      <c r="J174" s="24">
        <v>0.71755725145339899</v>
      </c>
      <c r="K174" s="23">
        <v>1.52671756222844E-2</v>
      </c>
      <c r="L174" s="23">
        <v>5.0890585407615003E-3</v>
      </c>
      <c r="M174" s="23">
        <v>3.8167938590049702E-2</v>
      </c>
      <c r="N174" s="23">
        <v>5.0890585407615003E-3</v>
      </c>
      <c r="O174" s="24">
        <v>0.24427480995654999</v>
      </c>
      <c r="P174" s="24">
        <v>0.134860053658485</v>
      </c>
      <c r="Q174" s="24">
        <v>0.91348600387573198</v>
      </c>
      <c r="R174" s="25">
        <v>0</v>
      </c>
      <c r="S174" s="25">
        <v>7.6335877862595417E-3</v>
      </c>
      <c r="T174" s="25">
        <v>0.22900763358778625</v>
      </c>
    </row>
    <row r="175" spans="1:20" x14ac:dyDescent="0.25">
      <c r="A175" s="8" t="s">
        <v>388</v>
      </c>
      <c r="B175" s="8" t="s">
        <v>389</v>
      </c>
      <c r="C175" s="8" t="s">
        <v>3540</v>
      </c>
      <c r="D175" s="8">
        <v>125</v>
      </c>
      <c r="E175" s="24">
        <v>0.50400000810623102</v>
      </c>
      <c r="F175" s="24">
        <v>0.49599999189376798</v>
      </c>
      <c r="G175" s="23">
        <v>0</v>
      </c>
      <c r="H175" s="23">
        <v>8.0000003799796E-3</v>
      </c>
      <c r="I175" s="24">
        <v>0.23199999332427901</v>
      </c>
      <c r="J175" s="24">
        <v>0.74400001764297397</v>
      </c>
      <c r="K175" s="23">
        <v>0</v>
      </c>
      <c r="L175" s="23">
        <v>0</v>
      </c>
      <c r="M175" s="23">
        <v>1.60000007599592E-2</v>
      </c>
      <c r="N175" s="23">
        <v>0</v>
      </c>
      <c r="O175" s="24">
        <v>0.19200000166893</v>
      </c>
      <c r="P175" s="23">
        <v>8.79999995231628E-2</v>
      </c>
      <c r="Q175" s="24">
        <v>0.92799997329711903</v>
      </c>
      <c r="R175" s="25">
        <v>0</v>
      </c>
      <c r="S175" s="25">
        <v>0</v>
      </c>
      <c r="T175" s="25">
        <v>0.17599999999999999</v>
      </c>
    </row>
    <row r="176" spans="1:20" x14ac:dyDescent="0.25">
      <c r="A176" s="8" t="s">
        <v>390</v>
      </c>
      <c r="B176" s="8" t="s">
        <v>391</v>
      </c>
      <c r="C176" s="8" t="s">
        <v>3540</v>
      </c>
      <c r="D176" s="8">
        <v>315</v>
      </c>
      <c r="E176" s="24">
        <v>0.75238096714019698</v>
      </c>
      <c r="F176" s="24">
        <v>0.247619047760963</v>
      </c>
      <c r="G176" s="23">
        <v>0</v>
      </c>
      <c r="H176" s="23">
        <v>1.9047619774937598E-2</v>
      </c>
      <c r="I176" s="24">
        <v>0.35873016715049699</v>
      </c>
      <c r="J176" s="24">
        <v>0.54920637607574396</v>
      </c>
      <c r="K176" s="23">
        <v>2.53968257457018E-2</v>
      </c>
      <c r="L176" s="23">
        <v>1.9047619774937598E-2</v>
      </c>
      <c r="M176" s="23">
        <v>2.53968257457018E-2</v>
      </c>
      <c r="N176" s="23">
        <v>3.1746032182126999E-3</v>
      </c>
      <c r="O176" s="24">
        <v>0.25079366564750599</v>
      </c>
      <c r="P176" s="23">
        <v>1.9047619774937598E-2</v>
      </c>
      <c r="Q176" s="24">
        <v>0.87301588058471602</v>
      </c>
      <c r="R176" s="25">
        <v>0</v>
      </c>
      <c r="S176" s="25">
        <v>0</v>
      </c>
      <c r="T176" s="25">
        <v>0.24126984126984127</v>
      </c>
    </row>
    <row r="177" spans="1:20" x14ac:dyDescent="0.25">
      <c r="A177" s="8" t="s">
        <v>393</v>
      </c>
      <c r="B177" s="8" t="s">
        <v>394</v>
      </c>
      <c r="C177" s="8" t="s">
        <v>3540</v>
      </c>
      <c r="D177" s="8">
        <v>410</v>
      </c>
      <c r="E177" s="24">
        <v>0.55365854501724199</v>
      </c>
      <c r="F177" s="24">
        <v>0.44634145498275701</v>
      </c>
      <c r="G177" s="23">
        <v>0</v>
      </c>
      <c r="H177" s="23">
        <v>4.8780485987663297E-2</v>
      </c>
      <c r="I177" s="24">
        <v>0.168292686343193</v>
      </c>
      <c r="J177" s="24">
        <v>0.51219511032104403</v>
      </c>
      <c r="K177" s="23">
        <v>3.4146342426538502E-2</v>
      </c>
      <c r="L177" s="23">
        <v>0</v>
      </c>
      <c r="M177" s="24">
        <v>0.23414634168147999</v>
      </c>
      <c r="N177" s="23">
        <v>2.4390243925154001E-3</v>
      </c>
      <c r="O177" s="24">
        <v>0.22682927548885301</v>
      </c>
      <c r="P177" s="23">
        <v>2.1951219066977501E-2</v>
      </c>
      <c r="Q177" s="24">
        <v>0.67073172330856301</v>
      </c>
      <c r="R177" s="25">
        <v>0</v>
      </c>
      <c r="S177" s="25">
        <v>2.4390243902439024E-3</v>
      </c>
      <c r="T177" s="25">
        <v>0.21219512195121951</v>
      </c>
    </row>
    <row r="178" spans="1:20" x14ac:dyDescent="0.25">
      <c r="A178" s="8" t="s">
        <v>395</v>
      </c>
      <c r="B178" s="8" t="s">
        <v>396</v>
      </c>
      <c r="C178" s="8" t="s">
        <v>3540</v>
      </c>
      <c r="D178" s="8">
        <v>155</v>
      </c>
      <c r="E178" s="23">
        <v>0.41290321946144098</v>
      </c>
      <c r="F178" s="24">
        <v>0.58709675073623602</v>
      </c>
      <c r="G178" s="23">
        <v>0</v>
      </c>
      <c r="H178" s="23">
        <v>3.87096777558327E-2</v>
      </c>
      <c r="I178" s="24">
        <v>0.322580635547637</v>
      </c>
      <c r="J178" s="24">
        <v>0.54193550348281805</v>
      </c>
      <c r="K178" s="23">
        <v>2.58064512163401E-2</v>
      </c>
      <c r="L178" s="23">
        <v>0</v>
      </c>
      <c r="M178" s="23">
        <v>7.0967741310596494E-2</v>
      </c>
      <c r="N178" s="23">
        <v>0</v>
      </c>
      <c r="O178" s="24">
        <v>0.40000000596046398</v>
      </c>
      <c r="P178" s="24">
        <v>0.12258064746856601</v>
      </c>
      <c r="Q178" s="24">
        <v>0.84516131877899103</v>
      </c>
      <c r="R178" s="25">
        <v>3.2258064516129031E-2</v>
      </c>
      <c r="S178" s="25">
        <v>5.1612903225806452E-2</v>
      </c>
      <c r="T178" s="25">
        <v>0.32903225806451614</v>
      </c>
    </row>
    <row r="179" spans="1:20" x14ac:dyDescent="0.25">
      <c r="A179" s="8" t="s">
        <v>397</v>
      </c>
      <c r="B179" s="8" t="s">
        <v>398</v>
      </c>
      <c r="C179" s="8" t="s">
        <v>3540</v>
      </c>
      <c r="D179" s="8">
        <v>412</v>
      </c>
      <c r="E179" s="24">
        <v>0.49757280945777799</v>
      </c>
      <c r="F179" s="24">
        <v>0.50242716073989802</v>
      </c>
      <c r="G179" s="23">
        <v>0</v>
      </c>
      <c r="H179" s="24">
        <v>0.19417475163936601</v>
      </c>
      <c r="I179" s="23">
        <v>9.7087375819683103E-2</v>
      </c>
      <c r="J179" s="24">
        <v>0.27427184581756497</v>
      </c>
      <c r="K179" s="23">
        <v>5.3398057818412802E-2</v>
      </c>
      <c r="L179" s="23">
        <v>7.2815534658730004E-3</v>
      </c>
      <c r="M179" s="24">
        <v>0.37135922908782898</v>
      </c>
      <c r="N179" s="23">
        <v>2.4271844886243001E-3</v>
      </c>
      <c r="O179" s="24">
        <v>0.13592232763767201</v>
      </c>
      <c r="P179" s="24">
        <v>0.11407767236232701</v>
      </c>
      <c r="Q179" s="24">
        <v>0.35436892509460399</v>
      </c>
      <c r="R179" s="25">
        <v>2.4271844660194173E-3</v>
      </c>
      <c r="S179" s="25">
        <v>0</v>
      </c>
      <c r="T179" s="25">
        <v>0.12135922330097088</v>
      </c>
    </row>
    <row r="180" spans="1:20" x14ac:dyDescent="0.25">
      <c r="A180" s="8" t="s">
        <v>399</v>
      </c>
      <c r="B180" s="8" t="s">
        <v>400</v>
      </c>
      <c r="C180" s="8" t="s">
        <v>3540</v>
      </c>
      <c r="D180" s="8">
        <v>1378</v>
      </c>
      <c r="E180" s="24">
        <v>0.64005804061889604</v>
      </c>
      <c r="F180" s="24">
        <v>0.35994195938110302</v>
      </c>
      <c r="G180" s="23">
        <v>0</v>
      </c>
      <c r="H180" s="24">
        <v>0.13425253331661199</v>
      </c>
      <c r="I180" s="24">
        <v>0.124092891812324</v>
      </c>
      <c r="J180" s="24">
        <v>0.32510885596275302</v>
      </c>
      <c r="K180" s="23">
        <v>3.7735849618911702E-2</v>
      </c>
      <c r="L180" s="23">
        <v>8.7082730606197999E-3</v>
      </c>
      <c r="M180" s="23">
        <v>0.34905660152435303</v>
      </c>
      <c r="N180" s="23">
        <v>2.1044991910457601E-2</v>
      </c>
      <c r="O180" s="24">
        <v>0.20464441180229101</v>
      </c>
      <c r="P180" s="23">
        <v>5.8055152185260998E-3</v>
      </c>
      <c r="Q180" s="23">
        <v>0.60014516115188599</v>
      </c>
      <c r="R180" s="25">
        <v>6.5312046444121917E-3</v>
      </c>
      <c r="S180" s="25">
        <v>7.2568940493468795E-4</v>
      </c>
      <c r="T180" s="25">
        <v>0.18650217706821481</v>
      </c>
    </row>
    <row r="181" spans="1:20" x14ac:dyDescent="0.25">
      <c r="A181" s="8" t="s">
        <v>401</v>
      </c>
      <c r="B181" s="8" t="s">
        <v>402</v>
      </c>
      <c r="C181" s="8" t="s">
        <v>3540</v>
      </c>
      <c r="D181" s="8">
        <v>2248</v>
      </c>
      <c r="E181" s="24">
        <v>0.71218860149383501</v>
      </c>
      <c r="F181" s="24">
        <v>0.28469750285148598</v>
      </c>
      <c r="G181" s="23">
        <v>3.1138788908719999E-3</v>
      </c>
      <c r="H181" s="24">
        <v>0.194395020604133</v>
      </c>
      <c r="I181" s="24">
        <v>0.112099647521972</v>
      </c>
      <c r="J181" s="24">
        <v>0.17393238842487299</v>
      </c>
      <c r="K181" s="23">
        <v>8.3185054361820193E-2</v>
      </c>
      <c r="L181" s="23">
        <v>3.1138788908719999E-3</v>
      </c>
      <c r="M181" s="24">
        <v>0.391903907060623</v>
      </c>
      <c r="N181" s="23">
        <v>4.1370104998350102E-2</v>
      </c>
      <c r="O181" s="23">
        <v>8.6743772029876695E-2</v>
      </c>
      <c r="P181" s="23">
        <v>7.1174376644193996E-3</v>
      </c>
      <c r="Q181" s="24">
        <v>0.294928818941116</v>
      </c>
      <c r="R181" s="25">
        <v>4.4483985765124553E-4</v>
      </c>
      <c r="S181" s="25">
        <v>0</v>
      </c>
      <c r="T181" s="25">
        <v>8.4074733096085416E-2</v>
      </c>
    </row>
    <row r="182" spans="1:20" x14ac:dyDescent="0.25">
      <c r="A182" s="8" t="s">
        <v>403</v>
      </c>
      <c r="B182" s="8" t="s">
        <v>404</v>
      </c>
      <c r="C182" s="8" t="s">
        <v>3540</v>
      </c>
      <c r="D182" s="8">
        <v>531</v>
      </c>
      <c r="E182" s="23">
        <v>0.57815444469451904</v>
      </c>
      <c r="F182" s="24">
        <v>0.41996234655380199</v>
      </c>
      <c r="G182" s="23">
        <v>1.8832391360775001E-3</v>
      </c>
      <c r="H182" s="23">
        <v>3.3898305147886297E-2</v>
      </c>
      <c r="I182" s="24">
        <v>0.25800377130508401</v>
      </c>
      <c r="J182" s="24">
        <v>0.65160077810287398</v>
      </c>
      <c r="K182" s="23">
        <v>1.8832391360775001E-3</v>
      </c>
      <c r="L182" s="23">
        <v>3.7664782721548999E-3</v>
      </c>
      <c r="M182" s="23">
        <v>4.7080978751182598E-2</v>
      </c>
      <c r="N182" s="23">
        <v>3.7664782721548999E-3</v>
      </c>
      <c r="O182" s="24">
        <v>0.20338982343673701</v>
      </c>
      <c r="P182" s="24">
        <v>0.141242936253547</v>
      </c>
      <c r="Q182" s="24">
        <v>0.86440676450729304</v>
      </c>
      <c r="R182" s="25">
        <v>3.766478342749529E-3</v>
      </c>
      <c r="S182" s="25">
        <v>0</v>
      </c>
      <c r="T182" s="25">
        <v>0.18832391713747645</v>
      </c>
    </row>
    <row r="183" spans="1:20" x14ac:dyDescent="0.25">
      <c r="A183" s="8" t="s">
        <v>405</v>
      </c>
      <c r="B183" s="8" t="s">
        <v>406</v>
      </c>
      <c r="C183" s="8" t="s">
        <v>3540</v>
      </c>
      <c r="D183" s="8">
        <v>393</v>
      </c>
      <c r="E183" s="24">
        <v>0.50636130571365301</v>
      </c>
      <c r="F183" s="23">
        <v>0.49363866448402399</v>
      </c>
      <c r="G183" s="23">
        <v>0</v>
      </c>
      <c r="H183" s="23">
        <v>2.7989821508526799E-2</v>
      </c>
      <c r="I183" s="24">
        <v>0.30025446414947499</v>
      </c>
      <c r="J183" s="24">
        <v>0.63613229990005404</v>
      </c>
      <c r="K183" s="23">
        <v>1.7811704427003899E-2</v>
      </c>
      <c r="L183" s="23">
        <v>5.0890585407615003E-3</v>
      </c>
      <c r="M183" s="23">
        <v>1.27226458862424E-2</v>
      </c>
      <c r="N183" s="23">
        <v>0</v>
      </c>
      <c r="O183" s="24">
        <v>0.31043258309364302</v>
      </c>
      <c r="P183" s="23">
        <v>9.4147585332393605E-2</v>
      </c>
      <c r="Q183" s="24">
        <v>0.88295167684554998</v>
      </c>
      <c r="R183" s="25">
        <v>4.3256997455470736E-2</v>
      </c>
      <c r="S183" s="25">
        <v>1.0178117048346057E-2</v>
      </c>
      <c r="T183" s="25">
        <v>0.2340966921119593</v>
      </c>
    </row>
    <row r="184" spans="1:20" x14ac:dyDescent="0.25">
      <c r="A184" s="8" t="s">
        <v>407</v>
      </c>
      <c r="B184" s="8" t="s">
        <v>408</v>
      </c>
      <c r="C184" s="8" t="s">
        <v>3540</v>
      </c>
      <c r="D184" s="8">
        <v>449</v>
      </c>
      <c r="E184" s="24">
        <v>0.57906460762023904</v>
      </c>
      <c r="F184" s="24">
        <v>0.42093542218208302</v>
      </c>
      <c r="G184" s="23">
        <v>0</v>
      </c>
      <c r="H184" s="24">
        <v>0.26057907938957198</v>
      </c>
      <c r="I184" s="24">
        <v>0.12694877386093101</v>
      </c>
      <c r="J184" s="24">
        <v>0.40979954600334101</v>
      </c>
      <c r="K184" s="23">
        <v>1.5590200200676901E-2</v>
      </c>
      <c r="L184" s="23">
        <v>2.2271715570241E-3</v>
      </c>
      <c r="M184" s="24">
        <v>0.17594654858112299</v>
      </c>
      <c r="N184" s="23">
        <v>8.9086862280965008E-3</v>
      </c>
      <c r="O184" s="24">
        <v>0.18485523760318701</v>
      </c>
      <c r="P184" s="23">
        <v>8.9086862280965008E-3</v>
      </c>
      <c r="Q184" s="23">
        <v>0.73051226139068604</v>
      </c>
      <c r="R184" s="25">
        <v>0</v>
      </c>
      <c r="S184" s="25">
        <v>0</v>
      </c>
      <c r="T184" s="25">
        <v>0.18262806236080179</v>
      </c>
    </row>
    <row r="185" spans="1:20" x14ac:dyDescent="0.25">
      <c r="A185" s="8" t="s">
        <v>409</v>
      </c>
      <c r="B185" s="8" t="s">
        <v>410</v>
      </c>
      <c r="C185" s="8" t="s">
        <v>3540</v>
      </c>
      <c r="D185" s="8">
        <v>361</v>
      </c>
      <c r="E185" s="23">
        <v>1</v>
      </c>
      <c r="F185" s="23">
        <v>0</v>
      </c>
      <c r="G185" s="23">
        <v>0</v>
      </c>
      <c r="H185" s="23">
        <v>4.9861494451761197E-2</v>
      </c>
      <c r="I185" s="24">
        <v>0.33795014023780801</v>
      </c>
      <c r="J185" s="24">
        <v>0.53185594081878595</v>
      </c>
      <c r="K185" s="23">
        <v>1.10803321003914E-2</v>
      </c>
      <c r="L185" s="23">
        <v>1.10803321003914E-2</v>
      </c>
      <c r="M185" s="23">
        <v>4.7091413289308499E-2</v>
      </c>
      <c r="N185" s="23">
        <v>1.10803321003914E-2</v>
      </c>
      <c r="O185" s="24">
        <v>0.25761774182319602</v>
      </c>
      <c r="P185" s="23">
        <v>4.1551247239112903E-2</v>
      </c>
      <c r="Q185" s="24">
        <v>0.81994462013244596</v>
      </c>
      <c r="R185" s="25">
        <v>0</v>
      </c>
      <c r="S185" s="25">
        <v>1.3850415512465374E-2</v>
      </c>
      <c r="T185" s="25">
        <v>0.24099722991689751</v>
      </c>
    </row>
    <row r="186" spans="1:20" x14ac:dyDescent="0.25">
      <c r="A186" s="8" t="s">
        <v>411</v>
      </c>
      <c r="B186" s="8" t="s">
        <v>412</v>
      </c>
      <c r="C186" s="8" t="s">
        <v>3540</v>
      </c>
      <c r="D186" s="8">
        <v>306</v>
      </c>
      <c r="E186" s="24">
        <v>0.52614378929138095</v>
      </c>
      <c r="F186" s="24">
        <v>0.473856210708618</v>
      </c>
      <c r="G186" s="23">
        <v>0</v>
      </c>
      <c r="H186" s="24">
        <v>0.20261438190937001</v>
      </c>
      <c r="I186" s="23">
        <v>5.55555559694767E-2</v>
      </c>
      <c r="J186" s="24">
        <v>0.160130724310874</v>
      </c>
      <c r="K186" s="24">
        <v>0.186274513602256</v>
      </c>
      <c r="L186" s="23">
        <v>0</v>
      </c>
      <c r="M186" s="24">
        <v>0.38562092185020402</v>
      </c>
      <c r="N186" s="23">
        <v>9.8039219155907995E-3</v>
      </c>
      <c r="O186" s="23">
        <v>0.14705882966518399</v>
      </c>
      <c r="P186" s="23">
        <v>1.63398701697588E-2</v>
      </c>
      <c r="Q186" s="24">
        <v>0.24183006584644301</v>
      </c>
      <c r="R186" s="25">
        <v>0</v>
      </c>
      <c r="S186" s="25">
        <v>0</v>
      </c>
      <c r="T186" s="25">
        <v>0.14052287581699346</v>
      </c>
    </row>
    <row r="187" spans="1:20" x14ac:dyDescent="0.25">
      <c r="A187" s="8" t="s">
        <v>413</v>
      </c>
      <c r="B187" s="8" t="s">
        <v>414</v>
      </c>
      <c r="C187" s="8" t="s">
        <v>3540</v>
      </c>
      <c r="D187" s="8">
        <v>315</v>
      </c>
      <c r="E187" s="24">
        <v>0.37142857909202498</v>
      </c>
      <c r="F187" s="24">
        <v>0.62857145071029596</v>
      </c>
      <c r="G187" s="23">
        <v>0</v>
      </c>
      <c r="H187" s="23">
        <v>1.5873016789555501E-2</v>
      </c>
      <c r="I187" s="24">
        <v>0.58095240592956499</v>
      </c>
      <c r="J187" s="24">
        <v>0.32698413729667603</v>
      </c>
      <c r="K187" s="23">
        <v>9.5238098874687992E-3</v>
      </c>
      <c r="L187" s="23">
        <v>2.8571428731083901E-2</v>
      </c>
      <c r="M187" s="23">
        <v>3.8095239549875301E-2</v>
      </c>
      <c r="N187" s="23">
        <v>0</v>
      </c>
      <c r="O187" s="24">
        <v>0.32698413729667603</v>
      </c>
      <c r="P187" s="24">
        <v>0.12698413431644401</v>
      </c>
      <c r="Q187" s="23">
        <v>0.920634925365448</v>
      </c>
      <c r="R187" s="25">
        <v>3.1746031746031746E-3</v>
      </c>
      <c r="S187" s="25">
        <v>3.1746031746031746E-3</v>
      </c>
      <c r="T187" s="25">
        <v>0.2857142857142857</v>
      </c>
    </row>
    <row r="188" spans="1:20" x14ac:dyDescent="0.25">
      <c r="A188" s="8" t="s">
        <v>415</v>
      </c>
      <c r="B188" s="8" t="s">
        <v>416</v>
      </c>
      <c r="C188" s="8" t="s">
        <v>3540</v>
      </c>
      <c r="D188" s="8">
        <v>350</v>
      </c>
      <c r="E188" s="24">
        <v>0.46285715699195801</v>
      </c>
      <c r="F188" s="24">
        <v>0.53428572416305498</v>
      </c>
      <c r="G188" s="23">
        <v>2.8571428265422999E-3</v>
      </c>
      <c r="H188" s="23">
        <v>3.14285717904568E-2</v>
      </c>
      <c r="I188" s="24">
        <v>0.36000001430511402</v>
      </c>
      <c r="J188" s="24">
        <v>0.43714284896850503</v>
      </c>
      <c r="K188" s="23">
        <v>2.5714285671710999E-2</v>
      </c>
      <c r="L188" s="23">
        <v>5.7142856530845E-3</v>
      </c>
      <c r="M188" s="24">
        <v>0.140000000596046</v>
      </c>
      <c r="N188" s="23">
        <v>0</v>
      </c>
      <c r="O188" s="24">
        <v>0.30857142806053101</v>
      </c>
      <c r="P188" s="23">
        <v>6.2857143580913502E-2</v>
      </c>
      <c r="Q188" s="24">
        <v>0.77428573369979803</v>
      </c>
      <c r="R188" s="25">
        <v>0.04</v>
      </c>
      <c r="S188" s="25">
        <v>0</v>
      </c>
      <c r="T188" s="25">
        <v>0.26571428571428574</v>
      </c>
    </row>
    <row r="189" spans="1:20" x14ac:dyDescent="0.25">
      <c r="A189" s="8" t="s">
        <v>417</v>
      </c>
      <c r="B189" s="8" t="s">
        <v>418</v>
      </c>
      <c r="C189" s="8" t="s">
        <v>3540</v>
      </c>
      <c r="D189" s="8">
        <v>356</v>
      </c>
      <c r="E189" s="24">
        <v>0.42134830355644198</v>
      </c>
      <c r="F189" s="24">
        <v>0.57865166664123502</v>
      </c>
      <c r="G189" s="23">
        <v>0</v>
      </c>
      <c r="H189" s="23">
        <v>1.40449441969395E-2</v>
      </c>
      <c r="I189" s="24">
        <v>0.27808988094329801</v>
      </c>
      <c r="J189" s="24">
        <v>0.66292136907577504</v>
      </c>
      <c r="K189" s="23">
        <v>8.4269661456346998E-3</v>
      </c>
      <c r="L189" s="23">
        <v>1.12359551712871E-2</v>
      </c>
      <c r="M189" s="23">
        <v>2.5280898436903999E-2</v>
      </c>
      <c r="N189" s="23">
        <v>0</v>
      </c>
      <c r="O189" s="24">
        <v>0.37921348214149397</v>
      </c>
      <c r="P189" s="24">
        <v>0.15449437499046301</v>
      </c>
      <c r="Q189" s="24">
        <v>0.90730339288711503</v>
      </c>
      <c r="R189" s="25">
        <v>0.1853932584269663</v>
      </c>
      <c r="S189" s="25">
        <v>1.1235955056179775E-2</v>
      </c>
      <c r="T189" s="25">
        <v>0.18820224719101122</v>
      </c>
    </row>
    <row r="190" spans="1:20" x14ac:dyDescent="0.25">
      <c r="A190" s="8" t="s">
        <v>420</v>
      </c>
      <c r="B190" s="8" t="s">
        <v>421</v>
      </c>
      <c r="C190" s="8" t="s">
        <v>3540</v>
      </c>
      <c r="D190" s="8">
        <v>574</v>
      </c>
      <c r="E190" s="24">
        <v>0.47386759519576999</v>
      </c>
      <c r="F190" s="24">
        <v>0.52613240480422896</v>
      </c>
      <c r="G190" s="23">
        <v>0</v>
      </c>
      <c r="H190" s="24">
        <v>0.47038328647613498</v>
      </c>
      <c r="I190" s="24">
        <v>0.108013935387134</v>
      </c>
      <c r="J190" s="24">
        <v>0.165505230426788</v>
      </c>
      <c r="K190" s="23">
        <v>7.3170728981494904E-2</v>
      </c>
      <c r="L190" s="23">
        <v>6.9686411879957E-3</v>
      </c>
      <c r="M190" s="24">
        <v>0.17421603202819799</v>
      </c>
      <c r="N190" s="23">
        <v>1.7421602969989001E-3</v>
      </c>
      <c r="O190" s="23">
        <v>8.5365854203701005E-2</v>
      </c>
      <c r="P190" s="23">
        <v>1.3937282375991299E-2</v>
      </c>
      <c r="Q190" s="24">
        <v>0.27351915836334201</v>
      </c>
      <c r="R190" s="25">
        <v>0</v>
      </c>
      <c r="S190" s="25">
        <v>0</v>
      </c>
      <c r="T190" s="25">
        <v>8.0139372822299645E-2</v>
      </c>
    </row>
    <row r="191" spans="1:20" x14ac:dyDescent="0.25">
      <c r="A191" s="8" t="s">
        <v>422</v>
      </c>
      <c r="B191" s="8" t="s">
        <v>423</v>
      </c>
      <c r="C191" s="8" t="s">
        <v>3540</v>
      </c>
      <c r="D191" s="8">
        <v>242</v>
      </c>
      <c r="E191" s="24">
        <v>0.52892559766769398</v>
      </c>
      <c r="F191" s="24">
        <v>0.47107437252998302</v>
      </c>
      <c r="G191" s="23">
        <v>0</v>
      </c>
      <c r="H191" s="23">
        <v>1.6528924927115399E-2</v>
      </c>
      <c r="I191" s="24">
        <v>0.30578511953353799</v>
      </c>
      <c r="J191" s="24">
        <v>0.58677685260772705</v>
      </c>
      <c r="K191" s="23">
        <v>2.47933883219957E-2</v>
      </c>
      <c r="L191" s="23">
        <v>0</v>
      </c>
      <c r="M191" s="23">
        <v>6.6115699708461803E-2</v>
      </c>
      <c r="N191" s="23">
        <v>0</v>
      </c>
      <c r="O191" s="24">
        <v>0.30991736054420399</v>
      </c>
      <c r="P191" s="24">
        <v>0.11983471363782799</v>
      </c>
      <c r="Q191" s="24">
        <v>0.87603306770324696</v>
      </c>
      <c r="R191" s="25">
        <v>0</v>
      </c>
      <c r="S191" s="25">
        <v>0</v>
      </c>
      <c r="T191" s="25">
        <v>0.27685950413223143</v>
      </c>
    </row>
    <row r="192" spans="1:20" x14ac:dyDescent="0.25">
      <c r="A192" s="8" t="s">
        <v>424</v>
      </c>
      <c r="B192" s="8" t="s">
        <v>425</v>
      </c>
      <c r="C192" s="8" t="s">
        <v>3540</v>
      </c>
      <c r="D192" s="8">
        <v>190</v>
      </c>
      <c r="E192" s="24">
        <v>0.50526314973831099</v>
      </c>
      <c r="F192" s="24">
        <v>0.49473685026168801</v>
      </c>
      <c r="G192" s="23">
        <v>0</v>
      </c>
      <c r="H192" s="23">
        <v>2.63157896697521E-2</v>
      </c>
      <c r="I192" s="24">
        <v>0.25789472460746699</v>
      </c>
      <c r="J192" s="23">
        <v>0.62105262279510498</v>
      </c>
      <c r="K192" s="23">
        <v>1.0526316240429901E-2</v>
      </c>
      <c r="L192" s="23">
        <v>1.0526316240429901E-2</v>
      </c>
      <c r="M192" s="23">
        <v>7.36842080950737E-2</v>
      </c>
      <c r="N192" s="23">
        <v>0</v>
      </c>
      <c r="O192" s="24">
        <v>0.27368420362472501</v>
      </c>
      <c r="P192" s="24">
        <v>0.28421053290367099</v>
      </c>
      <c r="Q192" s="24">
        <v>0.98421055078506403</v>
      </c>
      <c r="R192" s="25">
        <v>1.5789473684210527E-2</v>
      </c>
      <c r="S192" s="25">
        <v>7.3684210526315783E-2</v>
      </c>
      <c r="T192" s="25">
        <v>0.1736842105263158</v>
      </c>
    </row>
    <row r="193" spans="1:20" x14ac:dyDescent="0.25">
      <c r="A193" s="8" t="s">
        <v>427</v>
      </c>
      <c r="B193" s="8" t="s">
        <v>428</v>
      </c>
      <c r="C193" s="8" t="s">
        <v>3540</v>
      </c>
      <c r="D193" s="8">
        <v>515</v>
      </c>
      <c r="E193" s="24">
        <v>0.53009706735610895</v>
      </c>
      <c r="F193" s="23">
        <v>0.46990290284156799</v>
      </c>
      <c r="G193" s="23">
        <v>0</v>
      </c>
      <c r="H193" s="23">
        <v>1.3592232950031801E-2</v>
      </c>
      <c r="I193" s="24">
        <v>0.18058252334594699</v>
      </c>
      <c r="J193" s="24">
        <v>0.77669900655746404</v>
      </c>
      <c r="K193" s="23">
        <v>1.9417476141825E-3</v>
      </c>
      <c r="L193" s="23">
        <v>1.55339809134603E-2</v>
      </c>
      <c r="M193" s="23">
        <v>9.7087379544972992E-3</v>
      </c>
      <c r="N193" s="23">
        <v>1.9417476141825E-3</v>
      </c>
      <c r="O193" s="24">
        <v>0.21941748261451699</v>
      </c>
      <c r="P193" s="24">
        <v>0.28932037949562001</v>
      </c>
      <c r="Q193" s="24">
        <v>0.95728152990341098</v>
      </c>
      <c r="R193" s="25">
        <v>3.8834951456310678E-3</v>
      </c>
      <c r="S193" s="25">
        <v>6.9902912621359226E-2</v>
      </c>
      <c r="T193" s="25">
        <v>0.13786407766990291</v>
      </c>
    </row>
    <row r="194" spans="1:20" x14ac:dyDescent="0.25">
      <c r="A194" s="8" t="s">
        <v>430</v>
      </c>
      <c r="B194" s="8" t="s">
        <v>431</v>
      </c>
      <c r="C194" s="8" t="s">
        <v>3540</v>
      </c>
      <c r="D194" s="8">
        <v>433</v>
      </c>
      <c r="E194" s="23">
        <v>0.468822181224823</v>
      </c>
      <c r="F194" s="24">
        <v>0.52886837720870905</v>
      </c>
      <c r="G194" s="23">
        <v>2.3094688076526E-3</v>
      </c>
      <c r="H194" s="23">
        <v>1.1547343805432301E-2</v>
      </c>
      <c r="I194" s="24">
        <v>0.13625866174697801</v>
      </c>
      <c r="J194" s="24">
        <v>0.82217091321945102</v>
      </c>
      <c r="K194" s="23">
        <v>2.3094688076526E-3</v>
      </c>
      <c r="L194" s="23">
        <v>2.3094688076526E-3</v>
      </c>
      <c r="M194" s="23">
        <v>2.5404157117009201E-2</v>
      </c>
      <c r="N194" s="23">
        <v>0</v>
      </c>
      <c r="O194" s="24">
        <v>0.286374121904373</v>
      </c>
      <c r="P194" s="24">
        <v>0.17782910168170901</v>
      </c>
      <c r="Q194" s="24">
        <v>0.97690528631210305</v>
      </c>
      <c r="R194" s="25">
        <v>0.10854503464203233</v>
      </c>
      <c r="S194" s="25">
        <v>9.2378752886836026E-3</v>
      </c>
      <c r="T194" s="25">
        <v>0.18937644341801385</v>
      </c>
    </row>
    <row r="195" spans="1:20" x14ac:dyDescent="0.25">
      <c r="A195" s="8" t="s">
        <v>432</v>
      </c>
      <c r="B195" s="8" t="s">
        <v>433</v>
      </c>
      <c r="C195" s="8" t="s">
        <v>3540</v>
      </c>
      <c r="D195" s="8">
        <v>323</v>
      </c>
      <c r="E195" s="24">
        <v>0.48297214508056602</v>
      </c>
      <c r="F195" s="24">
        <v>0.51702785491943304</v>
      </c>
      <c r="G195" s="23">
        <v>0</v>
      </c>
      <c r="H195" s="23">
        <v>8.0495357513427707E-2</v>
      </c>
      <c r="I195" s="24">
        <v>0.13312692940235099</v>
      </c>
      <c r="J195" s="24">
        <v>0.72445821762084905</v>
      </c>
      <c r="K195" s="23">
        <v>2.4767801165580701E-2</v>
      </c>
      <c r="L195" s="23">
        <v>9.2879254370928001E-3</v>
      </c>
      <c r="M195" s="23">
        <v>2.7863776311278302E-2</v>
      </c>
      <c r="N195" s="23">
        <v>0</v>
      </c>
      <c r="O195" s="24">
        <v>0.31269350647926297</v>
      </c>
      <c r="P195" s="24">
        <v>0.213622286915779</v>
      </c>
      <c r="Q195" s="24">
        <v>0.93808048963546697</v>
      </c>
      <c r="R195" s="25">
        <v>0.11455108359133127</v>
      </c>
      <c r="S195" s="25">
        <v>1.238390092879257E-2</v>
      </c>
      <c r="T195" s="25">
        <v>0.1609907120743034</v>
      </c>
    </row>
    <row r="196" spans="1:20" x14ac:dyDescent="0.25">
      <c r="A196" s="8" t="s">
        <v>435</v>
      </c>
      <c r="B196" s="8" t="s">
        <v>436</v>
      </c>
      <c r="C196" s="8" t="s">
        <v>3540</v>
      </c>
      <c r="D196" s="8">
        <v>410</v>
      </c>
      <c r="E196" s="24">
        <v>0.41707316040992698</v>
      </c>
      <c r="F196" s="24">
        <v>0.58292680978775002</v>
      </c>
      <c r="G196" s="23">
        <v>0</v>
      </c>
      <c r="H196" s="23">
        <v>1.21951214969158E-2</v>
      </c>
      <c r="I196" s="24">
        <v>0.168292686343193</v>
      </c>
      <c r="J196" s="24">
        <v>0.76829266548156705</v>
      </c>
      <c r="K196" s="23">
        <v>9.7560975700616993E-3</v>
      </c>
      <c r="L196" s="23">
        <v>7.3170731775463E-3</v>
      </c>
      <c r="M196" s="23">
        <v>3.4146342426538502E-2</v>
      </c>
      <c r="N196" s="23">
        <v>0</v>
      </c>
      <c r="O196" s="24">
        <v>0.22195121645927399</v>
      </c>
      <c r="P196" s="24">
        <v>0.421951234340667</v>
      </c>
      <c r="Q196" s="24">
        <v>0.97560977935791005</v>
      </c>
      <c r="R196" s="25">
        <v>4.3902439024390241E-2</v>
      </c>
      <c r="S196" s="25">
        <v>5.1219512195121948E-2</v>
      </c>
      <c r="T196" s="25">
        <v>0.11463414634146342</v>
      </c>
    </row>
    <row r="197" spans="1:20" x14ac:dyDescent="0.25">
      <c r="A197" s="8" t="s">
        <v>438</v>
      </c>
      <c r="B197" s="8" t="s">
        <v>439</v>
      </c>
      <c r="C197" s="8" t="s">
        <v>3540</v>
      </c>
      <c r="D197" s="8">
        <v>223</v>
      </c>
      <c r="E197" s="23">
        <v>0.43946188688278198</v>
      </c>
      <c r="F197" s="23">
        <v>0.56053811311721802</v>
      </c>
      <c r="G197" s="23">
        <v>0</v>
      </c>
      <c r="H197" s="23">
        <v>2.6905829086899799E-2</v>
      </c>
      <c r="I197" s="24">
        <v>0.27354261279106101</v>
      </c>
      <c r="J197" s="24">
        <v>0.63677132129669101</v>
      </c>
      <c r="K197" s="23">
        <v>1.79372206330299E-2</v>
      </c>
      <c r="L197" s="23">
        <v>8.9686103165150001E-3</v>
      </c>
      <c r="M197" s="23">
        <v>3.5874441266059903E-2</v>
      </c>
      <c r="N197" s="23">
        <v>0</v>
      </c>
      <c r="O197" s="24">
        <v>0.228699550032615</v>
      </c>
      <c r="P197" s="24">
        <v>0.31390133500099099</v>
      </c>
      <c r="Q197" s="24">
        <v>0.937219738960266</v>
      </c>
      <c r="R197" s="25">
        <v>2.6905829596412557E-2</v>
      </c>
      <c r="S197" s="25">
        <v>4.4843049327354259E-3</v>
      </c>
      <c r="T197" s="25">
        <v>0.14798206278026907</v>
      </c>
    </row>
    <row r="198" spans="1:20" x14ac:dyDescent="0.25">
      <c r="A198" s="8" t="s">
        <v>440</v>
      </c>
      <c r="B198" s="8" t="s">
        <v>441</v>
      </c>
      <c r="C198" s="8" t="s">
        <v>3540</v>
      </c>
      <c r="D198" s="8">
        <v>371</v>
      </c>
      <c r="E198" s="24">
        <v>0.49865227937698298</v>
      </c>
      <c r="F198" s="24">
        <v>0.50134772062301602</v>
      </c>
      <c r="G198" s="23">
        <v>0</v>
      </c>
      <c r="H198" s="23">
        <v>2.9649594798684099E-2</v>
      </c>
      <c r="I198" s="24">
        <v>0.245283022522926</v>
      </c>
      <c r="J198" s="24">
        <v>0.69541776180267301</v>
      </c>
      <c r="K198" s="23">
        <v>1.0781670920550801E-2</v>
      </c>
      <c r="L198" s="23">
        <v>0</v>
      </c>
      <c r="M198" s="23">
        <v>1.8867924809455899E-2</v>
      </c>
      <c r="N198" s="23">
        <v>0</v>
      </c>
      <c r="O198" s="24">
        <v>0.25067386031150801</v>
      </c>
      <c r="P198" s="24">
        <v>0.26684635877609197</v>
      </c>
      <c r="Q198" s="24">
        <v>0.95687329769134499</v>
      </c>
      <c r="R198" s="25">
        <v>1.3477088948787063E-2</v>
      </c>
      <c r="S198" s="25">
        <v>2.15633423180593E-2</v>
      </c>
      <c r="T198" s="25">
        <v>0.215633423180593</v>
      </c>
    </row>
    <row r="199" spans="1:20" x14ac:dyDescent="0.25">
      <c r="A199" s="8" t="s">
        <v>442</v>
      </c>
      <c r="B199" s="8" t="s">
        <v>443</v>
      </c>
      <c r="C199" s="8" t="s">
        <v>3540</v>
      </c>
      <c r="D199" s="8">
        <v>227</v>
      </c>
      <c r="E199" s="24">
        <v>0.43171805143356301</v>
      </c>
      <c r="F199" s="24">
        <v>0.56828194856643599</v>
      </c>
      <c r="G199" s="23">
        <v>0</v>
      </c>
      <c r="H199" s="23">
        <v>3.0837005004286801E-2</v>
      </c>
      <c r="I199" s="24">
        <v>0.18502202630042999</v>
      </c>
      <c r="J199" s="24">
        <v>0.713656365871429</v>
      </c>
      <c r="K199" s="23">
        <v>3.0837005004286801E-2</v>
      </c>
      <c r="L199" s="23">
        <v>4.4052861630917003E-3</v>
      </c>
      <c r="M199" s="23">
        <v>3.5242289304733297E-2</v>
      </c>
      <c r="N199" s="23">
        <v>0</v>
      </c>
      <c r="O199" s="24">
        <v>0.38325992226600603</v>
      </c>
      <c r="P199" s="24">
        <v>0.29515418410301197</v>
      </c>
      <c r="Q199" s="24">
        <v>0.84581500291824296</v>
      </c>
      <c r="R199" s="25">
        <v>8.8105726872246701E-2</v>
      </c>
      <c r="S199" s="25">
        <v>0</v>
      </c>
      <c r="T199" s="25">
        <v>0.25991189427312777</v>
      </c>
    </row>
    <row r="200" spans="1:20" x14ac:dyDescent="0.25">
      <c r="A200" s="8" t="s">
        <v>445</v>
      </c>
      <c r="B200" s="8" t="s">
        <v>446</v>
      </c>
      <c r="C200" s="8" t="s">
        <v>3540</v>
      </c>
      <c r="D200" s="8">
        <v>317</v>
      </c>
      <c r="E200" s="24">
        <v>0.49526813626289301</v>
      </c>
      <c r="F200" s="24">
        <v>0.50473183393478305</v>
      </c>
      <c r="G200" s="23">
        <v>0</v>
      </c>
      <c r="H200" s="23">
        <v>1.8927445635199502E-2</v>
      </c>
      <c r="I200" s="24">
        <v>0.27760252356529203</v>
      </c>
      <c r="J200" s="24">
        <v>0.64984226226806596</v>
      </c>
      <c r="K200" s="23">
        <v>2.2082019597291901E-2</v>
      </c>
      <c r="L200" s="23">
        <v>1.2618296779692201E-2</v>
      </c>
      <c r="M200" s="23">
        <v>1.5772869810462001E-2</v>
      </c>
      <c r="N200" s="23">
        <v>3.1545741949229999E-3</v>
      </c>
      <c r="O200" s="23">
        <v>0.40063092112541199</v>
      </c>
      <c r="P200" s="24">
        <v>0.182965293526649</v>
      </c>
      <c r="Q200" s="24">
        <v>0.96845424175262396</v>
      </c>
      <c r="R200" s="25">
        <v>0.15141955835962145</v>
      </c>
      <c r="S200" s="25">
        <v>6.3091482649842269E-3</v>
      </c>
      <c r="T200" s="25">
        <v>0.22712933753943218</v>
      </c>
    </row>
    <row r="201" spans="1:20" x14ac:dyDescent="0.25">
      <c r="A201" s="8" t="s">
        <v>447</v>
      </c>
      <c r="B201" s="8" t="s">
        <v>448</v>
      </c>
      <c r="C201" s="8" t="s">
        <v>3540</v>
      </c>
      <c r="D201" s="8">
        <v>192</v>
      </c>
      <c r="E201" s="24">
        <v>0.52604168653488104</v>
      </c>
      <c r="F201" s="24">
        <v>0.47395834326744002</v>
      </c>
      <c r="G201" s="23">
        <v>0</v>
      </c>
      <c r="H201" s="23">
        <v>2.6041666045784999E-2</v>
      </c>
      <c r="I201" s="23">
        <v>8.3333335816860199E-2</v>
      </c>
      <c r="J201" s="23">
        <v>0.828125</v>
      </c>
      <c r="K201" s="23">
        <v>0</v>
      </c>
      <c r="L201" s="23">
        <v>5.7291667908430099E-2</v>
      </c>
      <c r="M201" s="23">
        <v>5.2083334885537997E-3</v>
      </c>
      <c r="N201" s="23">
        <v>0</v>
      </c>
      <c r="O201" s="24">
        <v>0.19270832836627899</v>
      </c>
      <c r="P201" s="23">
        <v>0.390625</v>
      </c>
      <c r="Q201" s="23">
        <v>0.984375</v>
      </c>
      <c r="R201" s="25">
        <v>5.2083333333333336E-2</v>
      </c>
      <c r="S201" s="25">
        <v>0</v>
      </c>
      <c r="T201" s="25">
        <v>0.140625</v>
      </c>
    </row>
    <row r="202" spans="1:20" x14ac:dyDescent="0.25">
      <c r="A202" s="8" t="s">
        <v>450</v>
      </c>
      <c r="B202" s="8" t="s">
        <v>451</v>
      </c>
      <c r="C202" s="8" t="s">
        <v>3540</v>
      </c>
      <c r="D202" s="8">
        <v>736</v>
      </c>
      <c r="E202" s="23">
        <v>0.52989131212234497</v>
      </c>
      <c r="F202" s="23">
        <v>0.47010868787765497</v>
      </c>
      <c r="G202" s="23">
        <v>0</v>
      </c>
      <c r="H202" s="24">
        <v>0.108695648610591</v>
      </c>
      <c r="I202" s="24">
        <v>0.222826093435287</v>
      </c>
      <c r="J202" s="24">
        <v>0.58016306161880404</v>
      </c>
      <c r="K202" s="23">
        <v>1.7663042992353401E-2</v>
      </c>
      <c r="L202" s="23">
        <v>9.5108691602944998E-3</v>
      </c>
      <c r="M202" s="23">
        <v>5.9782609343528699E-2</v>
      </c>
      <c r="N202" s="23">
        <v>1.3586956774815999E-3</v>
      </c>
      <c r="O202" s="24">
        <v>0.248641297221183</v>
      </c>
      <c r="P202" s="23">
        <v>3.3967390656471301E-2</v>
      </c>
      <c r="Q202" s="23">
        <v>0.79347825050354004</v>
      </c>
      <c r="R202" s="25">
        <v>0</v>
      </c>
      <c r="S202" s="25">
        <v>0</v>
      </c>
      <c r="T202" s="25">
        <v>0.22826086956521738</v>
      </c>
    </row>
    <row r="203" spans="1:20" x14ac:dyDescent="0.25">
      <c r="A203" s="8" t="s">
        <v>452</v>
      </c>
      <c r="B203" s="8" t="s">
        <v>453</v>
      </c>
      <c r="C203" s="8" t="s">
        <v>3540</v>
      </c>
      <c r="D203" s="8">
        <v>296</v>
      </c>
      <c r="E203" s="24">
        <v>0.54054051637649503</v>
      </c>
      <c r="F203" s="24">
        <v>0.45945945382118197</v>
      </c>
      <c r="G203" s="23">
        <v>0</v>
      </c>
      <c r="H203" s="23">
        <v>6.7567569203675001E-3</v>
      </c>
      <c r="I203" s="23">
        <v>3.0405405908822999E-2</v>
      </c>
      <c r="J203" s="24">
        <v>0.93918919563293402</v>
      </c>
      <c r="K203" s="23">
        <v>0</v>
      </c>
      <c r="L203" s="23">
        <v>3.3783784601837002E-3</v>
      </c>
      <c r="M203" s="23">
        <v>2.02702693641186E-2</v>
      </c>
      <c r="N203" s="23">
        <v>0</v>
      </c>
      <c r="O203" s="24">
        <v>0.18918919563293399</v>
      </c>
      <c r="P203" s="24">
        <v>0.57094591856002797</v>
      </c>
      <c r="Q203" s="24">
        <v>0.93243241310119596</v>
      </c>
      <c r="R203" s="25">
        <v>0</v>
      </c>
      <c r="S203" s="25">
        <v>3.3783783783783786E-3</v>
      </c>
      <c r="T203" s="25">
        <v>0.18243243243243243</v>
      </c>
    </row>
    <row r="204" spans="1:20" x14ac:dyDescent="0.25">
      <c r="A204" s="8" t="s">
        <v>454</v>
      </c>
      <c r="B204" s="8" t="s">
        <v>455</v>
      </c>
      <c r="C204" s="8" t="s">
        <v>3540</v>
      </c>
      <c r="D204" s="8">
        <v>386</v>
      </c>
      <c r="E204" s="24">
        <v>0.43264248967170699</v>
      </c>
      <c r="F204" s="24">
        <v>0.56735754013061501</v>
      </c>
      <c r="G204" s="23">
        <v>0</v>
      </c>
      <c r="H204" s="23">
        <v>1.29533680155873E-2</v>
      </c>
      <c r="I204" s="24">
        <v>0.18652850389480499</v>
      </c>
      <c r="J204" s="24">
        <v>0.76165801286697299</v>
      </c>
      <c r="K204" s="23">
        <v>7.7720205299556004E-3</v>
      </c>
      <c r="L204" s="23">
        <v>7.7720205299556004E-3</v>
      </c>
      <c r="M204" s="23">
        <v>2.33160629868507E-2</v>
      </c>
      <c r="N204" s="23">
        <v>0</v>
      </c>
      <c r="O204" s="24">
        <v>0.43264248967170699</v>
      </c>
      <c r="P204" s="24">
        <v>0.27979275584220797</v>
      </c>
      <c r="Q204" s="24">
        <v>0.91709846258163397</v>
      </c>
      <c r="R204" s="25">
        <v>8.0310880829015538E-2</v>
      </c>
      <c r="S204" s="25">
        <v>0</v>
      </c>
      <c r="T204" s="25">
        <v>0.37823834196891193</v>
      </c>
    </row>
    <row r="205" spans="1:20" x14ac:dyDescent="0.25">
      <c r="A205" s="8" t="s">
        <v>456</v>
      </c>
      <c r="B205" s="8" t="s">
        <v>457</v>
      </c>
      <c r="C205" s="8" t="s">
        <v>3540</v>
      </c>
      <c r="D205" s="8">
        <v>170</v>
      </c>
      <c r="E205" s="23">
        <v>0.52941179275512695</v>
      </c>
      <c r="F205" s="24">
        <v>0.47058823704719499</v>
      </c>
      <c r="G205" s="23">
        <v>0</v>
      </c>
      <c r="H205" s="23">
        <v>4.1176471859216697E-2</v>
      </c>
      <c r="I205" s="24">
        <v>0.26470589637756298</v>
      </c>
      <c r="J205" s="24">
        <v>0.56470590829849199</v>
      </c>
      <c r="K205" s="23">
        <v>2.3529412224888802E-2</v>
      </c>
      <c r="L205" s="23">
        <v>1.1764706112444401E-2</v>
      </c>
      <c r="M205" s="23">
        <v>8.2352943718433394E-2</v>
      </c>
      <c r="N205" s="23">
        <v>1.1764706112444401E-2</v>
      </c>
      <c r="O205" s="23">
        <v>0.364705890417099</v>
      </c>
      <c r="P205" s="23">
        <v>8.8235296308994293E-2</v>
      </c>
      <c r="Q205" s="24">
        <v>0.82941174507141102</v>
      </c>
      <c r="R205" s="25">
        <v>0</v>
      </c>
      <c r="S205" s="25">
        <v>9.4117647058823528E-2</v>
      </c>
      <c r="T205" s="25">
        <v>0.28235294117647058</v>
      </c>
    </row>
    <row r="206" spans="1:20" x14ac:dyDescent="0.25">
      <c r="A206" s="8" t="s">
        <v>458</v>
      </c>
      <c r="B206" s="8" t="s">
        <v>459</v>
      </c>
      <c r="C206" s="8" t="s">
        <v>3540</v>
      </c>
      <c r="D206" s="8">
        <v>203</v>
      </c>
      <c r="E206" s="24">
        <v>0.349753707647323</v>
      </c>
      <c r="F206" s="24">
        <v>0.650246322154998</v>
      </c>
      <c r="G206" s="23">
        <v>0</v>
      </c>
      <c r="H206" s="24">
        <v>0.103448279201984</v>
      </c>
      <c r="I206" s="24">
        <v>0.38916257023811301</v>
      </c>
      <c r="J206" s="24">
        <v>0.45320197939872697</v>
      </c>
      <c r="K206" s="23">
        <v>4.9261082895100004E-3</v>
      </c>
      <c r="L206" s="23">
        <v>1.9704433158040002E-2</v>
      </c>
      <c r="M206" s="23">
        <v>2.95566506683826E-2</v>
      </c>
      <c r="N206" s="23">
        <v>0</v>
      </c>
      <c r="O206" s="24">
        <v>0.35467979311942999</v>
      </c>
      <c r="P206" s="23">
        <v>5.41871935129166E-2</v>
      </c>
      <c r="Q206" s="23">
        <v>0.86699509620666504</v>
      </c>
      <c r="R206" s="25">
        <v>0</v>
      </c>
      <c r="S206" s="25">
        <v>0</v>
      </c>
      <c r="T206" s="25">
        <v>0.25615763546798032</v>
      </c>
    </row>
    <row r="207" spans="1:20" x14ac:dyDescent="0.25">
      <c r="A207" s="8" t="s">
        <v>462</v>
      </c>
      <c r="B207" s="8" t="s">
        <v>463</v>
      </c>
      <c r="C207" s="8" t="s">
        <v>3540</v>
      </c>
      <c r="D207" s="8">
        <v>530</v>
      </c>
      <c r="E207" s="24">
        <v>0.437735855579376</v>
      </c>
      <c r="F207" s="24">
        <v>0.562264144420623</v>
      </c>
      <c r="G207" s="23">
        <v>0</v>
      </c>
      <c r="H207" s="23">
        <v>7.5471699237823001E-3</v>
      </c>
      <c r="I207" s="24">
        <v>0.13773584365844699</v>
      </c>
      <c r="J207" s="24">
        <v>0.80943393707275302</v>
      </c>
      <c r="K207" s="23">
        <v>1.8867924809456E-3</v>
      </c>
      <c r="L207" s="23">
        <v>5.6603774428367996E-3</v>
      </c>
      <c r="M207" s="23">
        <v>1.5094339847564701E-2</v>
      </c>
      <c r="N207" s="23">
        <v>2.2641509771347001E-2</v>
      </c>
      <c r="O207" s="24">
        <v>0.22830188274383501</v>
      </c>
      <c r="P207" s="24">
        <v>0.41132074594497597</v>
      </c>
      <c r="Q207" s="24">
        <v>0.95471698045730502</v>
      </c>
      <c r="R207" s="25">
        <v>0</v>
      </c>
      <c r="S207" s="25">
        <v>3.962264150943396E-2</v>
      </c>
      <c r="T207" s="25">
        <v>0.1811320754716981</v>
      </c>
    </row>
    <row r="208" spans="1:20" x14ac:dyDescent="0.25">
      <c r="A208" s="8" t="s">
        <v>464</v>
      </c>
      <c r="B208" s="8" t="s">
        <v>465</v>
      </c>
      <c r="C208" s="8" t="s">
        <v>3540</v>
      </c>
      <c r="D208" s="8">
        <v>212</v>
      </c>
      <c r="E208" s="24">
        <v>0.56132078170776301</v>
      </c>
      <c r="F208" s="24">
        <v>0.43867924809455799</v>
      </c>
      <c r="G208" s="23">
        <v>0</v>
      </c>
      <c r="H208" s="23">
        <v>4.716981202364E-3</v>
      </c>
      <c r="I208" s="24">
        <v>0.344339609146118</v>
      </c>
      <c r="J208" s="24">
        <v>0.57547169923782304</v>
      </c>
      <c r="K208" s="23">
        <v>1.41509436070919E-2</v>
      </c>
      <c r="L208" s="23">
        <v>2.3584906011819801E-2</v>
      </c>
      <c r="M208" s="23">
        <v>3.7735849618911702E-2</v>
      </c>
      <c r="N208" s="23">
        <v>0</v>
      </c>
      <c r="O208" s="23">
        <v>0.25</v>
      </c>
      <c r="P208" s="24">
        <v>0.24056604504585199</v>
      </c>
      <c r="Q208" s="24">
        <v>0.96698111295699996</v>
      </c>
      <c r="R208" s="25">
        <v>4.716981132075472E-2</v>
      </c>
      <c r="S208" s="25">
        <v>4.7169811320754715E-3</v>
      </c>
      <c r="T208" s="25">
        <v>0.19811320754716982</v>
      </c>
    </row>
    <row r="209" spans="1:20" x14ac:dyDescent="0.25">
      <c r="A209" s="8" t="s">
        <v>466</v>
      </c>
      <c r="B209" s="8" t="s">
        <v>467</v>
      </c>
      <c r="C209" s="8" t="s">
        <v>3540</v>
      </c>
      <c r="D209" s="8">
        <v>133</v>
      </c>
      <c r="E209" s="24">
        <v>0.58646619319915705</v>
      </c>
      <c r="F209" s="24">
        <v>0.41353383660316401</v>
      </c>
      <c r="G209" s="23">
        <v>0</v>
      </c>
      <c r="H209" s="23">
        <v>1.50375943630934E-2</v>
      </c>
      <c r="I209" s="24">
        <v>0.34586465358734098</v>
      </c>
      <c r="J209" s="24">
        <v>0.57894736528396595</v>
      </c>
      <c r="K209" s="23">
        <v>7.5187971815467002E-3</v>
      </c>
      <c r="L209" s="23">
        <v>2.25563906133175E-2</v>
      </c>
      <c r="M209" s="23">
        <v>1.50375943630934E-2</v>
      </c>
      <c r="N209" s="23">
        <v>1.50375943630934E-2</v>
      </c>
      <c r="O209" s="24">
        <v>0.390977442264556</v>
      </c>
      <c r="P209" s="24">
        <v>0.17293232679366999</v>
      </c>
      <c r="Q209" s="24">
        <v>0.96240603923797596</v>
      </c>
      <c r="R209" s="25">
        <v>0</v>
      </c>
      <c r="S209" s="25">
        <v>7.5187969924812026E-2</v>
      </c>
      <c r="T209" s="25">
        <v>0.33834586466165412</v>
      </c>
    </row>
    <row r="210" spans="1:20" x14ac:dyDescent="0.25">
      <c r="A210" s="8" t="s">
        <v>468</v>
      </c>
      <c r="B210" s="8" t="s">
        <v>469</v>
      </c>
      <c r="C210" s="8" t="s">
        <v>3540</v>
      </c>
      <c r="D210" s="8">
        <v>1655</v>
      </c>
      <c r="E210" s="24">
        <v>0.49244713783264099</v>
      </c>
      <c r="F210" s="24">
        <v>0.50634443759918202</v>
      </c>
      <c r="G210" s="23">
        <v>1.2084592599422E-3</v>
      </c>
      <c r="H210" s="24">
        <v>0.257401823997497</v>
      </c>
      <c r="I210" s="24">
        <v>0.166767373681068</v>
      </c>
      <c r="J210" s="24">
        <v>0.44229605793952897</v>
      </c>
      <c r="K210" s="23">
        <v>1.8126888200640699E-2</v>
      </c>
      <c r="L210" s="23">
        <v>9.6676740795374003E-3</v>
      </c>
      <c r="M210" s="23">
        <v>9.78851988911629E-2</v>
      </c>
      <c r="N210" s="23">
        <v>7.8549850732088002E-3</v>
      </c>
      <c r="O210" s="24">
        <v>0.181268885731697</v>
      </c>
      <c r="P210" s="23">
        <v>4.8942599445581401E-2</v>
      </c>
      <c r="Q210" s="24">
        <v>0.80664652585983199</v>
      </c>
      <c r="R210" s="25">
        <v>0</v>
      </c>
      <c r="S210" s="25">
        <v>6.0422960725075529E-4</v>
      </c>
      <c r="T210" s="25">
        <v>0.17099697885196374</v>
      </c>
    </row>
    <row r="211" spans="1:20" x14ac:dyDescent="0.25">
      <c r="A211" s="8" t="s">
        <v>470</v>
      </c>
      <c r="B211" s="8" t="s">
        <v>471</v>
      </c>
      <c r="C211" s="8" t="s">
        <v>3540</v>
      </c>
      <c r="D211" s="8">
        <v>399</v>
      </c>
      <c r="E211" s="24">
        <v>0.55137842893600397</v>
      </c>
      <c r="F211" s="23">
        <v>0.44862154126167297</v>
      </c>
      <c r="G211" s="23">
        <v>0</v>
      </c>
      <c r="H211" s="23">
        <v>8.2706764340400696E-2</v>
      </c>
      <c r="I211" s="24">
        <v>0.258145362138748</v>
      </c>
      <c r="J211" s="23">
        <v>0.59147870540618896</v>
      </c>
      <c r="K211" s="23">
        <v>5.0125312991440001E-3</v>
      </c>
      <c r="L211" s="23">
        <v>1.0025062598288099E-2</v>
      </c>
      <c r="M211" s="23">
        <v>4.5112781226635E-2</v>
      </c>
      <c r="N211" s="23">
        <v>7.5187971815467002E-3</v>
      </c>
      <c r="O211" s="24">
        <v>0.220551371574401</v>
      </c>
      <c r="P211" s="23">
        <v>2.0050125196576101E-2</v>
      </c>
      <c r="Q211" s="24">
        <v>0.81203007698059004</v>
      </c>
      <c r="R211" s="25">
        <v>0</v>
      </c>
      <c r="S211" s="25">
        <v>0</v>
      </c>
      <c r="T211" s="25">
        <v>0.21804511278195488</v>
      </c>
    </row>
    <row r="212" spans="1:20" x14ac:dyDescent="0.25">
      <c r="A212" s="8" t="s">
        <v>472</v>
      </c>
      <c r="B212" s="8" t="s">
        <v>473</v>
      </c>
      <c r="C212" s="8" t="s">
        <v>3540</v>
      </c>
      <c r="D212" s="8">
        <v>169</v>
      </c>
      <c r="E212" s="24">
        <v>0.47928994894027699</v>
      </c>
      <c r="F212" s="24">
        <v>0.52071005105972201</v>
      </c>
      <c r="G212" s="23">
        <v>0</v>
      </c>
      <c r="H212" s="23">
        <v>7.1005918085575104E-2</v>
      </c>
      <c r="I212" s="24">
        <v>0.171597629785537</v>
      </c>
      <c r="J212" s="24">
        <v>0.40236687660217202</v>
      </c>
      <c r="K212" s="23">
        <v>8.8757395744323703E-2</v>
      </c>
      <c r="L212" s="23">
        <v>5.9171598404645998E-3</v>
      </c>
      <c r="M212" s="24">
        <v>0.26035502552986101</v>
      </c>
      <c r="N212" s="23">
        <v>0</v>
      </c>
      <c r="O212" s="24">
        <v>0.224852070212364</v>
      </c>
      <c r="P212" s="23">
        <v>3.55029590427876E-2</v>
      </c>
      <c r="Q212" s="24">
        <v>0.47928994894027699</v>
      </c>
      <c r="R212" s="25">
        <v>0</v>
      </c>
      <c r="S212" s="25">
        <v>0</v>
      </c>
      <c r="T212" s="25">
        <v>0.20118343195266272</v>
      </c>
    </row>
    <row r="213" spans="1:20" x14ac:dyDescent="0.25">
      <c r="A213" s="8" t="s">
        <v>474</v>
      </c>
      <c r="B213" s="8" t="s">
        <v>475</v>
      </c>
      <c r="C213" s="8" t="s">
        <v>3540</v>
      </c>
      <c r="D213" s="8">
        <v>370</v>
      </c>
      <c r="E213" s="24">
        <v>0.41351351141929599</v>
      </c>
      <c r="F213" s="24">
        <v>0.58648645877838101</v>
      </c>
      <c r="G213" s="23">
        <v>0</v>
      </c>
      <c r="H213" s="23">
        <v>2.1621622145175899E-2</v>
      </c>
      <c r="I213" s="24">
        <v>0.31351351737976002</v>
      </c>
      <c r="J213" s="24">
        <v>0.63513511419296198</v>
      </c>
      <c r="K213" s="23">
        <v>2.702702768147E-3</v>
      </c>
      <c r="L213" s="23">
        <v>8.1081083044409995E-3</v>
      </c>
      <c r="M213" s="23">
        <v>1.8918918445706399E-2</v>
      </c>
      <c r="N213" s="23">
        <v>0</v>
      </c>
      <c r="O213" s="23">
        <v>0.27297297120094299</v>
      </c>
      <c r="P213" s="24">
        <v>0.38648650050163202</v>
      </c>
      <c r="Q213" s="24">
        <v>0.94324326515197698</v>
      </c>
      <c r="R213" s="25">
        <v>5.4054054054054057E-3</v>
      </c>
      <c r="S213" s="25">
        <v>0</v>
      </c>
      <c r="T213" s="25">
        <v>0.26486486486486488</v>
      </c>
    </row>
    <row r="214" spans="1:20" x14ac:dyDescent="0.25">
      <c r="A214" s="8" t="s">
        <v>476</v>
      </c>
      <c r="B214" s="8" t="s">
        <v>477</v>
      </c>
      <c r="C214" s="8" t="s">
        <v>3540</v>
      </c>
      <c r="D214" s="8">
        <v>480</v>
      </c>
      <c r="E214" s="24">
        <v>0.55416667461395197</v>
      </c>
      <c r="F214" s="24">
        <v>0.44374999403953502</v>
      </c>
      <c r="G214" s="23">
        <v>2.0833334419875999E-3</v>
      </c>
      <c r="H214" s="23">
        <v>0.116666667163372</v>
      </c>
      <c r="I214" s="24">
        <v>0.22291666269302299</v>
      </c>
      <c r="J214" s="24">
        <v>0.56875002384185702</v>
      </c>
      <c r="K214" s="23">
        <v>6.2500000931323E-3</v>
      </c>
      <c r="L214" s="23">
        <v>8.3333337679505001E-3</v>
      </c>
      <c r="M214" s="23">
        <v>7.5000002980232197E-2</v>
      </c>
      <c r="N214" s="23">
        <v>2.0833334419875999E-3</v>
      </c>
      <c r="O214" s="24">
        <v>0.210416659712791</v>
      </c>
      <c r="P214" s="23">
        <v>8.3333337679505001E-3</v>
      </c>
      <c r="Q214" s="24">
        <v>0.75416666269302302</v>
      </c>
      <c r="R214" s="25">
        <v>0</v>
      </c>
      <c r="S214" s="25">
        <v>0</v>
      </c>
      <c r="T214" s="25">
        <v>0.2</v>
      </c>
    </row>
    <row r="215" spans="1:20" x14ac:dyDescent="0.25">
      <c r="A215" s="8" t="s">
        <v>478</v>
      </c>
      <c r="B215" s="8" t="s">
        <v>479</v>
      </c>
      <c r="C215" s="8" t="s">
        <v>3540</v>
      </c>
      <c r="D215" s="8">
        <v>230</v>
      </c>
      <c r="E215" s="23">
        <v>0.46956521272659302</v>
      </c>
      <c r="F215" s="23">
        <v>0.53043478727340698</v>
      </c>
      <c r="G215" s="23">
        <v>0</v>
      </c>
      <c r="H215" s="23">
        <v>1.7391303554177302E-2</v>
      </c>
      <c r="I215" s="23">
        <v>0.32173913717269897</v>
      </c>
      <c r="J215" s="23">
        <v>0.63478261232376099</v>
      </c>
      <c r="K215" s="23">
        <v>8.6956517770886005E-3</v>
      </c>
      <c r="L215" s="23">
        <v>8.6956517770886005E-3</v>
      </c>
      <c r="M215" s="23">
        <v>8.6956517770886005E-3</v>
      </c>
      <c r="N215" s="23">
        <v>0</v>
      </c>
      <c r="O215" s="23">
        <v>0.29130434989929199</v>
      </c>
      <c r="P215" s="23">
        <v>4.34782616794109E-2</v>
      </c>
      <c r="Q215" s="24">
        <v>0.94347828626632602</v>
      </c>
      <c r="R215" s="25">
        <v>0</v>
      </c>
      <c r="S215" s="25">
        <v>0</v>
      </c>
      <c r="T215" s="25">
        <v>0.30869565217391304</v>
      </c>
    </row>
    <row r="216" spans="1:20" x14ac:dyDescent="0.25">
      <c r="A216" s="8" t="s">
        <v>480</v>
      </c>
      <c r="B216" s="8" t="s">
        <v>481</v>
      </c>
      <c r="C216" s="8" t="s">
        <v>3540</v>
      </c>
      <c r="D216" s="8">
        <v>257</v>
      </c>
      <c r="E216" s="24">
        <v>0.47859922051429699</v>
      </c>
      <c r="F216" s="24">
        <v>0.52140074968338002</v>
      </c>
      <c r="G216" s="23">
        <v>0</v>
      </c>
      <c r="H216" s="23">
        <v>2.33463030308485E-2</v>
      </c>
      <c r="I216" s="23">
        <v>0.186770424246788</v>
      </c>
      <c r="J216" s="24">
        <v>0.71984434127807595</v>
      </c>
      <c r="K216" s="23">
        <v>7.7821011655032999E-3</v>
      </c>
      <c r="L216" s="23">
        <v>1.16731515154243E-2</v>
      </c>
      <c r="M216" s="23">
        <v>3.8910504430532497E-2</v>
      </c>
      <c r="N216" s="23">
        <v>1.16731515154243E-2</v>
      </c>
      <c r="O216" s="24">
        <v>0.28404667973518299</v>
      </c>
      <c r="P216" s="24">
        <v>0.136186763644218</v>
      </c>
      <c r="Q216" s="24">
        <v>0.94552528858184803</v>
      </c>
      <c r="R216" s="25">
        <v>3.8910505836575876E-3</v>
      </c>
      <c r="S216" s="25">
        <v>7.7821011673151752E-3</v>
      </c>
      <c r="T216" s="25">
        <v>0.26459143968871596</v>
      </c>
    </row>
    <row r="217" spans="1:20" x14ac:dyDescent="0.25">
      <c r="A217" s="8" t="s">
        <v>482</v>
      </c>
      <c r="B217" s="8" t="s">
        <v>483</v>
      </c>
      <c r="C217" s="8" t="s">
        <v>3540</v>
      </c>
      <c r="D217" s="8">
        <v>424</v>
      </c>
      <c r="E217" s="24">
        <v>0.45990565419196999</v>
      </c>
      <c r="F217" s="24">
        <v>0.54009431600570601</v>
      </c>
      <c r="G217" s="23">
        <v>0</v>
      </c>
      <c r="H217" s="23">
        <v>3.3018868416547803E-2</v>
      </c>
      <c r="I217" s="24">
        <v>0.245283022522926</v>
      </c>
      <c r="J217" s="24">
        <v>0.61792451143264704</v>
      </c>
      <c r="K217" s="23">
        <v>2.1226415410637901E-2</v>
      </c>
      <c r="L217" s="23">
        <v>1.41509436070919E-2</v>
      </c>
      <c r="M217" s="23">
        <v>6.6037736833095606E-2</v>
      </c>
      <c r="N217" s="23">
        <v>2.358490601182E-3</v>
      </c>
      <c r="O217" s="24">
        <v>0.30896225571632302</v>
      </c>
      <c r="P217" s="24">
        <v>0.21462264657020499</v>
      </c>
      <c r="Q217" s="24">
        <v>0.78301888704299905</v>
      </c>
      <c r="R217" s="25">
        <v>4.7169811320754715E-3</v>
      </c>
      <c r="S217" s="25">
        <v>0</v>
      </c>
      <c r="T217" s="25">
        <v>0.29245283018867924</v>
      </c>
    </row>
    <row r="218" spans="1:20" x14ac:dyDescent="0.25">
      <c r="A218" s="8" t="s">
        <v>485</v>
      </c>
      <c r="B218" s="8" t="s">
        <v>486</v>
      </c>
      <c r="C218" s="8" t="s">
        <v>3540</v>
      </c>
      <c r="D218" s="8">
        <v>220</v>
      </c>
      <c r="E218" s="24">
        <v>0.47272726893424899</v>
      </c>
      <c r="F218" s="24">
        <v>0.52727270126342696</v>
      </c>
      <c r="G218" s="23">
        <v>0</v>
      </c>
      <c r="H218" s="23">
        <v>9.0909088030456994E-3</v>
      </c>
      <c r="I218" s="24">
        <v>0.41363635659217801</v>
      </c>
      <c r="J218" s="24">
        <v>0.53636366128921498</v>
      </c>
      <c r="K218" s="23">
        <v>1.8181817606091499E-2</v>
      </c>
      <c r="L218" s="23">
        <v>1.36363636702299E-2</v>
      </c>
      <c r="M218" s="23">
        <v>9.0909088030456994E-3</v>
      </c>
      <c r="N218" s="23">
        <v>0</v>
      </c>
      <c r="O218" s="24">
        <v>0.34999999403953502</v>
      </c>
      <c r="P218" s="23">
        <v>0.25</v>
      </c>
      <c r="Q218" s="24">
        <v>0.98636364936828602</v>
      </c>
      <c r="R218" s="25">
        <v>0.12727272727272726</v>
      </c>
      <c r="S218" s="25">
        <v>0</v>
      </c>
      <c r="T218" s="25">
        <v>0.19090909090909092</v>
      </c>
    </row>
    <row r="219" spans="1:20" x14ac:dyDescent="0.25">
      <c r="A219" s="8" t="s">
        <v>488</v>
      </c>
      <c r="B219" s="8" t="s">
        <v>489</v>
      </c>
      <c r="C219" s="8" t="s">
        <v>3540</v>
      </c>
      <c r="D219" s="8">
        <v>276</v>
      </c>
      <c r="E219" s="24">
        <v>0.47463768720626798</v>
      </c>
      <c r="F219" s="24">
        <v>0.52536231279373102</v>
      </c>
      <c r="G219" s="23">
        <v>0</v>
      </c>
      <c r="H219" s="23">
        <v>4.34782616794109E-2</v>
      </c>
      <c r="I219" s="24">
        <v>0.32608696818351701</v>
      </c>
      <c r="J219" s="24">
        <v>0.57608693838119496</v>
      </c>
      <c r="K219" s="23">
        <v>2.1739130839705498E-2</v>
      </c>
      <c r="L219" s="23">
        <v>3.6231884732841999E-3</v>
      </c>
      <c r="M219" s="23">
        <v>2.8985507786274001E-2</v>
      </c>
      <c r="N219" s="23">
        <v>0</v>
      </c>
      <c r="O219" s="24">
        <v>0.29710143804550099</v>
      </c>
      <c r="P219" s="24">
        <v>0.221014499664306</v>
      </c>
      <c r="Q219" s="24">
        <v>0.876811623573303</v>
      </c>
      <c r="R219" s="25">
        <v>0.14492753623188406</v>
      </c>
      <c r="S219" s="25">
        <v>0</v>
      </c>
      <c r="T219" s="25">
        <v>0.13768115942028986</v>
      </c>
    </row>
    <row r="220" spans="1:20" x14ac:dyDescent="0.25">
      <c r="A220" s="8" t="s">
        <v>490</v>
      </c>
      <c r="B220" s="8" t="s">
        <v>491</v>
      </c>
      <c r="C220" s="8" t="s">
        <v>3540</v>
      </c>
      <c r="D220" s="8">
        <v>369</v>
      </c>
      <c r="E220" s="24">
        <v>0.49593496322631803</v>
      </c>
      <c r="F220" s="24">
        <v>0.50406503677368097</v>
      </c>
      <c r="G220" s="23">
        <v>0</v>
      </c>
      <c r="H220" s="23">
        <v>1.08401086181402E-2</v>
      </c>
      <c r="I220" s="24">
        <v>0.43902438879013</v>
      </c>
      <c r="J220" s="24">
        <v>0.51490515470504705</v>
      </c>
      <c r="K220" s="23">
        <v>5.4200543090700999E-3</v>
      </c>
      <c r="L220" s="23">
        <v>2.7100271545350998E-3</v>
      </c>
      <c r="M220" s="23">
        <v>2.7100270614028001E-2</v>
      </c>
      <c r="N220" s="23">
        <v>0</v>
      </c>
      <c r="O220" s="24">
        <v>0.30894309282302801</v>
      </c>
      <c r="P220" s="24">
        <v>0.146341457962989</v>
      </c>
      <c r="Q220" s="24">
        <v>0.95934957265853804</v>
      </c>
      <c r="R220" s="25">
        <v>0.17615176151761516</v>
      </c>
      <c r="S220" s="25">
        <v>0</v>
      </c>
      <c r="T220" s="25">
        <v>0.14363143631436315</v>
      </c>
    </row>
    <row r="221" spans="1:20" x14ac:dyDescent="0.25">
      <c r="A221" s="8" t="s">
        <v>492</v>
      </c>
      <c r="B221" s="8" t="s">
        <v>493</v>
      </c>
      <c r="C221" s="8" t="s">
        <v>3540</v>
      </c>
      <c r="D221" s="8">
        <v>175</v>
      </c>
      <c r="E221" s="24">
        <v>0.43428570032119701</v>
      </c>
      <c r="F221" s="24">
        <v>0.56571429967880205</v>
      </c>
      <c r="G221" s="23">
        <v>0</v>
      </c>
      <c r="H221" s="23">
        <v>2.8571428731083901E-2</v>
      </c>
      <c r="I221" s="24">
        <v>0.451428562402725</v>
      </c>
      <c r="J221" s="24">
        <v>0.45714285969734098</v>
      </c>
      <c r="K221" s="23">
        <v>1.1428571306169E-2</v>
      </c>
      <c r="L221" s="23">
        <v>1.1428571306169E-2</v>
      </c>
      <c r="M221" s="23">
        <v>3.9999999105930301E-2</v>
      </c>
      <c r="N221" s="23">
        <v>0</v>
      </c>
      <c r="O221" s="24">
        <v>0.37714284658432001</v>
      </c>
      <c r="P221" s="24">
        <v>0.19428572058677601</v>
      </c>
      <c r="Q221" s="23">
        <v>0.95428574085235596</v>
      </c>
      <c r="R221" s="25">
        <v>0.26857142857142857</v>
      </c>
      <c r="S221" s="25">
        <v>0</v>
      </c>
      <c r="T221" s="25">
        <v>0.12</v>
      </c>
    </row>
    <row r="222" spans="1:20" x14ac:dyDescent="0.25">
      <c r="A222" s="8" t="s">
        <v>494</v>
      </c>
      <c r="B222" s="8" t="s">
        <v>495</v>
      </c>
      <c r="C222" s="8" t="s">
        <v>3540</v>
      </c>
      <c r="D222" s="8">
        <v>412</v>
      </c>
      <c r="E222" s="24">
        <v>0.46116504073143</v>
      </c>
      <c r="F222" s="24">
        <v>0.538834929466247</v>
      </c>
      <c r="G222" s="23">
        <v>0</v>
      </c>
      <c r="H222" s="23">
        <v>1.4563106931746001E-2</v>
      </c>
      <c r="I222" s="24">
        <v>0.46601942181587203</v>
      </c>
      <c r="J222" s="24">
        <v>0.46359223127365101</v>
      </c>
      <c r="K222" s="23">
        <v>7.2815534658730004E-3</v>
      </c>
      <c r="L222" s="23">
        <v>7.2815534658730004E-3</v>
      </c>
      <c r="M222" s="23">
        <v>4.1262134909629801E-2</v>
      </c>
      <c r="N222" s="23">
        <v>0</v>
      </c>
      <c r="O222" s="23">
        <v>0.25</v>
      </c>
      <c r="P222" s="24">
        <v>0.308252424001693</v>
      </c>
      <c r="Q222" s="24">
        <v>0.97087377309799106</v>
      </c>
      <c r="R222" s="25">
        <v>8.7378640776699032E-2</v>
      </c>
      <c r="S222" s="25">
        <v>1.2135922330097087E-2</v>
      </c>
      <c r="T222" s="25">
        <v>0.12864077669902912</v>
      </c>
    </row>
    <row r="223" spans="1:20" x14ac:dyDescent="0.25">
      <c r="A223" s="8" t="s">
        <v>497</v>
      </c>
      <c r="B223" s="8" t="s">
        <v>498</v>
      </c>
      <c r="C223" s="8" t="s">
        <v>3540</v>
      </c>
      <c r="D223" s="8">
        <v>264</v>
      </c>
      <c r="E223" s="24">
        <v>0.50378787517547596</v>
      </c>
      <c r="F223" s="24">
        <v>0.49621212482452298</v>
      </c>
      <c r="G223" s="23">
        <v>0</v>
      </c>
      <c r="H223" s="23">
        <v>8.3333335816860199E-2</v>
      </c>
      <c r="I223" s="24">
        <v>0.29166665673255898</v>
      </c>
      <c r="J223" s="24">
        <v>0.33333334326744002</v>
      </c>
      <c r="K223" s="23">
        <v>5.6818183511495597E-2</v>
      </c>
      <c r="L223" s="23">
        <v>7.5757578015327003E-3</v>
      </c>
      <c r="M223" s="24">
        <v>0.22348484396934501</v>
      </c>
      <c r="N223" s="23">
        <v>3.7878789007664E-3</v>
      </c>
      <c r="O223" s="24">
        <v>0.21212121844291601</v>
      </c>
      <c r="P223" s="23">
        <v>9.4696968793869005E-2</v>
      </c>
      <c r="Q223" s="24">
        <v>0.59469699859619096</v>
      </c>
      <c r="R223" s="25">
        <v>3.787878787878788E-3</v>
      </c>
      <c r="S223" s="25">
        <v>0</v>
      </c>
      <c r="T223" s="25">
        <v>0.2196969696969697</v>
      </c>
    </row>
    <row r="224" spans="1:20" x14ac:dyDescent="0.25">
      <c r="A224" s="8" t="s">
        <v>499</v>
      </c>
      <c r="B224" s="8" t="s">
        <v>500</v>
      </c>
      <c r="C224" s="8" t="s">
        <v>3540</v>
      </c>
      <c r="D224" s="8">
        <v>234</v>
      </c>
      <c r="E224" s="24">
        <v>0.46153846383094699</v>
      </c>
      <c r="F224" s="24">
        <v>0.53846156597137396</v>
      </c>
      <c r="G224" s="23">
        <v>0</v>
      </c>
      <c r="H224" s="23">
        <v>1.7094017937779399E-2</v>
      </c>
      <c r="I224" s="24">
        <v>0.38888889551162698</v>
      </c>
      <c r="J224" s="24">
        <v>0.55128204822540205</v>
      </c>
      <c r="K224" s="23">
        <v>1.28205129876733E-2</v>
      </c>
      <c r="L224" s="23">
        <v>0</v>
      </c>
      <c r="M224" s="23">
        <v>2.99145299941301E-2</v>
      </c>
      <c r="N224" s="23">
        <v>0</v>
      </c>
      <c r="O224" s="23">
        <v>0.25213676691055298</v>
      </c>
      <c r="P224" s="23">
        <v>0.20085470378398901</v>
      </c>
      <c r="Q224" s="24">
        <v>0.97435897588729803</v>
      </c>
      <c r="R224" s="25">
        <v>6.4102564102564097E-2</v>
      </c>
      <c r="S224" s="25">
        <v>2.1367521367521368E-2</v>
      </c>
      <c r="T224" s="25">
        <v>0.15384615384615385</v>
      </c>
    </row>
    <row r="225" spans="1:20" x14ac:dyDescent="0.25">
      <c r="A225" s="8" t="s">
        <v>502</v>
      </c>
      <c r="B225" s="8" t="s">
        <v>503</v>
      </c>
      <c r="C225" s="8" t="s">
        <v>3540</v>
      </c>
      <c r="D225" s="8">
        <v>226</v>
      </c>
      <c r="E225" s="24">
        <v>0.362831860780715</v>
      </c>
      <c r="F225" s="24">
        <v>0.637168169021606</v>
      </c>
      <c r="G225" s="23">
        <v>0</v>
      </c>
      <c r="H225" s="23">
        <v>1.7699114978313401E-2</v>
      </c>
      <c r="I225" s="24">
        <v>0.49557521939277599</v>
      </c>
      <c r="J225" s="24">
        <v>0.39380529522895802</v>
      </c>
      <c r="K225" s="23">
        <v>4.4247787445783997E-3</v>
      </c>
      <c r="L225" s="23">
        <v>1.32743362337351E-2</v>
      </c>
      <c r="M225" s="23">
        <v>7.5221240520477295E-2</v>
      </c>
      <c r="N225" s="23">
        <v>0</v>
      </c>
      <c r="O225" s="24">
        <v>0.42035397887229897</v>
      </c>
      <c r="P225" s="23">
        <v>6.6371679306030301E-2</v>
      </c>
      <c r="Q225" s="24">
        <v>0.93805307149886996</v>
      </c>
      <c r="R225" s="25">
        <v>0.32743362831858408</v>
      </c>
      <c r="S225" s="25">
        <v>2.2123893805309734E-2</v>
      </c>
      <c r="T225" s="25">
        <v>7.5221238938053103E-2</v>
      </c>
    </row>
    <row r="226" spans="1:20" x14ac:dyDescent="0.25">
      <c r="A226" s="8" t="s">
        <v>504</v>
      </c>
      <c r="B226" s="8" t="s">
        <v>505</v>
      </c>
      <c r="C226" s="8" t="s">
        <v>3540</v>
      </c>
      <c r="D226" s="8">
        <v>233</v>
      </c>
      <c r="E226" s="23">
        <v>0</v>
      </c>
      <c r="F226" s="23">
        <v>1</v>
      </c>
      <c r="G226" s="23">
        <v>0</v>
      </c>
      <c r="H226" s="23">
        <v>8.5836909711361001E-3</v>
      </c>
      <c r="I226" s="24">
        <v>0.62660944461822499</v>
      </c>
      <c r="J226" s="24">
        <v>0.29184550046920699</v>
      </c>
      <c r="K226" s="23">
        <v>2.57510729134083E-2</v>
      </c>
      <c r="L226" s="23">
        <v>1.28755364567041E-2</v>
      </c>
      <c r="M226" s="23">
        <v>1.28755364567041E-2</v>
      </c>
      <c r="N226" s="23">
        <v>2.1459227427840202E-2</v>
      </c>
      <c r="O226" s="24">
        <v>0.42918455600738498</v>
      </c>
      <c r="P226" s="23">
        <v>8.1545062363147694E-2</v>
      </c>
      <c r="Q226" s="24">
        <v>0.89270389080047596</v>
      </c>
      <c r="R226" s="25">
        <v>4.2918454935622317E-3</v>
      </c>
      <c r="S226" s="25">
        <v>6.8669527896995708E-2</v>
      </c>
      <c r="T226" s="25">
        <v>0.33047210300429186</v>
      </c>
    </row>
    <row r="227" spans="1:20" x14ac:dyDescent="0.25">
      <c r="A227" s="8" t="s">
        <v>506</v>
      </c>
      <c r="B227" s="8" t="s">
        <v>507</v>
      </c>
      <c r="C227" s="8" t="s">
        <v>3540</v>
      </c>
      <c r="D227" s="8">
        <v>184</v>
      </c>
      <c r="E227" s="24">
        <v>0.505434811115264</v>
      </c>
      <c r="F227" s="24">
        <v>0.494565218687057</v>
      </c>
      <c r="G227" s="23">
        <v>0</v>
      </c>
      <c r="H227" s="23">
        <v>5.4347827099263998E-3</v>
      </c>
      <c r="I227" s="24">
        <v>0.630434811115264</v>
      </c>
      <c r="J227" s="23">
        <v>0.32065218687057501</v>
      </c>
      <c r="K227" s="23">
        <v>1.0869565419852701E-2</v>
      </c>
      <c r="L227" s="23">
        <v>0</v>
      </c>
      <c r="M227" s="23">
        <v>3.2608695328235598E-2</v>
      </c>
      <c r="N227" s="23">
        <v>0</v>
      </c>
      <c r="O227" s="23">
        <v>0.30434781312942499</v>
      </c>
      <c r="P227" s="24">
        <v>0.14130434393882699</v>
      </c>
      <c r="Q227" s="23">
        <v>0.95652174949645996</v>
      </c>
      <c r="R227" s="25">
        <v>0.16847826086956522</v>
      </c>
      <c r="S227" s="25">
        <v>0</v>
      </c>
      <c r="T227" s="25">
        <v>9.7826086956521743E-2</v>
      </c>
    </row>
    <row r="228" spans="1:20" x14ac:dyDescent="0.25">
      <c r="A228" s="8" t="s">
        <v>508</v>
      </c>
      <c r="B228" s="8" t="s">
        <v>509</v>
      </c>
      <c r="C228" s="8" t="s">
        <v>3540</v>
      </c>
      <c r="D228" s="8">
        <v>159</v>
      </c>
      <c r="E228" s="24">
        <v>0.47169810533523499</v>
      </c>
      <c r="F228" s="24">
        <v>0.52830189466476396</v>
      </c>
      <c r="G228" s="23">
        <v>0</v>
      </c>
      <c r="H228" s="23">
        <v>1.25786159187555E-2</v>
      </c>
      <c r="I228" s="24">
        <v>0.45283019542693997</v>
      </c>
      <c r="J228" s="24">
        <v>0.45283019542693997</v>
      </c>
      <c r="K228" s="23">
        <v>1.8867924809455899E-2</v>
      </c>
      <c r="L228" s="23">
        <v>1.25786159187555E-2</v>
      </c>
      <c r="M228" s="23">
        <v>1.25786159187555E-2</v>
      </c>
      <c r="N228" s="23">
        <v>3.7735849618911702E-2</v>
      </c>
      <c r="O228" s="24">
        <v>0.30817610025405801</v>
      </c>
      <c r="P228" s="24">
        <v>0.17610062658786699</v>
      </c>
      <c r="Q228" s="24">
        <v>0.91823899745941095</v>
      </c>
      <c r="R228" s="25">
        <v>1.2578616352201259E-2</v>
      </c>
      <c r="S228" s="25">
        <v>0.10062893081761007</v>
      </c>
      <c r="T228" s="25">
        <v>0.16352201257861634</v>
      </c>
    </row>
    <row r="229" spans="1:20" x14ac:dyDescent="0.25">
      <c r="A229" s="8" t="s">
        <v>510</v>
      </c>
      <c r="B229" s="8" t="s">
        <v>511</v>
      </c>
      <c r="C229" s="8" t="s">
        <v>3540</v>
      </c>
      <c r="D229" s="8">
        <v>551</v>
      </c>
      <c r="E229" s="24">
        <v>0.51179671287536599</v>
      </c>
      <c r="F229" s="24">
        <v>0.48820325732231101</v>
      </c>
      <c r="G229" s="23">
        <v>0</v>
      </c>
      <c r="H229" s="23">
        <v>1.45190563052893E-2</v>
      </c>
      <c r="I229" s="23">
        <v>0.18693284690380099</v>
      </c>
      <c r="J229" s="23">
        <v>0.77495461702346802</v>
      </c>
      <c r="K229" s="23">
        <v>5.4446458816527999E-3</v>
      </c>
      <c r="L229" s="23">
        <v>1.8148820381612E-3</v>
      </c>
      <c r="M229" s="23">
        <v>1.63339376449585E-2</v>
      </c>
      <c r="N229" s="23">
        <v>0</v>
      </c>
      <c r="O229" s="24">
        <v>0.28856623172759999</v>
      </c>
      <c r="P229" s="24">
        <v>0.40834847092628401</v>
      </c>
      <c r="Q229" s="24">
        <v>0.95644283294677701</v>
      </c>
      <c r="R229" s="25">
        <v>0.16878402903811252</v>
      </c>
      <c r="S229" s="25">
        <v>0</v>
      </c>
      <c r="T229" s="25">
        <v>0.12341197822141561</v>
      </c>
    </row>
    <row r="230" spans="1:20" x14ac:dyDescent="0.25">
      <c r="A230" s="8" t="s">
        <v>513</v>
      </c>
      <c r="B230" s="8" t="s">
        <v>514</v>
      </c>
      <c r="C230" s="8" t="s">
        <v>3540</v>
      </c>
      <c r="D230" s="8">
        <v>295</v>
      </c>
      <c r="E230" s="24">
        <v>0.56949150562286299</v>
      </c>
      <c r="F230" s="24">
        <v>0.43050846457481301</v>
      </c>
      <c r="G230" s="23">
        <v>0</v>
      </c>
      <c r="H230" s="23">
        <v>2.0338982343673699E-2</v>
      </c>
      <c r="I230" s="23">
        <v>0.49491524696350098</v>
      </c>
      <c r="J230" s="24">
        <v>0.37627118825912398</v>
      </c>
      <c r="K230" s="23">
        <v>2.0338982343673699E-2</v>
      </c>
      <c r="L230" s="23">
        <v>1.01694911718369E-2</v>
      </c>
      <c r="M230" s="23">
        <v>7.4576273560524001E-2</v>
      </c>
      <c r="N230" s="23">
        <v>3.3898304682225002E-3</v>
      </c>
      <c r="O230" s="24">
        <v>0.18644067645072901</v>
      </c>
      <c r="P230" s="24">
        <v>0.166101694107055</v>
      </c>
      <c r="Q230" s="24">
        <v>0.89491528272628695</v>
      </c>
      <c r="R230" s="25">
        <v>3.7288135593220341E-2</v>
      </c>
      <c r="S230" s="25">
        <v>0</v>
      </c>
      <c r="T230" s="25">
        <v>0.13220338983050847</v>
      </c>
    </row>
    <row r="231" spans="1:20" x14ac:dyDescent="0.25">
      <c r="A231" s="8" t="s">
        <v>515</v>
      </c>
      <c r="B231" s="8" t="s">
        <v>516</v>
      </c>
      <c r="C231" s="8" t="s">
        <v>3540</v>
      </c>
      <c r="D231" s="8">
        <v>150</v>
      </c>
      <c r="E231" s="24">
        <v>0.44666665792465199</v>
      </c>
      <c r="F231" s="24">
        <v>0.55333334207534701</v>
      </c>
      <c r="G231" s="23">
        <v>0</v>
      </c>
      <c r="H231" s="23">
        <v>1.33333336561918E-2</v>
      </c>
      <c r="I231" s="23">
        <v>0.54666668176651001</v>
      </c>
      <c r="J231" s="24">
        <v>0.40000000596046398</v>
      </c>
      <c r="K231" s="23">
        <v>1.33333336561918E-2</v>
      </c>
      <c r="L231" s="23">
        <v>6.6666668280958999E-3</v>
      </c>
      <c r="M231" s="23">
        <v>1.9999999552965199E-2</v>
      </c>
      <c r="N231" s="23">
        <v>0</v>
      </c>
      <c r="O231" s="24">
        <v>0.38666665554046598</v>
      </c>
      <c r="P231" s="24">
        <v>0.126666665077209</v>
      </c>
      <c r="Q231" s="23">
        <v>1</v>
      </c>
      <c r="R231" s="25">
        <v>0.17333333333333334</v>
      </c>
      <c r="S231" s="25">
        <v>6.6666666666666671E-3</v>
      </c>
      <c r="T231" s="25">
        <v>0.19333333333333333</v>
      </c>
    </row>
    <row r="232" spans="1:20" x14ac:dyDescent="0.25">
      <c r="A232" s="8" t="s">
        <v>517</v>
      </c>
      <c r="B232" s="8" t="s">
        <v>518</v>
      </c>
      <c r="C232" s="8" t="s">
        <v>3540</v>
      </c>
      <c r="D232" s="8">
        <v>212</v>
      </c>
      <c r="E232" s="24">
        <v>0.47169810533523499</v>
      </c>
      <c r="F232" s="24">
        <v>0.52830189466476396</v>
      </c>
      <c r="G232" s="23">
        <v>0</v>
      </c>
      <c r="H232" s="23">
        <v>0</v>
      </c>
      <c r="I232" s="24">
        <v>0.58962261676788297</v>
      </c>
      <c r="J232" s="24">
        <v>0.33490565419196999</v>
      </c>
      <c r="K232" s="23">
        <v>1.8867924809455899E-2</v>
      </c>
      <c r="L232" s="23">
        <v>0</v>
      </c>
      <c r="M232" s="23">
        <v>5.6603774428367601E-2</v>
      </c>
      <c r="N232" s="23">
        <v>0</v>
      </c>
      <c r="O232" s="24">
        <v>0.35849055647849998</v>
      </c>
      <c r="P232" s="24">
        <v>0.16037735342979401</v>
      </c>
      <c r="Q232" s="24">
        <v>0.94339621067047097</v>
      </c>
      <c r="R232" s="25">
        <v>0.11320754716981132</v>
      </c>
      <c r="S232" s="25">
        <v>0</v>
      </c>
      <c r="T232" s="25">
        <v>0.21698113207547171</v>
      </c>
    </row>
    <row r="233" spans="1:20" x14ac:dyDescent="0.25">
      <c r="A233" s="8" t="s">
        <v>519</v>
      </c>
      <c r="B233" s="8" t="s">
        <v>520</v>
      </c>
      <c r="C233" s="8" t="s">
        <v>3540</v>
      </c>
      <c r="D233" s="8">
        <v>282</v>
      </c>
      <c r="E233" s="24">
        <v>0.51418441534042303</v>
      </c>
      <c r="F233" s="24">
        <v>0.48581561446189803</v>
      </c>
      <c r="G233" s="23">
        <v>0</v>
      </c>
      <c r="H233" s="23">
        <v>1.06382975354791E-2</v>
      </c>
      <c r="I233" s="24">
        <v>0.55319148302078203</v>
      </c>
      <c r="J233" s="24">
        <v>0.33333334326744002</v>
      </c>
      <c r="K233" s="23">
        <v>3.5460991784929999E-3</v>
      </c>
      <c r="L233" s="23">
        <v>6.0283686965703999E-2</v>
      </c>
      <c r="M233" s="23">
        <v>3.9007093757390997E-2</v>
      </c>
      <c r="N233" s="23">
        <v>0</v>
      </c>
      <c r="O233" s="24">
        <v>0.27659574151039101</v>
      </c>
      <c r="P233" s="24">
        <v>0.10283687710762</v>
      </c>
      <c r="Q233" s="23">
        <v>0.95744681358337402</v>
      </c>
      <c r="R233" s="25">
        <v>0.13475177304964539</v>
      </c>
      <c r="S233" s="25">
        <v>0</v>
      </c>
      <c r="T233" s="25">
        <v>0.16312056737588654</v>
      </c>
    </row>
    <row r="234" spans="1:20" x14ac:dyDescent="0.25">
      <c r="A234" s="8" t="s">
        <v>521</v>
      </c>
      <c r="B234" s="8" t="s">
        <v>522</v>
      </c>
      <c r="C234" s="8" t="s">
        <v>3540</v>
      </c>
      <c r="D234" s="8">
        <v>198</v>
      </c>
      <c r="E234" s="24">
        <v>0.48989897966384799</v>
      </c>
      <c r="F234" s="24">
        <v>0.51010102033615101</v>
      </c>
      <c r="G234" s="23">
        <v>0</v>
      </c>
      <c r="H234" s="23">
        <v>5.0505050458014003E-3</v>
      </c>
      <c r="I234" s="24">
        <v>0.57575756311416604</v>
      </c>
      <c r="J234" s="24">
        <v>0.39898988604545499</v>
      </c>
      <c r="K234" s="23">
        <v>0</v>
      </c>
      <c r="L234" s="23">
        <v>5.0505050458014003E-3</v>
      </c>
      <c r="M234" s="23">
        <v>1.5151515603065499E-2</v>
      </c>
      <c r="N234" s="23">
        <v>0</v>
      </c>
      <c r="O234" s="24">
        <v>0.37878787517547602</v>
      </c>
      <c r="P234" s="23">
        <v>5.55555559694767E-2</v>
      </c>
      <c r="Q234" s="24">
        <v>0.89898991584777799</v>
      </c>
      <c r="R234" s="25">
        <v>0</v>
      </c>
      <c r="S234" s="25">
        <v>0</v>
      </c>
      <c r="T234" s="25">
        <v>0.34848484848484851</v>
      </c>
    </row>
    <row r="235" spans="1:20" x14ac:dyDescent="0.25">
      <c r="A235" s="8" t="s">
        <v>523</v>
      </c>
      <c r="B235" s="8" t="s">
        <v>524</v>
      </c>
      <c r="C235" s="8" t="s">
        <v>3540</v>
      </c>
      <c r="D235" s="8">
        <v>86</v>
      </c>
      <c r="E235" s="24">
        <v>0.33720931410789401</v>
      </c>
      <c r="F235" s="24">
        <v>0.66279071569442705</v>
      </c>
      <c r="G235" s="23">
        <v>0</v>
      </c>
      <c r="H235" s="23">
        <v>0</v>
      </c>
      <c r="I235" s="24">
        <v>0.453488379716873</v>
      </c>
      <c r="J235" s="24">
        <v>0.48837208747863697</v>
      </c>
      <c r="K235" s="23">
        <v>1.16279069334269E-2</v>
      </c>
      <c r="L235" s="23">
        <v>1.16279069334269E-2</v>
      </c>
      <c r="M235" s="23">
        <v>3.4883722662925699E-2</v>
      </c>
      <c r="N235" s="23">
        <v>0</v>
      </c>
      <c r="O235" s="24">
        <v>0.56976741552352905</v>
      </c>
      <c r="P235" s="24">
        <v>0.12790697813033999</v>
      </c>
      <c r="Q235" s="24">
        <v>0.98837208747863703</v>
      </c>
      <c r="R235" s="25">
        <v>0.29069767441860467</v>
      </c>
      <c r="S235" s="25">
        <v>0</v>
      </c>
      <c r="T235" s="25">
        <v>0.33720930232558138</v>
      </c>
    </row>
    <row r="236" spans="1:20" x14ac:dyDescent="0.25">
      <c r="A236" s="8" t="s">
        <v>525</v>
      </c>
      <c r="B236" s="8" t="s">
        <v>526</v>
      </c>
      <c r="C236" s="8" t="s">
        <v>3540</v>
      </c>
      <c r="D236" s="8">
        <v>278</v>
      </c>
      <c r="E236" s="24">
        <v>0.45683452486991799</v>
      </c>
      <c r="F236" s="24">
        <v>0.54316544532775801</v>
      </c>
      <c r="G236" s="23">
        <v>0</v>
      </c>
      <c r="H236" s="23">
        <v>1.07913669198751E-2</v>
      </c>
      <c r="I236" s="24">
        <v>0.33093523979187001</v>
      </c>
      <c r="J236" s="24">
        <v>0.60431653261184604</v>
      </c>
      <c r="K236" s="23">
        <v>0</v>
      </c>
      <c r="L236" s="23">
        <v>1.07913669198751E-2</v>
      </c>
      <c r="M236" s="23">
        <v>3.23740988969803E-2</v>
      </c>
      <c r="N236" s="23">
        <v>1.07913669198751E-2</v>
      </c>
      <c r="O236" s="24">
        <v>0.23381294310092901</v>
      </c>
      <c r="P236" s="24">
        <v>0.334532380104064</v>
      </c>
      <c r="Q236" s="24">
        <v>0.94604319334030096</v>
      </c>
      <c r="R236" s="25">
        <v>3.5971223021582736E-3</v>
      </c>
      <c r="S236" s="25">
        <v>3.5971223021582736E-3</v>
      </c>
      <c r="T236" s="25">
        <v>0.2446043165467626</v>
      </c>
    </row>
    <row r="237" spans="1:20" x14ac:dyDescent="0.25">
      <c r="A237" s="8" t="s">
        <v>527</v>
      </c>
      <c r="B237" s="8" t="s">
        <v>528</v>
      </c>
      <c r="C237" s="8" t="s">
        <v>3540</v>
      </c>
      <c r="D237" s="8">
        <v>140</v>
      </c>
      <c r="E237" s="24">
        <v>0.557142853736877</v>
      </c>
      <c r="F237" s="24">
        <v>0.442857146263122</v>
      </c>
      <c r="G237" s="23">
        <v>0</v>
      </c>
      <c r="H237" s="23">
        <v>0</v>
      </c>
      <c r="I237" s="23">
        <v>0.75</v>
      </c>
      <c r="J237" s="24">
        <v>0.207142859697341</v>
      </c>
      <c r="K237" s="23">
        <v>7.1428571827709996E-3</v>
      </c>
      <c r="L237" s="23">
        <v>2.8571428731083901E-2</v>
      </c>
      <c r="M237" s="23">
        <v>0</v>
      </c>
      <c r="N237" s="23">
        <v>7.1428571827709996E-3</v>
      </c>
      <c r="O237" s="24">
        <v>0.23571428656578</v>
      </c>
      <c r="P237" s="23">
        <v>4.28571440279484E-2</v>
      </c>
      <c r="Q237" s="24">
        <v>0.93571430444717396</v>
      </c>
      <c r="R237" s="25">
        <v>0</v>
      </c>
      <c r="S237" s="25">
        <v>0</v>
      </c>
      <c r="T237" s="25">
        <v>0.24285714285714285</v>
      </c>
    </row>
    <row r="238" spans="1:20" x14ac:dyDescent="0.25">
      <c r="A238" s="8" t="s">
        <v>529</v>
      </c>
      <c r="B238" s="8" t="s">
        <v>530</v>
      </c>
      <c r="C238" s="8" t="s">
        <v>3540</v>
      </c>
      <c r="D238" s="8">
        <v>721</v>
      </c>
      <c r="E238" s="24">
        <v>0.45353674888610801</v>
      </c>
      <c r="F238" s="24">
        <v>0.54646325111389105</v>
      </c>
      <c r="G238" s="23">
        <v>0</v>
      </c>
      <c r="H238" s="24">
        <v>0.122052706778049</v>
      </c>
      <c r="I238" s="24">
        <v>0.19556172192096699</v>
      </c>
      <c r="J238" s="24">
        <v>0.345353662967681</v>
      </c>
      <c r="K238" s="23">
        <v>7.6282940804958302E-2</v>
      </c>
      <c r="L238" s="23">
        <v>5.5478503927588003E-3</v>
      </c>
      <c r="M238" s="24">
        <v>0.25104022026062001</v>
      </c>
      <c r="N238" s="23">
        <v>4.1608875617384997E-3</v>
      </c>
      <c r="O238" s="24">
        <v>0.21081830561161</v>
      </c>
      <c r="P238" s="23">
        <v>1.3869625516235801E-2</v>
      </c>
      <c r="Q238" s="24">
        <v>0.432732313871383</v>
      </c>
      <c r="R238" s="25">
        <v>0</v>
      </c>
      <c r="S238" s="25">
        <v>6.9348127600554789E-3</v>
      </c>
      <c r="T238" s="25">
        <v>0.19556171983356449</v>
      </c>
    </row>
    <row r="239" spans="1:20" x14ac:dyDescent="0.25">
      <c r="A239" s="8" t="s">
        <v>531</v>
      </c>
      <c r="B239" s="8" t="s">
        <v>532</v>
      </c>
      <c r="C239" s="8" t="s">
        <v>3540</v>
      </c>
      <c r="D239" s="8">
        <v>175</v>
      </c>
      <c r="E239" s="24">
        <v>0.75999999046325595</v>
      </c>
      <c r="F239" s="24">
        <v>0.23428571224212599</v>
      </c>
      <c r="G239" s="23">
        <v>5.7142856530845E-3</v>
      </c>
      <c r="H239" s="23">
        <v>0</v>
      </c>
      <c r="I239" s="24">
        <v>0.53714287281036299</v>
      </c>
      <c r="J239" s="24">
        <v>0.451428562402725</v>
      </c>
      <c r="K239" s="23">
        <v>5.7142856530845E-3</v>
      </c>
      <c r="L239" s="23">
        <v>0</v>
      </c>
      <c r="M239" s="23">
        <v>5.7142856530845E-3</v>
      </c>
      <c r="N239" s="23">
        <v>0</v>
      </c>
      <c r="O239" s="24">
        <v>0.25714287161826999</v>
      </c>
      <c r="P239" s="23">
        <v>8.5714288055896801E-2</v>
      </c>
      <c r="Q239" s="24">
        <v>0.89142858982086104</v>
      </c>
      <c r="R239" s="25">
        <v>0</v>
      </c>
      <c r="S239" s="25">
        <v>0</v>
      </c>
      <c r="T239" s="25">
        <v>0.24</v>
      </c>
    </row>
    <row r="240" spans="1:20" x14ac:dyDescent="0.25">
      <c r="A240" s="8" t="s">
        <v>533</v>
      </c>
      <c r="B240" s="8" t="s">
        <v>534</v>
      </c>
      <c r="C240" s="8" t="s">
        <v>3540</v>
      </c>
      <c r="D240" s="8">
        <v>73</v>
      </c>
      <c r="E240" s="24">
        <v>0.39726027846336298</v>
      </c>
      <c r="F240" s="24">
        <v>0.60273975133895796</v>
      </c>
      <c r="G240" s="23">
        <v>0</v>
      </c>
      <c r="H240" s="23">
        <v>0</v>
      </c>
      <c r="I240" s="23">
        <v>0.46575343608856201</v>
      </c>
      <c r="J240" s="23">
        <v>0.46575343608856201</v>
      </c>
      <c r="K240" s="23">
        <v>0</v>
      </c>
      <c r="L240" s="23">
        <v>4.1095890104770702E-2</v>
      </c>
      <c r="M240" s="23">
        <v>1.36986300349236E-2</v>
      </c>
      <c r="N240" s="23">
        <v>1.36986300349236E-2</v>
      </c>
      <c r="O240" s="24">
        <v>0.50684928894042902</v>
      </c>
      <c r="P240" s="24">
        <v>0.13698630034923501</v>
      </c>
      <c r="Q240" s="24">
        <v>0.90410959720611495</v>
      </c>
      <c r="R240" s="25">
        <v>0.12328767123287671</v>
      </c>
      <c r="S240" s="25">
        <v>0.1095890410958904</v>
      </c>
      <c r="T240" s="25">
        <v>0.31506849315068491</v>
      </c>
    </row>
    <row r="241" spans="1:20" x14ac:dyDescent="0.25">
      <c r="A241" s="8" t="s">
        <v>535</v>
      </c>
      <c r="B241" s="8" t="s">
        <v>536</v>
      </c>
      <c r="C241" s="8" t="s">
        <v>3540</v>
      </c>
      <c r="D241" s="8">
        <v>621</v>
      </c>
      <c r="E241" s="24">
        <v>0.41545894742012002</v>
      </c>
      <c r="F241" s="24">
        <v>0.58454108238220204</v>
      </c>
      <c r="G241" s="23">
        <v>0</v>
      </c>
      <c r="H241" s="23">
        <v>1.4492753893137001E-2</v>
      </c>
      <c r="I241" s="24">
        <v>0.58293074369430498</v>
      </c>
      <c r="J241" s="24">
        <v>0.34138485789299</v>
      </c>
      <c r="K241" s="23">
        <v>1.1272141709923701E-2</v>
      </c>
      <c r="L241" s="23">
        <v>1.7713366076350202E-2</v>
      </c>
      <c r="M241" s="23">
        <v>3.0595812946557999E-2</v>
      </c>
      <c r="N241" s="23">
        <v>1.6103059751912999E-3</v>
      </c>
      <c r="O241" s="24">
        <v>0.270531386137008</v>
      </c>
      <c r="P241" s="23">
        <v>7.4074074625968905E-2</v>
      </c>
      <c r="Q241" s="24">
        <v>0.88888889551162698</v>
      </c>
      <c r="R241" s="25">
        <v>7.8904991948470213E-2</v>
      </c>
      <c r="S241" s="25">
        <v>9.6618357487922701E-3</v>
      </c>
      <c r="T241" s="25">
        <v>0.16425120772946861</v>
      </c>
    </row>
    <row r="242" spans="1:20" x14ac:dyDescent="0.25">
      <c r="A242" s="8" t="s">
        <v>537</v>
      </c>
      <c r="B242" s="8" t="s">
        <v>538</v>
      </c>
      <c r="C242" s="8" t="s">
        <v>3540</v>
      </c>
      <c r="D242" s="8">
        <v>93</v>
      </c>
      <c r="E242" s="24">
        <v>0.33333334326744002</v>
      </c>
      <c r="F242" s="24">
        <v>0.66666668653488104</v>
      </c>
      <c r="G242" s="23">
        <v>0</v>
      </c>
      <c r="H242" s="23">
        <v>2.15053763240576E-2</v>
      </c>
      <c r="I242" s="24">
        <v>0.34408602118492099</v>
      </c>
      <c r="J242" s="24">
        <v>0.61290323734283403</v>
      </c>
      <c r="K242" s="23">
        <v>0</v>
      </c>
      <c r="L242" s="23">
        <v>0</v>
      </c>
      <c r="M242" s="23">
        <v>2.15053763240576E-2</v>
      </c>
      <c r="N242" s="23">
        <v>0</v>
      </c>
      <c r="O242" s="24">
        <v>0.48387095332145602</v>
      </c>
      <c r="P242" s="23">
        <v>0.301075279712677</v>
      </c>
      <c r="Q242" s="24">
        <v>0.98924732208251898</v>
      </c>
      <c r="R242" s="25">
        <v>0.25806451612903225</v>
      </c>
      <c r="S242" s="25">
        <v>0</v>
      </c>
      <c r="T242" s="25">
        <v>0.25806451612903225</v>
      </c>
    </row>
    <row r="243" spans="1:20" x14ac:dyDescent="0.25">
      <c r="A243" s="8" t="s">
        <v>539</v>
      </c>
      <c r="B243" s="8" t="s">
        <v>540</v>
      </c>
      <c r="C243" s="8" t="s">
        <v>3540</v>
      </c>
      <c r="D243" s="8">
        <v>298</v>
      </c>
      <c r="E243" s="23">
        <v>0.48657718300819403</v>
      </c>
      <c r="F243" s="24">
        <v>0.51342284679412797</v>
      </c>
      <c r="G243" s="23">
        <v>0</v>
      </c>
      <c r="H243" s="23">
        <v>2.6845637708902401E-2</v>
      </c>
      <c r="I243" s="24">
        <v>0.439597308635711</v>
      </c>
      <c r="J243" s="24">
        <v>0.38590604066848699</v>
      </c>
      <c r="K243" s="23">
        <v>5.0335571169853197E-2</v>
      </c>
      <c r="L243" s="23">
        <v>1.34228188544512E-2</v>
      </c>
      <c r="M243" s="23">
        <v>8.3892621099948897E-2</v>
      </c>
      <c r="N243" s="23">
        <v>0</v>
      </c>
      <c r="O243" s="24">
        <v>0.221476510167121</v>
      </c>
      <c r="P243" s="23">
        <v>6.3758388161659199E-2</v>
      </c>
      <c r="Q243" s="24">
        <v>0.74832212924957198</v>
      </c>
      <c r="R243" s="25">
        <v>1.6778523489932886E-2</v>
      </c>
      <c r="S243" s="25">
        <v>0</v>
      </c>
      <c r="T243" s="25">
        <v>0.18791946308724833</v>
      </c>
    </row>
    <row r="244" spans="1:20" x14ac:dyDescent="0.25">
      <c r="A244" s="8" t="s">
        <v>541</v>
      </c>
      <c r="B244" s="8" t="s">
        <v>542</v>
      </c>
      <c r="C244" s="8" t="s">
        <v>3540</v>
      </c>
      <c r="D244" s="8">
        <v>414</v>
      </c>
      <c r="E244" s="24">
        <v>0.46135264635085999</v>
      </c>
      <c r="F244" s="24">
        <v>0.53864735364913896</v>
      </c>
      <c r="G244" s="23">
        <v>0</v>
      </c>
      <c r="H244" s="23">
        <v>7.2463769465685004E-3</v>
      </c>
      <c r="I244" s="24">
        <v>0.67632848024368197</v>
      </c>
      <c r="J244" s="24">
        <v>0.270531386137008</v>
      </c>
      <c r="K244" s="23">
        <v>1.20772942900658E-2</v>
      </c>
      <c r="L244" s="23">
        <v>9.6618356183170995E-3</v>
      </c>
      <c r="M244" s="23">
        <v>2.1739130839705498E-2</v>
      </c>
      <c r="N244" s="23">
        <v>2.4154589045793E-3</v>
      </c>
      <c r="O244" s="24">
        <v>0.28985506296157798</v>
      </c>
      <c r="P244" s="23">
        <v>4.1062802076339701E-2</v>
      </c>
      <c r="Q244" s="24">
        <v>0.90096616744995095</v>
      </c>
      <c r="R244" s="25">
        <v>2.4154589371980675E-3</v>
      </c>
      <c r="S244" s="25">
        <v>2.8985507246376812E-2</v>
      </c>
      <c r="T244" s="25">
        <v>0.2318840579710145</v>
      </c>
    </row>
    <row r="245" spans="1:20" x14ac:dyDescent="0.25">
      <c r="A245" s="8" t="s">
        <v>543</v>
      </c>
      <c r="B245" s="8" t="s">
        <v>544</v>
      </c>
      <c r="C245" s="8" t="s">
        <v>3540</v>
      </c>
      <c r="D245" s="8">
        <v>576</v>
      </c>
      <c r="E245" s="24">
        <v>0.35590279102325401</v>
      </c>
      <c r="F245" s="24">
        <v>0.64236110448837203</v>
      </c>
      <c r="G245" s="23">
        <v>1.7361111240461E-3</v>
      </c>
      <c r="H245" s="23">
        <v>0.28125</v>
      </c>
      <c r="I245" s="23">
        <v>8.8541664183139801E-2</v>
      </c>
      <c r="J245" s="24">
        <v>0.157986104488372</v>
      </c>
      <c r="K245" s="23">
        <v>8.6805552244186401E-2</v>
      </c>
      <c r="L245" s="23">
        <v>8.6805559694766998E-3</v>
      </c>
      <c r="M245" s="24">
        <v>0.35416665673255898</v>
      </c>
      <c r="N245" s="23">
        <v>2.25694440305233E-2</v>
      </c>
      <c r="O245" s="23">
        <v>7.98611119389534E-2</v>
      </c>
      <c r="P245" s="23">
        <v>1.7361111240461E-3</v>
      </c>
      <c r="Q245" s="24">
        <v>0.36111110448837203</v>
      </c>
      <c r="R245" s="25">
        <v>0</v>
      </c>
      <c r="S245" s="25">
        <v>0</v>
      </c>
      <c r="T245" s="25">
        <v>7.8125E-2</v>
      </c>
    </row>
    <row r="246" spans="1:20" x14ac:dyDescent="0.25">
      <c r="A246" s="8" t="s">
        <v>545</v>
      </c>
      <c r="B246" s="8" t="s">
        <v>546</v>
      </c>
      <c r="C246" s="8" t="s">
        <v>3540</v>
      </c>
      <c r="D246" s="8">
        <v>435</v>
      </c>
      <c r="E246" s="24">
        <v>0.50114941596984797</v>
      </c>
      <c r="F246" s="24">
        <v>0.49885058403015098</v>
      </c>
      <c r="G246" s="23">
        <v>0</v>
      </c>
      <c r="H246" s="23">
        <v>1.3793103396892501E-2</v>
      </c>
      <c r="I246" s="23">
        <v>8.27586203813553E-2</v>
      </c>
      <c r="J246" s="24">
        <v>0.85517239570617598</v>
      </c>
      <c r="K246" s="23">
        <v>6.8965516984462998E-3</v>
      </c>
      <c r="L246" s="23">
        <v>9.1954022645950005E-3</v>
      </c>
      <c r="M246" s="23">
        <v>2.9885057359933902E-2</v>
      </c>
      <c r="N246" s="23">
        <v>2.2988505661488E-3</v>
      </c>
      <c r="O246" s="24">
        <v>0.20000000298023199</v>
      </c>
      <c r="P246" s="24">
        <v>0.21609196066856301</v>
      </c>
      <c r="Q246" s="24">
        <v>0.82988506555557195</v>
      </c>
      <c r="R246" s="25">
        <v>5.5172413793103448E-2</v>
      </c>
      <c r="S246" s="25">
        <v>0</v>
      </c>
      <c r="T246" s="25">
        <v>0.14252873563218391</v>
      </c>
    </row>
    <row r="247" spans="1:20" x14ac:dyDescent="0.25">
      <c r="A247" s="8" t="s">
        <v>547</v>
      </c>
      <c r="B247" s="8" t="s">
        <v>548</v>
      </c>
      <c r="C247" s="8" t="s">
        <v>3540</v>
      </c>
      <c r="D247" s="8">
        <v>431</v>
      </c>
      <c r="E247" s="23">
        <v>0.47099769115447998</v>
      </c>
      <c r="F247" s="23">
        <v>0.52900230884552002</v>
      </c>
      <c r="G247" s="23">
        <v>0</v>
      </c>
      <c r="H247" s="23">
        <v>4.6403710730373998E-3</v>
      </c>
      <c r="I247" s="23">
        <v>8.8167056441307096E-2</v>
      </c>
      <c r="J247" s="23">
        <v>0.886310875415802</v>
      </c>
      <c r="K247" s="23">
        <v>6.9605568423867E-3</v>
      </c>
      <c r="L247" s="23">
        <v>0</v>
      </c>
      <c r="M247" s="23">
        <v>1.39211136847734E-2</v>
      </c>
      <c r="N247" s="23">
        <v>0</v>
      </c>
      <c r="O247" s="24">
        <v>0.299303948879241</v>
      </c>
      <c r="P247" s="24">
        <v>0.38979119062423701</v>
      </c>
      <c r="Q247" s="24">
        <v>0.94895589351653997</v>
      </c>
      <c r="R247" s="25">
        <v>0.10208816705336426</v>
      </c>
      <c r="S247" s="25">
        <v>2.3201856148491878E-3</v>
      </c>
      <c r="T247" s="25">
        <v>0.16705336426914152</v>
      </c>
    </row>
    <row r="248" spans="1:20" x14ac:dyDescent="0.25">
      <c r="A248" s="8" t="s">
        <v>549</v>
      </c>
      <c r="B248" s="8" t="s">
        <v>550</v>
      </c>
      <c r="C248" s="8" t="s">
        <v>3540</v>
      </c>
      <c r="D248" s="8">
        <v>362</v>
      </c>
      <c r="E248" s="24">
        <v>0.46685081720352101</v>
      </c>
      <c r="F248" s="24">
        <v>0.53314918279647805</v>
      </c>
      <c r="G248" s="23">
        <v>0</v>
      </c>
      <c r="H248" s="23">
        <v>5.5248620919883E-3</v>
      </c>
      <c r="I248" s="23">
        <v>4.9723755568265901E-2</v>
      </c>
      <c r="J248" s="24">
        <v>0.88397789001464799</v>
      </c>
      <c r="K248" s="23">
        <v>1.1049724183976701E-2</v>
      </c>
      <c r="L248" s="23">
        <v>8.2872929051518007E-3</v>
      </c>
      <c r="M248" s="23">
        <v>4.1436463594436597E-2</v>
      </c>
      <c r="N248" s="23">
        <v>0</v>
      </c>
      <c r="O248" s="24">
        <v>0.21270717680454199</v>
      </c>
      <c r="P248" s="24">
        <v>0.37292817234992898</v>
      </c>
      <c r="Q248" s="24">
        <v>0.93093919754028298</v>
      </c>
      <c r="R248" s="25">
        <v>6.6298342541436461E-2</v>
      </c>
      <c r="S248" s="25">
        <v>2.7624309392265192E-3</v>
      </c>
      <c r="T248" s="25">
        <v>0.13535911602209943</v>
      </c>
    </row>
    <row r="249" spans="1:20" x14ac:dyDescent="0.25">
      <c r="A249" s="8" t="s">
        <v>551</v>
      </c>
      <c r="B249" s="8" t="s">
        <v>552</v>
      </c>
      <c r="C249" s="8" t="s">
        <v>3540</v>
      </c>
      <c r="D249" s="8">
        <v>186</v>
      </c>
      <c r="E249" s="24">
        <v>0.53225809335708596</v>
      </c>
      <c r="F249" s="24">
        <v>0.46774193644523598</v>
      </c>
      <c r="G249" s="23">
        <v>0</v>
      </c>
      <c r="H249" s="23">
        <v>0</v>
      </c>
      <c r="I249" s="23">
        <v>4.8387095332145698E-2</v>
      </c>
      <c r="J249" s="24">
        <v>0.93010753393173196</v>
      </c>
      <c r="K249" s="23">
        <v>1.61290317773819E-2</v>
      </c>
      <c r="L249" s="23">
        <v>0</v>
      </c>
      <c r="M249" s="23">
        <v>5.3763440810144E-3</v>
      </c>
      <c r="N249" s="23">
        <v>0</v>
      </c>
      <c r="O249" s="24">
        <v>0.25806450843811002</v>
      </c>
      <c r="P249" s="24">
        <v>0.36559140682220398</v>
      </c>
      <c r="Q249" s="24">
        <v>0.98924732208251898</v>
      </c>
      <c r="R249" s="25">
        <v>0.15053763440860216</v>
      </c>
      <c r="S249" s="25">
        <v>5.3763440860215058E-3</v>
      </c>
      <c r="T249" s="25">
        <v>0.14516129032258066</v>
      </c>
    </row>
    <row r="250" spans="1:20" x14ac:dyDescent="0.25">
      <c r="A250" s="8" t="s">
        <v>553</v>
      </c>
      <c r="B250" s="8" t="s">
        <v>554</v>
      </c>
      <c r="C250" s="8" t="s">
        <v>3540</v>
      </c>
      <c r="D250" s="8">
        <v>383</v>
      </c>
      <c r="E250" s="24">
        <v>0.47258484363555903</v>
      </c>
      <c r="F250" s="24">
        <v>0.52741515636444003</v>
      </c>
      <c r="G250" s="23">
        <v>0</v>
      </c>
      <c r="H250" s="23">
        <v>1.30548300221562E-2</v>
      </c>
      <c r="I250" s="24">
        <v>0.13054829835891699</v>
      </c>
      <c r="J250" s="24">
        <v>0.80678850412368697</v>
      </c>
      <c r="K250" s="23">
        <v>1.30548300221562E-2</v>
      </c>
      <c r="L250" s="23">
        <v>0</v>
      </c>
      <c r="M250" s="23">
        <v>3.6553524434566498E-2</v>
      </c>
      <c r="N250" s="23">
        <v>0</v>
      </c>
      <c r="O250" s="24">
        <v>0.289817243814468</v>
      </c>
      <c r="P250" s="24">
        <v>0.40469974279403598</v>
      </c>
      <c r="Q250" s="24">
        <v>0.91644906997680597</v>
      </c>
      <c r="R250" s="25">
        <v>9.921671018276762E-2</v>
      </c>
      <c r="S250" s="25">
        <v>7.832898172323759E-3</v>
      </c>
      <c r="T250" s="25">
        <v>0.13315926892950392</v>
      </c>
    </row>
    <row r="251" spans="1:20" x14ac:dyDescent="0.25">
      <c r="A251" s="8" t="s">
        <v>555</v>
      </c>
      <c r="B251" s="8" t="s">
        <v>556</v>
      </c>
      <c r="C251" s="8" t="s">
        <v>3540</v>
      </c>
      <c r="D251" s="8">
        <v>385</v>
      </c>
      <c r="E251" s="24">
        <v>0.46493506431579501</v>
      </c>
      <c r="F251" s="24">
        <v>0.53506493568420399</v>
      </c>
      <c r="G251" s="23">
        <v>0</v>
      </c>
      <c r="H251" s="23">
        <v>0</v>
      </c>
      <c r="I251" s="23">
        <v>2.3376623168587699E-2</v>
      </c>
      <c r="J251" s="24">
        <v>0.88831168413162198</v>
      </c>
      <c r="K251" s="23">
        <v>1.8181817606091499E-2</v>
      </c>
      <c r="L251" s="23">
        <v>0</v>
      </c>
      <c r="M251" s="23">
        <v>7.0129871368408203E-2</v>
      </c>
      <c r="N251" s="23">
        <v>0</v>
      </c>
      <c r="O251" s="24">
        <v>0.335064947605133</v>
      </c>
      <c r="P251" s="24">
        <v>0.329870134592056</v>
      </c>
      <c r="Q251" s="24">
        <v>0.85974025726318304</v>
      </c>
      <c r="R251" s="25">
        <v>0.11428571428571428</v>
      </c>
      <c r="S251" s="25">
        <v>5.1948051948051948E-3</v>
      </c>
      <c r="T251" s="25">
        <v>0.17662337662337663</v>
      </c>
    </row>
    <row r="252" spans="1:20" x14ac:dyDescent="0.25">
      <c r="A252" s="8" t="s">
        <v>557</v>
      </c>
      <c r="B252" s="8" t="s">
        <v>558</v>
      </c>
      <c r="C252" s="8" t="s">
        <v>3540</v>
      </c>
      <c r="D252" s="8">
        <v>131</v>
      </c>
      <c r="E252" s="24">
        <v>0.42748090624809199</v>
      </c>
      <c r="F252" s="23">
        <v>0.57251906394958496</v>
      </c>
      <c r="G252" s="23">
        <v>0</v>
      </c>
      <c r="H252" s="23">
        <v>0</v>
      </c>
      <c r="I252" s="24">
        <v>0.106870226562023</v>
      </c>
      <c r="J252" s="24">
        <v>0.86259543895721402</v>
      </c>
      <c r="K252" s="23">
        <v>7.6335878111422001E-3</v>
      </c>
      <c r="L252" s="23">
        <v>0</v>
      </c>
      <c r="M252" s="23">
        <v>2.2900763899087899E-2</v>
      </c>
      <c r="N252" s="23">
        <v>0</v>
      </c>
      <c r="O252" s="24">
        <v>0.25190839171409601</v>
      </c>
      <c r="P252" s="24">
        <v>0.48854961991310097</v>
      </c>
      <c r="Q252" s="24">
        <v>0.97709923982620195</v>
      </c>
      <c r="R252" s="25">
        <v>0.16030534351145037</v>
      </c>
      <c r="S252" s="25">
        <v>7.6335877862595417E-3</v>
      </c>
      <c r="T252" s="25">
        <v>0.12213740458015267</v>
      </c>
    </row>
    <row r="253" spans="1:20" x14ac:dyDescent="0.25">
      <c r="A253" s="8" t="s">
        <v>559</v>
      </c>
      <c r="B253" s="8" t="s">
        <v>560</v>
      </c>
      <c r="C253" s="8" t="s">
        <v>3540</v>
      </c>
      <c r="D253" s="8">
        <v>298</v>
      </c>
      <c r="E253" s="24">
        <v>0.51342284679412797</v>
      </c>
      <c r="F253" s="23">
        <v>0.48657718300819403</v>
      </c>
      <c r="G253" s="23">
        <v>0</v>
      </c>
      <c r="H253" s="23">
        <v>3.3557047136128001E-3</v>
      </c>
      <c r="I253" s="24">
        <v>0.10738255083560901</v>
      </c>
      <c r="J253" s="24">
        <v>0.84899330139160101</v>
      </c>
      <c r="K253" s="23">
        <v>1.34228188544512E-2</v>
      </c>
      <c r="L253" s="23">
        <v>0</v>
      </c>
      <c r="M253" s="23">
        <v>2.6845637708902401E-2</v>
      </c>
      <c r="N253" s="23">
        <v>0</v>
      </c>
      <c r="O253" s="24">
        <v>0.18791946768760601</v>
      </c>
      <c r="P253" s="23">
        <v>0.26845636963844299</v>
      </c>
      <c r="Q253" s="24">
        <v>0.90604025125503496</v>
      </c>
      <c r="R253" s="25">
        <v>6.0402684563758392E-2</v>
      </c>
      <c r="S253" s="25">
        <v>3.3557046979865771E-3</v>
      </c>
      <c r="T253" s="25">
        <v>0.12751677852348994</v>
      </c>
    </row>
    <row r="254" spans="1:20" x14ac:dyDescent="0.25">
      <c r="A254" s="8" t="s">
        <v>561</v>
      </c>
      <c r="B254" s="8" t="s">
        <v>562</v>
      </c>
      <c r="C254" s="8" t="s">
        <v>3540</v>
      </c>
      <c r="D254" s="8">
        <v>420</v>
      </c>
      <c r="E254" s="24">
        <v>0.48571428656577997</v>
      </c>
      <c r="F254" s="24">
        <v>0.51428574323654097</v>
      </c>
      <c r="G254" s="23">
        <v>0</v>
      </c>
      <c r="H254" s="23">
        <v>9.5238098874687992E-3</v>
      </c>
      <c r="I254" s="23">
        <v>1.42857143655419E-2</v>
      </c>
      <c r="J254" s="24">
        <v>0.74523806571960405</v>
      </c>
      <c r="K254" s="23">
        <v>3.0952380970120399E-2</v>
      </c>
      <c r="L254" s="23">
        <v>0</v>
      </c>
      <c r="M254" s="24">
        <v>0.20000000298023199</v>
      </c>
      <c r="N254" s="23">
        <v>0</v>
      </c>
      <c r="O254" s="24">
        <v>0.21428571641445099</v>
      </c>
      <c r="P254" s="24">
        <v>0.36666667461395203</v>
      </c>
      <c r="Q254" s="24">
        <v>0.65714287757873502</v>
      </c>
      <c r="R254" s="25">
        <v>0</v>
      </c>
      <c r="S254" s="25">
        <v>0</v>
      </c>
      <c r="T254" s="25">
        <v>0.21428571428571427</v>
      </c>
    </row>
    <row r="255" spans="1:20" x14ac:dyDescent="0.25">
      <c r="A255" s="8" t="s">
        <v>563</v>
      </c>
      <c r="B255" s="8" t="s">
        <v>564</v>
      </c>
      <c r="C255" s="8" t="s">
        <v>3540</v>
      </c>
      <c r="D255" s="8">
        <v>358</v>
      </c>
      <c r="E255" s="24">
        <v>0.491620123386383</v>
      </c>
      <c r="F255" s="24">
        <v>0.50837987661361606</v>
      </c>
      <c r="G255" s="23">
        <v>0</v>
      </c>
      <c r="H255" s="23">
        <v>5.5865920148790004E-3</v>
      </c>
      <c r="I255" s="23">
        <v>3.6312848329544102E-2</v>
      </c>
      <c r="J255" s="24">
        <v>0.913407802581787</v>
      </c>
      <c r="K255" s="23">
        <v>8.3798887208103995E-3</v>
      </c>
      <c r="L255" s="23">
        <v>5.5865920148790004E-3</v>
      </c>
      <c r="M255" s="23">
        <v>3.0726257711648899E-2</v>
      </c>
      <c r="N255" s="23">
        <v>0</v>
      </c>
      <c r="O255" s="24">
        <v>0.26256984472274703</v>
      </c>
      <c r="P255" s="24">
        <v>0.35195529460906899</v>
      </c>
      <c r="Q255" s="24">
        <v>0.98603349924087502</v>
      </c>
      <c r="R255" s="25">
        <v>9.217877094972067E-2</v>
      </c>
      <c r="S255" s="25">
        <v>5.5865921787709499E-3</v>
      </c>
      <c r="T255" s="25">
        <v>0.1787709497206704</v>
      </c>
    </row>
    <row r="256" spans="1:20" x14ac:dyDescent="0.25">
      <c r="A256" s="8" t="s">
        <v>565</v>
      </c>
      <c r="B256" s="8" t="s">
        <v>566</v>
      </c>
      <c r="C256" s="8" t="s">
        <v>3540</v>
      </c>
      <c r="D256" s="8">
        <v>451</v>
      </c>
      <c r="E256" s="24">
        <v>0.54988914728164595</v>
      </c>
      <c r="F256" s="24">
        <v>0.45011085271835299</v>
      </c>
      <c r="G256" s="23">
        <v>0</v>
      </c>
      <c r="H256" s="23">
        <v>8.8691795244813E-3</v>
      </c>
      <c r="I256" s="23">
        <v>5.3215079009532901E-2</v>
      </c>
      <c r="J256" s="24">
        <v>0.89135253429412797</v>
      </c>
      <c r="K256" s="23">
        <v>4.4345897622405997E-3</v>
      </c>
      <c r="L256" s="23">
        <v>1.1086474172771E-2</v>
      </c>
      <c r="M256" s="23">
        <v>3.1042128801345801E-2</v>
      </c>
      <c r="N256" s="23">
        <v>0</v>
      </c>
      <c r="O256" s="24">
        <v>0.237250551581382</v>
      </c>
      <c r="P256" s="24">
        <v>0.25942349433898898</v>
      </c>
      <c r="Q256" s="23">
        <v>0.86031043529510498</v>
      </c>
      <c r="R256" s="25">
        <v>0.11973392461197339</v>
      </c>
      <c r="S256" s="25">
        <v>4.434589800443459E-3</v>
      </c>
      <c r="T256" s="25">
        <v>0.10643015521064302</v>
      </c>
    </row>
    <row r="257" spans="1:20" x14ac:dyDescent="0.25">
      <c r="A257" s="8" t="s">
        <v>567</v>
      </c>
      <c r="B257" s="8" t="s">
        <v>568</v>
      </c>
      <c r="C257" s="8" t="s">
        <v>3540</v>
      </c>
      <c r="D257" s="8">
        <v>200</v>
      </c>
      <c r="E257" s="23">
        <v>0.5</v>
      </c>
      <c r="F257" s="23">
        <v>0.5</v>
      </c>
      <c r="G257" s="23">
        <v>0</v>
      </c>
      <c r="H257" s="23">
        <v>9.9999997764825994E-3</v>
      </c>
      <c r="I257" s="23">
        <v>3.9999999105930301E-2</v>
      </c>
      <c r="J257" s="24">
        <v>0.91000002622604304</v>
      </c>
      <c r="K257" s="23">
        <v>9.9999997764825994E-3</v>
      </c>
      <c r="L257" s="23">
        <v>0</v>
      </c>
      <c r="M257" s="23">
        <v>2.9999999329447701E-2</v>
      </c>
      <c r="N257" s="23">
        <v>0</v>
      </c>
      <c r="O257" s="24">
        <v>0.33500000834464999</v>
      </c>
      <c r="P257" s="24">
        <v>0.54000002145767201</v>
      </c>
      <c r="Q257" s="24">
        <v>0.99500000476837103</v>
      </c>
      <c r="R257" s="25">
        <v>0.17</v>
      </c>
      <c r="S257" s="25">
        <v>0</v>
      </c>
      <c r="T257" s="25">
        <v>0.2</v>
      </c>
    </row>
    <row r="258" spans="1:20" x14ac:dyDescent="0.25">
      <c r="A258" s="8" t="s">
        <v>570</v>
      </c>
      <c r="B258" s="8" t="s">
        <v>571</v>
      </c>
      <c r="C258" s="8" t="s">
        <v>3540</v>
      </c>
      <c r="D258" s="8">
        <v>164</v>
      </c>
      <c r="E258" s="24">
        <v>0.45731708407402</v>
      </c>
      <c r="F258" s="23">
        <v>0.542682945728302</v>
      </c>
      <c r="G258" s="23">
        <v>0</v>
      </c>
      <c r="H258" s="23">
        <v>3.0487805604934699E-2</v>
      </c>
      <c r="I258" s="23">
        <v>2.43902429938316E-2</v>
      </c>
      <c r="J258" s="24">
        <v>0.89634144306182795</v>
      </c>
      <c r="K258" s="23">
        <v>0</v>
      </c>
      <c r="L258" s="23">
        <v>0</v>
      </c>
      <c r="M258" s="23">
        <v>4.8780485987663297E-2</v>
      </c>
      <c r="N258" s="23">
        <v>0</v>
      </c>
      <c r="O258" s="24">
        <v>0.33536586165428101</v>
      </c>
      <c r="P258" s="24">
        <v>0.57317072153091397</v>
      </c>
      <c r="Q258" s="24">
        <v>0.96341460943222001</v>
      </c>
      <c r="R258" s="25">
        <v>0.22560975609756098</v>
      </c>
      <c r="S258" s="25">
        <v>0</v>
      </c>
      <c r="T258" s="25">
        <v>0.10365853658536585</v>
      </c>
    </row>
    <row r="259" spans="1:20" x14ac:dyDescent="0.25">
      <c r="A259" s="8" t="s">
        <v>572</v>
      </c>
      <c r="B259" s="8" t="s">
        <v>573</v>
      </c>
      <c r="C259" s="8" t="s">
        <v>3540</v>
      </c>
      <c r="D259" s="8">
        <v>460</v>
      </c>
      <c r="E259" s="23">
        <v>0.50217390060424805</v>
      </c>
      <c r="F259" s="23">
        <v>0.49782609939575201</v>
      </c>
      <c r="G259" s="23">
        <v>0</v>
      </c>
      <c r="H259" s="23">
        <v>2.1739129442722E-3</v>
      </c>
      <c r="I259" s="23">
        <v>5.2173912525177002E-2</v>
      </c>
      <c r="J259" s="23">
        <v>0.84565216302871704</v>
      </c>
      <c r="K259" s="23">
        <v>6.9565214216709095E-2</v>
      </c>
      <c r="L259" s="23">
        <v>6.5217390656471001E-3</v>
      </c>
      <c r="M259" s="23">
        <v>2.3913042619824399E-2</v>
      </c>
      <c r="N259" s="23">
        <v>0</v>
      </c>
      <c r="O259" s="24">
        <v>0.18913044035434701</v>
      </c>
      <c r="P259" s="24">
        <v>0.204347819089889</v>
      </c>
      <c r="Q259" s="23">
        <v>0.94565218687057495</v>
      </c>
      <c r="R259" s="25">
        <v>6.0869565217391307E-2</v>
      </c>
      <c r="S259" s="25">
        <v>4.3478260869565218E-3</v>
      </c>
      <c r="T259" s="25">
        <v>0.11304347826086956</v>
      </c>
    </row>
    <row r="260" spans="1:20" x14ac:dyDescent="0.25">
      <c r="A260" s="8" t="s">
        <v>574</v>
      </c>
      <c r="B260" s="8" t="s">
        <v>575</v>
      </c>
      <c r="C260" s="8" t="s">
        <v>3540</v>
      </c>
      <c r="D260" s="8">
        <v>404</v>
      </c>
      <c r="E260" s="24">
        <v>0.49752473831176702</v>
      </c>
      <c r="F260" s="24">
        <v>0.50247526168823198</v>
      </c>
      <c r="G260" s="23">
        <v>0</v>
      </c>
      <c r="H260" s="23">
        <v>1.48514853790402E-2</v>
      </c>
      <c r="I260" s="24">
        <v>0.19306930899620001</v>
      </c>
      <c r="J260" s="24">
        <v>0.71782177686691195</v>
      </c>
      <c r="K260" s="23">
        <v>7.4257426895200998E-3</v>
      </c>
      <c r="L260" s="23">
        <v>9.9009899422525995E-3</v>
      </c>
      <c r="M260" s="23">
        <v>5.6930694729089702E-2</v>
      </c>
      <c r="N260" s="23">
        <v>0</v>
      </c>
      <c r="O260" s="24">
        <v>0.215346530079841</v>
      </c>
      <c r="P260" s="24">
        <v>0.26485148072242698</v>
      </c>
      <c r="Q260" s="23">
        <v>0.89603960514068604</v>
      </c>
      <c r="R260" s="25">
        <v>5.1980198019801978E-2</v>
      </c>
      <c r="S260" s="25">
        <v>0</v>
      </c>
      <c r="T260" s="25">
        <v>0.14108910891089108</v>
      </c>
    </row>
    <row r="261" spans="1:20" x14ac:dyDescent="0.25">
      <c r="A261" s="8" t="s">
        <v>577</v>
      </c>
      <c r="B261" s="8" t="s">
        <v>578</v>
      </c>
      <c r="C261" s="8" t="s">
        <v>3540</v>
      </c>
      <c r="D261" s="8">
        <v>609</v>
      </c>
      <c r="E261" s="24">
        <v>0.47126436233520502</v>
      </c>
      <c r="F261" s="24">
        <v>0.52709358930587702</v>
      </c>
      <c r="G261" s="23">
        <v>1.6420361353084E-3</v>
      </c>
      <c r="H261" s="23">
        <v>2.1346470341086402E-2</v>
      </c>
      <c r="I261" s="23">
        <v>3.94088663160801E-2</v>
      </c>
      <c r="J261" s="23">
        <v>0.87192118167877197</v>
      </c>
      <c r="K261" s="23">
        <v>8.2101803272963004E-3</v>
      </c>
      <c r="L261" s="23">
        <v>3.2840722706168998E-3</v>
      </c>
      <c r="M261" s="23">
        <v>5.58292269706726E-2</v>
      </c>
      <c r="N261" s="23">
        <v>0</v>
      </c>
      <c r="O261" s="24">
        <v>0.19540229439735399</v>
      </c>
      <c r="P261" s="24">
        <v>0.34646961092948902</v>
      </c>
      <c r="Q261" s="24">
        <v>0.88669949769973699</v>
      </c>
      <c r="R261" s="25">
        <v>3.2840722495894911E-2</v>
      </c>
      <c r="S261" s="25">
        <v>4.9261083743842365E-3</v>
      </c>
      <c r="T261" s="25">
        <v>0.14285714285714285</v>
      </c>
    </row>
    <row r="262" spans="1:20" x14ac:dyDescent="0.25">
      <c r="A262" s="8" t="s">
        <v>579</v>
      </c>
      <c r="B262" s="8" t="s">
        <v>580</v>
      </c>
      <c r="C262" s="8" t="s">
        <v>3540</v>
      </c>
      <c r="D262" s="8">
        <v>257</v>
      </c>
      <c r="E262" s="24">
        <v>0.47081711888313199</v>
      </c>
      <c r="F262" s="24">
        <v>0.52918285131454401</v>
      </c>
      <c r="G262" s="23">
        <v>0</v>
      </c>
      <c r="H262" s="23">
        <v>0</v>
      </c>
      <c r="I262" s="23">
        <v>3.8910504430532497E-2</v>
      </c>
      <c r="J262" s="24">
        <v>0.79377430677413896</v>
      </c>
      <c r="K262" s="23">
        <v>5.0583656877279302E-2</v>
      </c>
      <c r="L262" s="23">
        <v>3.8910505827516001E-3</v>
      </c>
      <c r="M262" s="24">
        <v>0.108949415385723</v>
      </c>
      <c r="N262" s="23">
        <v>3.8910505827516001E-3</v>
      </c>
      <c r="O262" s="24">
        <v>0.357976645231246</v>
      </c>
      <c r="P262" s="23">
        <v>0.186770424246788</v>
      </c>
      <c r="Q262" s="24">
        <v>0.81322956085205</v>
      </c>
      <c r="R262" s="25">
        <v>7.7821011673151752E-3</v>
      </c>
      <c r="S262" s="25">
        <v>0</v>
      </c>
      <c r="T262" s="25">
        <v>0.34241245136186771</v>
      </c>
    </row>
    <row r="263" spans="1:20" x14ac:dyDescent="0.25">
      <c r="A263" s="8" t="s">
        <v>581</v>
      </c>
      <c r="B263" s="8" t="s">
        <v>582</v>
      </c>
      <c r="C263" s="8" t="s">
        <v>3540</v>
      </c>
      <c r="D263" s="8">
        <v>750</v>
      </c>
      <c r="E263" s="23">
        <v>0.51866668462753296</v>
      </c>
      <c r="F263" s="24">
        <v>0.48133334517478898</v>
      </c>
      <c r="G263" s="23">
        <v>0</v>
      </c>
      <c r="H263" s="23">
        <v>4.1333332657813998E-2</v>
      </c>
      <c r="I263" s="23">
        <v>3.5999998450279201E-2</v>
      </c>
      <c r="J263" s="24">
        <v>0.47066667675971902</v>
      </c>
      <c r="K263" s="23">
        <v>8.5333332419395405E-2</v>
      </c>
      <c r="L263" s="23">
        <v>1.3333333190531E-3</v>
      </c>
      <c r="M263" s="24">
        <v>0.36533331871032698</v>
      </c>
      <c r="N263" s="23">
        <v>0</v>
      </c>
      <c r="O263" s="24">
        <v>0.21333333849906899</v>
      </c>
      <c r="P263" s="23">
        <v>4.1333332657813998E-2</v>
      </c>
      <c r="Q263" s="24">
        <v>0.397333323955535</v>
      </c>
      <c r="R263" s="25">
        <v>2.2666666666666668E-2</v>
      </c>
      <c r="S263" s="25">
        <v>0</v>
      </c>
      <c r="T263" s="25">
        <v>0.19066666666666668</v>
      </c>
    </row>
    <row r="264" spans="1:20" x14ac:dyDescent="0.25">
      <c r="A264" s="8" t="s">
        <v>583</v>
      </c>
      <c r="B264" s="8" t="s">
        <v>584</v>
      </c>
      <c r="C264" s="8" t="s">
        <v>3540</v>
      </c>
      <c r="D264" s="8">
        <v>431</v>
      </c>
      <c r="E264" s="24">
        <v>0.45243620872497498</v>
      </c>
      <c r="F264" s="24">
        <v>0.54756379127502397</v>
      </c>
      <c r="G264" s="23">
        <v>0</v>
      </c>
      <c r="H264" s="23">
        <v>2.3201855365186999E-3</v>
      </c>
      <c r="I264" s="23">
        <v>4.4083528220653499E-2</v>
      </c>
      <c r="J264" s="24">
        <v>0.92807424068450906</v>
      </c>
      <c r="K264" s="23">
        <v>2.3201855365186999E-3</v>
      </c>
      <c r="L264" s="23">
        <v>0</v>
      </c>
      <c r="M264" s="23">
        <v>2.3201856762170799E-2</v>
      </c>
      <c r="N264" s="23">
        <v>0</v>
      </c>
      <c r="O264" s="24">
        <v>0.25522041320800698</v>
      </c>
      <c r="P264" s="24">
        <v>0.28538283705711298</v>
      </c>
      <c r="Q264" s="24">
        <v>0.93503481149673395</v>
      </c>
      <c r="R264" s="25">
        <v>0.10208816705336426</v>
      </c>
      <c r="S264" s="25">
        <v>6.9605568445475635E-3</v>
      </c>
      <c r="T264" s="25">
        <v>0.1136890951276102</v>
      </c>
    </row>
    <row r="265" spans="1:20" x14ac:dyDescent="0.25">
      <c r="A265" s="8" t="s">
        <v>585</v>
      </c>
      <c r="B265" s="8" t="s">
        <v>586</v>
      </c>
      <c r="C265" s="8" t="s">
        <v>3540</v>
      </c>
      <c r="D265" s="8">
        <v>219</v>
      </c>
      <c r="E265" s="24">
        <v>0.479452043771743</v>
      </c>
      <c r="F265" s="24">
        <v>0.52054792642593295</v>
      </c>
      <c r="G265" s="23">
        <v>0</v>
      </c>
      <c r="H265" s="23">
        <v>9.1324197128415004E-3</v>
      </c>
      <c r="I265" s="23">
        <v>2.73972600698471E-2</v>
      </c>
      <c r="J265" s="23">
        <v>0.93150687217712402</v>
      </c>
      <c r="K265" s="23">
        <v>0</v>
      </c>
      <c r="L265" s="23">
        <v>4.5662098564207996E-3</v>
      </c>
      <c r="M265" s="23">
        <v>2.73972600698471E-2</v>
      </c>
      <c r="N265" s="23">
        <v>0</v>
      </c>
      <c r="O265" s="24">
        <v>0.24200913310050901</v>
      </c>
      <c r="P265" s="24">
        <v>0.27397260069847101</v>
      </c>
      <c r="Q265" s="24">
        <v>0.94063925743103005</v>
      </c>
      <c r="R265" s="25">
        <v>4.5662100456621002E-2</v>
      </c>
      <c r="S265" s="25">
        <v>3.1963470319634701E-2</v>
      </c>
      <c r="T265" s="25">
        <v>0.14155251141552511</v>
      </c>
    </row>
    <row r="266" spans="1:20" x14ac:dyDescent="0.25">
      <c r="A266" s="8" t="s">
        <v>587</v>
      </c>
      <c r="B266" s="8" t="s">
        <v>588</v>
      </c>
      <c r="C266" s="8" t="s">
        <v>3540</v>
      </c>
      <c r="D266" s="8">
        <v>286</v>
      </c>
      <c r="E266" s="23">
        <v>0.50349652767181396</v>
      </c>
      <c r="F266" s="24">
        <v>0.49650350213050798</v>
      </c>
      <c r="G266" s="23">
        <v>0</v>
      </c>
      <c r="H266" s="23">
        <v>1.3986013829708099E-2</v>
      </c>
      <c r="I266" s="24">
        <v>0.13286712765693601</v>
      </c>
      <c r="J266" s="24">
        <v>0.74125874042510898</v>
      </c>
      <c r="K266" s="23">
        <v>3.49650345742702E-2</v>
      </c>
      <c r="L266" s="23">
        <v>6.9930069148540002E-3</v>
      </c>
      <c r="M266" s="23">
        <v>6.9930069148540497E-2</v>
      </c>
      <c r="N266" s="23">
        <v>0</v>
      </c>
      <c r="O266" s="24">
        <v>0.241258740425109</v>
      </c>
      <c r="P266" s="24">
        <v>0.167832165956497</v>
      </c>
      <c r="Q266" s="24">
        <v>0.863636374473571</v>
      </c>
      <c r="R266" s="25">
        <v>1.3986013986013986E-2</v>
      </c>
      <c r="S266" s="25">
        <v>0</v>
      </c>
      <c r="T266" s="25">
        <v>0.22727272727272727</v>
      </c>
    </row>
    <row r="267" spans="1:20" x14ac:dyDescent="0.25">
      <c r="A267" s="8" t="s">
        <v>589</v>
      </c>
      <c r="B267" s="8" t="s">
        <v>590</v>
      </c>
      <c r="C267" s="8" t="s">
        <v>3540</v>
      </c>
      <c r="D267" s="8">
        <v>399</v>
      </c>
      <c r="E267" s="24">
        <v>0.50626564025878895</v>
      </c>
      <c r="F267" s="24">
        <v>0.49373432993888799</v>
      </c>
      <c r="G267" s="23">
        <v>0</v>
      </c>
      <c r="H267" s="23">
        <v>2.7568921446800201E-2</v>
      </c>
      <c r="I267" s="23">
        <v>1.50375943630934E-2</v>
      </c>
      <c r="J267" s="24">
        <v>0.93984961509704501</v>
      </c>
      <c r="K267" s="23">
        <v>0</v>
      </c>
      <c r="L267" s="23">
        <v>0</v>
      </c>
      <c r="M267" s="23">
        <v>1.7543859779834699E-2</v>
      </c>
      <c r="N267" s="23">
        <v>0</v>
      </c>
      <c r="O267" s="24">
        <v>0.24561403691768599</v>
      </c>
      <c r="P267" s="24">
        <v>0.401002496480941</v>
      </c>
      <c r="Q267" s="24">
        <v>0.90476191043853704</v>
      </c>
      <c r="R267" s="25">
        <v>5.0125313283208017E-3</v>
      </c>
      <c r="S267" s="25">
        <v>0</v>
      </c>
      <c r="T267" s="25">
        <v>0.24060150375939848</v>
      </c>
    </row>
    <row r="268" spans="1:20" x14ac:dyDescent="0.25">
      <c r="A268" s="8" t="s">
        <v>591</v>
      </c>
      <c r="B268" s="8" t="s">
        <v>592</v>
      </c>
      <c r="C268" s="8" t="s">
        <v>3540</v>
      </c>
      <c r="D268" s="8">
        <v>377</v>
      </c>
      <c r="E268" s="24">
        <v>0.429708212614059</v>
      </c>
      <c r="F268" s="24">
        <v>0.57029175758361805</v>
      </c>
      <c r="G268" s="23">
        <v>0</v>
      </c>
      <c r="H268" s="23">
        <v>7.9575600102544004E-3</v>
      </c>
      <c r="I268" s="23">
        <v>5.0397876650095E-2</v>
      </c>
      <c r="J268" s="24">
        <v>0.93633949756622303</v>
      </c>
      <c r="K268" s="23">
        <v>2.6525198481976999E-3</v>
      </c>
      <c r="L268" s="23">
        <v>0</v>
      </c>
      <c r="M268" s="23">
        <v>2.6525198481976999E-3</v>
      </c>
      <c r="N268" s="23">
        <v>0</v>
      </c>
      <c r="O268" s="24">
        <v>0.28647214174270602</v>
      </c>
      <c r="P268" s="24">
        <v>0.124668434262275</v>
      </c>
      <c r="Q268" s="24">
        <v>0.96286469697952204</v>
      </c>
      <c r="R268" s="25">
        <v>0</v>
      </c>
      <c r="S268" s="25">
        <v>2.6525198938992041E-3</v>
      </c>
      <c r="T268" s="25">
        <v>0.25198938992042441</v>
      </c>
    </row>
    <row r="269" spans="1:20" x14ac:dyDescent="0.25">
      <c r="A269" s="8" t="s">
        <v>593</v>
      </c>
      <c r="B269" s="8" t="s">
        <v>594</v>
      </c>
      <c r="C269" s="8" t="s">
        <v>3540</v>
      </c>
      <c r="D269" s="8">
        <v>317</v>
      </c>
      <c r="E269" s="24">
        <v>0.50157725811004605</v>
      </c>
      <c r="F269" s="24">
        <v>0.49526813626289301</v>
      </c>
      <c r="G269" s="23">
        <v>3.1545741949229999E-3</v>
      </c>
      <c r="H269" s="23">
        <v>2.5236593559384301E-2</v>
      </c>
      <c r="I269" s="23">
        <v>6.9400630891323103E-2</v>
      </c>
      <c r="J269" s="24">
        <v>0.68138802051544101</v>
      </c>
      <c r="K269" s="23">
        <v>5.6782335042953498E-2</v>
      </c>
      <c r="L269" s="23">
        <v>3.1545741949229999E-3</v>
      </c>
      <c r="M269" s="24">
        <v>0.16403785347938499</v>
      </c>
      <c r="N269" s="23">
        <v>0</v>
      </c>
      <c r="O269" s="24">
        <v>0.20189274847507399</v>
      </c>
      <c r="P269" s="23">
        <v>4.7318611294031102E-2</v>
      </c>
      <c r="Q269" s="24">
        <v>0.64037853479385298</v>
      </c>
      <c r="R269" s="25">
        <v>3.1545741324921134E-2</v>
      </c>
      <c r="S269" s="25">
        <v>2.8391167192429023E-2</v>
      </c>
      <c r="T269" s="25">
        <v>0.13249211356466878</v>
      </c>
    </row>
    <row r="270" spans="1:20" x14ac:dyDescent="0.25">
      <c r="A270" s="8" t="s">
        <v>595</v>
      </c>
      <c r="B270" s="8" t="s">
        <v>596</v>
      </c>
      <c r="C270" s="8" t="s">
        <v>3540</v>
      </c>
      <c r="D270" s="8">
        <v>261</v>
      </c>
      <c r="E270" s="23">
        <v>0.54022985696792603</v>
      </c>
      <c r="F270" s="24">
        <v>0.45977011322975098</v>
      </c>
      <c r="G270" s="23">
        <v>0</v>
      </c>
      <c r="H270" s="23">
        <v>0</v>
      </c>
      <c r="I270" s="23">
        <v>6.8965516984462696E-2</v>
      </c>
      <c r="J270" s="24">
        <v>0.81226050853729204</v>
      </c>
      <c r="K270" s="23">
        <v>1.14942528307438E-2</v>
      </c>
      <c r="L270" s="23">
        <v>0</v>
      </c>
      <c r="M270" s="24">
        <v>0.107279695570468</v>
      </c>
      <c r="N270" s="23">
        <v>0</v>
      </c>
      <c r="O270" s="24">
        <v>0.29501914978027299</v>
      </c>
      <c r="P270" s="24">
        <v>0.18773946166038499</v>
      </c>
      <c r="Q270" s="24">
        <v>0.78160917758941595</v>
      </c>
      <c r="R270" s="25">
        <v>5.3639846743295021E-2</v>
      </c>
      <c r="S270" s="25">
        <v>3.4482758620689655E-2</v>
      </c>
      <c r="T270" s="25">
        <v>0.22222222222222221</v>
      </c>
    </row>
    <row r="271" spans="1:20" x14ac:dyDescent="0.25">
      <c r="A271" s="8" t="s">
        <v>597</v>
      </c>
      <c r="B271" s="8" t="s">
        <v>598</v>
      </c>
      <c r="C271" s="8" t="s">
        <v>3540</v>
      </c>
      <c r="D271" s="8">
        <v>572</v>
      </c>
      <c r="E271" s="24">
        <v>0.54720282554626398</v>
      </c>
      <c r="F271" s="24">
        <v>0.45279720425605702</v>
      </c>
      <c r="G271" s="23">
        <v>0</v>
      </c>
      <c r="H271" s="23">
        <v>1.7482517287135001E-3</v>
      </c>
      <c r="I271" s="23">
        <v>1.9230769947171201E-2</v>
      </c>
      <c r="J271" s="24">
        <v>0.954545438289642</v>
      </c>
      <c r="K271" s="23">
        <v>3.4965034574270001E-3</v>
      </c>
      <c r="L271" s="23">
        <v>5.2447551861405E-3</v>
      </c>
      <c r="M271" s="23">
        <v>1.57342664897442E-2</v>
      </c>
      <c r="N271" s="23">
        <v>0</v>
      </c>
      <c r="O271" s="24">
        <v>0.20629370212554901</v>
      </c>
      <c r="P271" s="23">
        <v>8.5664339363574996E-2</v>
      </c>
      <c r="Q271" s="24">
        <v>0.88461536169052102</v>
      </c>
      <c r="R271" s="25">
        <v>0</v>
      </c>
      <c r="S271" s="25">
        <v>0</v>
      </c>
      <c r="T271" s="25">
        <v>0.19580419580419581</v>
      </c>
    </row>
    <row r="272" spans="1:20" x14ac:dyDescent="0.25">
      <c r="A272" s="8" t="s">
        <v>599</v>
      </c>
      <c r="B272" s="8" t="s">
        <v>600</v>
      </c>
      <c r="C272" s="8" t="s">
        <v>3540</v>
      </c>
      <c r="D272" s="8">
        <v>392</v>
      </c>
      <c r="E272" s="24">
        <v>0.47959184646606401</v>
      </c>
      <c r="F272" s="24">
        <v>0.52040815353393499</v>
      </c>
      <c r="G272" s="23">
        <v>0</v>
      </c>
      <c r="H272" s="23">
        <v>5.1020407117902998E-3</v>
      </c>
      <c r="I272" s="23">
        <v>1.2755102477967699E-2</v>
      </c>
      <c r="J272" s="24">
        <v>0.95918369293212802</v>
      </c>
      <c r="K272" s="23">
        <v>7.6530613005160999E-3</v>
      </c>
      <c r="L272" s="23">
        <v>2.5510203558951998E-3</v>
      </c>
      <c r="M272" s="23">
        <v>1.2755102477967699E-2</v>
      </c>
      <c r="N272" s="23">
        <v>0</v>
      </c>
      <c r="O272" s="24">
        <v>0.27806121110916099</v>
      </c>
      <c r="P272" s="24">
        <v>0.30612245202064498</v>
      </c>
      <c r="Q272" s="24">
        <v>0.82397961616516102</v>
      </c>
      <c r="R272" s="25">
        <v>1.7857142857142856E-2</v>
      </c>
      <c r="S272" s="25">
        <v>0</v>
      </c>
      <c r="T272" s="25">
        <v>0.27806122448979592</v>
      </c>
    </row>
    <row r="273" spans="1:20" x14ac:dyDescent="0.25">
      <c r="A273" s="8" t="s">
        <v>601</v>
      </c>
      <c r="B273" s="8" t="s">
        <v>602</v>
      </c>
      <c r="C273" s="8" t="s">
        <v>3540</v>
      </c>
      <c r="D273" s="8">
        <v>290</v>
      </c>
      <c r="E273" s="24">
        <v>0.52068966627120905</v>
      </c>
      <c r="F273" s="24">
        <v>0.47931033372879001</v>
      </c>
      <c r="G273" s="23">
        <v>0</v>
      </c>
      <c r="H273" s="23">
        <v>1.3793103396892501E-2</v>
      </c>
      <c r="I273" s="23">
        <v>3.4482758492231397E-2</v>
      </c>
      <c r="J273" s="24">
        <v>0.40000000596046398</v>
      </c>
      <c r="K273" s="24">
        <v>0.10000000149011599</v>
      </c>
      <c r="L273" s="23">
        <v>0</v>
      </c>
      <c r="M273" s="24">
        <v>0.45172414183616599</v>
      </c>
      <c r="N273" s="23">
        <v>0</v>
      </c>
      <c r="O273" s="24">
        <v>0.213793098926544</v>
      </c>
      <c r="P273" s="23">
        <v>4.1379310190677601E-2</v>
      </c>
      <c r="Q273" s="24">
        <v>0.34482759237289401</v>
      </c>
      <c r="R273" s="25">
        <v>0</v>
      </c>
      <c r="S273" s="25">
        <v>0</v>
      </c>
      <c r="T273" s="25">
        <v>0.22068965517241379</v>
      </c>
    </row>
    <row r="274" spans="1:20" x14ac:dyDescent="0.25">
      <c r="A274" s="8" t="s">
        <v>603</v>
      </c>
      <c r="B274" s="8" t="s">
        <v>604</v>
      </c>
      <c r="C274" s="8" t="s">
        <v>3540</v>
      </c>
      <c r="D274" s="8">
        <v>228</v>
      </c>
      <c r="E274" s="24">
        <v>0.43859648704528797</v>
      </c>
      <c r="F274" s="24">
        <v>0.56140351295471103</v>
      </c>
      <c r="G274" s="23">
        <v>0</v>
      </c>
      <c r="H274" s="23">
        <v>0</v>
      </c>
      <c r="I274" s="23">
        <v>2.1929824724793399E-2</v>
      </c>
      <c r="J274" s="24">
        <v>0.96491229534149103</v>
      </c>
      <c r="K274" s="23">
        <v>0</v>
      </c>
      <c r="L274" s="23">
        <v>0</v>
      </c>
      <c r="M274" s="23">
        <v>1.31578948348761E-2</v>
      </c>
      <c r="N274" s="23">
        <v>0</v>
      </c>
      <c r="O274" s="24">
        <v>0.34649121761321999</v>
      </c>
      <c r="P274" s="24">
        <v>0.372807025909423</v>
      </c>
      <c r="Q274" s="24">
        <v>0.91666668653488104</v>
      </c>
      <c r="R274" s="25">
        <v>5.2631578947368418E-2</v>
      </c>
      <c r="S274" s="25">
        <v>7.4561403508771926E-2</v>
      </c>
      <c r="T274" s="25">
        <v>0.22368421052631579</v>
      </c>
    </row>
    <row r="275" spans="1:20" x14ac:dyDescent="0.25">
      <c r="A275" s="8" t="s">
        <v>605</v>
      </c>
      <c r="B275" s="8" t="s">
        <v>606</v>
      </c>
      <c r="C275" s="8" t="s">
        <v>3540</v>
      </c>
      <c r="D275" s="8">
        <v>234</v>
      </c>
      <c r="E275" s="24">
        <v>0.42735043168067899</v>
      </c>
      <c r="F275" s="24">
        <v>0.57264959812164296</v>
      </c>
      <c r="G275" s="23">
        <v>0</v>
      </c>
      <c r="H275" s="23">
        <v>4.2735044844449E-3</v>
      </c>
      <c r="I275" s="23">
        <v>4.7008547931909603E-2</v>
      </c>
      <c r="J275" s="23">
        <v>0.94017094373703003</v>
      </c>
      <c r="K275" s="23">
        <v>8.5470089688896994E-3</v>
      </c>
      <c r="L275" s="23">
        <v>0</v>
      </c>
      <c r="M275" s="23">
        <v>0</v>
      </c>
      <c r="N275" s="23">
        <v>0</v>
      </c>
      <c r="O275" s="24">
        <v>0.16666667163372001</v>
      </c>
      <c r="P275" s="24">
        <v>0.40598291158676098</v>
      </c>
      <c r="Q275" s="24">
        <v>0.94444441795349099</v>
      </c>
      <c r="R275" s="25">
        <v>4.7008547008547008E-2</v>
      </c>
      <c r="S275" s="25">
        <v>4.2735042735042739E-3</v>
      </c>
      <c r="T275" s="25">
        <v>0.12820512820512819</v>
      </c>
    </row>
    <row r="276" spans="1:20" x14ac:dyDescent="0.25">
      <c r="A276" s="8" t="s">
        <v>607</v>
      </c>
      <c r="B276" s="8" t="s">
        <v>608</v>
      </c>
      <c r="C276" s="8" t="s">
        <v>3540</v>
      </c>
      <c r="D276" s="8">
        <v>185</v>
      </c>
      <c r="E276" s="24">
        <v>0.470270276069641</v>
      </c>
      <c r="F276" s="24">
        <v>0.529729723930358</v>
      </c>
      <c r="G276" s="23">
        <v>0</v>
      </c>
      <c r="H276" s="23">
        <v>0</v>
      </c>
      <c r="I276" s="23">
        <v>2.70270276814699E-2</v>
      </c>
      <c r="J276" s="23">
        <v>0.92972970008850098</v>
      </c>
      <c r="K276" s="23">
        <v>0</v>
      </c>
      <c r="L276" s="23">
        <v>5.4054055362939999E-3</v>
      </c>
      <c r="M276" s="23">
        <v>3.78378368914127E-2</v>
      </c>
      <c r="N276" s="23">
        <v>0</v>
      </c>
      <c r="O276" s="24">
        <v>0.31351351737976002</v>
      </c>
      <c r="P276" s="24">
        <v>0.49189189076423601</v>
      </c>
      <c r="Q276" s="24">
        <v>0.92432433366775502</v>
      </c>
      <c r="R276" s="25">
        <v>0.15675675675675677</v>
      </c>
      <c r="S276" s="25">
        <v>5.4054054054054057E-3</v>
      </c>
      <c r="T276" s="25">
        <v>0.16216216216216217</v>
      </c>
    </row>
    <row r="277" spans="1:20" x14ac:dyDescent="0.25">
      <c r="A277" s="8" t="s">
        <v>609</v>
      </c>
      <c r="B277" s="8" t="s">
        <v>610</v>
      </c>
      <c r="C277" s="8" t="s">
        <v>3540</v>
      </c>
      <c r="D277" s="8">
        <v>115</v>
      </c>
      <c r="E277" s="24">
        <v>0.486956506967544</v>
      </c>
      <c r="F277" s="24">
        <v>0.51304346323013295</v>
      </c>
      <c r="G277" s="23">
        <v>0</v>
      </c>
      <c r="H277" s="23">
        <v>0</v>
      </c>
      <c r="I277" s="23">
        <v>9.5652170479297596E-2</v>
      </c>
      <c r="J277" s="24">
        <v>0.86086958646774203</v>
      </c>
      <c r="K277" s="23">
        <v>0</v>
      </c>
      <c r="L277" s="23">
        <v>8.6956517770886005E-3</v>
      </c>
      <c r="M277" s="23">
        <v>3.4782607108354603E-2</v>
      </c>
      <c r="N277" s="23">
        <v>0</v>
      </c>
      <c r="O277" s="24">
        <v>0.39130434393882702</v>
      </c>
      <c r="P277" s="24">
        <v>0.51304346323013295</v>
      </c>
      <c r="Q277" s="23">
        <v>1</v>
      </c>
      <c r="R277" s="25">
        <v>6.0869565217391307E-2</v>
      </c>
      <c r="S277" s="25">
        <v>0.2</v>
      </c>
      <c r="T277" s="25">
        <v>0.15652173913043479</v>
      </c>
    </row>
    <row r="278" spans="1:20" x14ac:dyDescent="0.25">
      <c r="A278" s="8" t="s">
        <v>611</v>
      </c>
      <c r="B278" s="8" t="s">
        <v>612</v>
      </c>
      <c r="C278" s="8" t="s">
        <v>3540</v>
      </c>
      <c r="D278" s="8">
        <v>551</v>
      </c>
      <c r="E278" s="24">
        <v>0.45009073615074102</v>
      </c>
      <c r="F278" s="23">
        <v>0.54990923404693604</v>
      </c>
      <c r="G278" s="23">
        <v>0</v>
      </c>
      <c r="H278" s="23">
        <v>1.8148820847272901E-2</v>
      </c>
      <c r="I278" s="24">
        <v>0.116152450442314</v>
      </c>
      <c r="J278" s="24">
        <v>0.81125229597091597</v>
      </c>
      <c r="K278" s="23">
        <v>3.6297640763223002E-3</v>
      </c>
      <c r="L278" s="23">
        <v>1.45190563052893E-2</v>
      </c>
      <c r="M278" s="23">
        <v>3.2667875289916999E-2</v>
      </c>
      <c r="N278" s="23">
        <v>3.6297640763223002E-3</v>
      </c>
      <c r="O278" s="24">
        <v>0.223230496048927</v>
      </c>
      <c r="P278" s="24">
        <v>0.239564433693885</v>
      </c>
      <c r="Q278" s="24">
        <v>0.91833031177520696</v>
      </c>
      <c r="R278" s="25">
        <v>0</v>
      </c>
      <c r="S278" s="25">
        <v>3.4482758620689655E-2</v>
      </c>
      <c r="T278" s="25">
        <v>0.19419237749546278</v>
      </c>
    </row>
    <row r="279" spans="1:20" x14ac:dyDescent="0.25">
      <c r="A279" s="8" t="s">
        <v>613</v>
      </c>
      <c r="B279" s="8" t="s">
        <v>614</v>
      </c>
      <c r="C279" s="8" t="s">
        <v>3540</v>
      </c>
      <c r="D279" s="8">
        <v>910</v>
      </c>
      <c r="E279" s="24">
        <v>0.489010989665985</v>
      </c>
      <c r="F279" s="24">
        <v>0.510989010334014</v>
      </c>
      <c r="G279" s="23">
        <v>0</v>
      </c>
      <c r="H279" s="23">
        <v>8.7912091985345008E-3</v>
      </c>
      <c r="I279" s="23">
        <v>2.7472527697682401E-2</v>
      </c>
      <c r="J279" s="24">
        <v>0.91758239269256503</v>
      </c>
      <c r="K279" s="23">
        <v>1.2087912298739E-2</v>
      </c>
      <c r="L279" s="23">
        <v>0</v>
      </c>
      <c r="M279" s="23">
        <v>2.4175824597477899E-2</v>
      </c>
      <c r="N279" s="23">
        <v>9.8901102319360005E-3</v>
      </c>
      <c r="O279" s="24">
        <v>0.236263737082481</v>
      </c>
      <c r="P279" s="23">
        <v>0.221978023648262</v>
      </c>
      <c r="Q279" s="24">
        <v>0.87472528219223</v>
      </c>
      <c r="R279" s="25">
        <v>1.2087912087912088E-2</v>
      </c>
      <c r="S279" s="25">
        <v>0</v>
      </c>
      <c r="T279" s="25">
        <v>0.21868131868131868</v>
      </c>
    </row>
    <row r="280" spans="1:20" x14ac:dyDescent="0.25">
      <c r="A280" s="8" t="s">
        <v>615</v>
      </c>
      <c r="B280" s="8" t="s">
        <v>616</v>
      </c>
      <c r="C280" s="8" t="s">
        <v>3540</v>
      </c>
      <c r="D280" s="8">
        <v>459</v>
      </c>
      <c r="E280" s="24">
        <v>0.54684096574783303</v>
      </c>
      <c r="F280" s="24">
        <v>0.45315903425216603</v>
      </c>
      <c r="G280" s="23">
        <v>0</v>
      </c>
      <c r="H280" s="23">
        <v>4.3572983704507004E-3</v>
      </c>
      <c r="I280" s="23">
        <v>2.6143791154026999E-2</v>
      </c>
      <c r="J280" s="24">
        <v>0.94117647409438998</v>
      </c>
      <c r="K280" s="23">
        <v>6.5359477885067003E-3</v>
      </c>
      <c r="L280" s="23">
        <v>0</v>
      </c>
      <c r="M280" s="23">
        <v>2.1786492317915001E-2</v>
      </c>
      <c r="N280" s="23">
        <v>0</v>
      </c>
      <c r="O280" s="24">
        <v>0.22440087795257499</v>
      </c>
      <c r="P280" s="24">
        <v>0.15468409657478299</v>
      </c>
      <c r="Q280" s="24">
        <v>0.90631806850433305</v>
      </c>
      <c r="R280" s="25">
        <v>6.5359477124183009E-3</v>
      </c>
      <c r="S280" s="25">
        <v>0</v>
      </c>
      <c r="T280" s="25">
        <v>0.21350762527233116</v>
      </c>
    </row>
    <row r="281" spans="1:20" x14ac:dyDescent="0.25">
      <c r="A281" s="8" t="s">
        <v>617</v>
      </c>
      <c r="B281" s="8" t="s">
        <v>618</v>
      </c>
      <c r="C281" s="8" t="s">
        <v>3540</v>
      </c>
      <c r="D281" s="8">
        <v>316</v>
      </c>
      <c r="E281" s="24">
        <v>0.46202531456947299</v>
      </c>
      <c r="F281" s="24">
        <v>0.53797465562820401</v>
      </c>
      <c r="G281" s="23">
        <v>0</v>
      </c>
      <c r="H281" s="23">
        <v>9.4936704263091001E-3</v>
      </c>
      <c r="I281" s="24">
        <v>0.205696195363998</v>
      </c>
      <c r="J281" s="24">
        <v>0.55379748344421298</v>
      </c>
      <c r="K281" s="23">
        <v>3.1645569950342199E-2</v>
      </c>
      <c r="L281" s="23">
        <v>3.1645570416003002E-3</v>
      </c>
      <c r="M281" s="24">
        <v>0.19620253145694699</v>
      </c>
      <c r="N281" s="23">
        <v>0</v>
      </c>
      <c r="O281" s="24">
        <v>0.234177216887474</v>
      </c>
      <c r="P281" s="24">
        <v>0.15822784602642001</v>
      </c>
      <c r="Q281" s="24">
        <v>0.68354427814483598</v>
      </c>
      <c r="R281" s="25">
        <v>3.1645569620253164E-3</v>
      </c>
      <c r="S281" s="25">
        <v>0</v>
      </c>
      <c r="T281" s="25">
        <v>0.23101265822784811</v>
      </c>
    </row>
    <row r="282" spans="1:20" x14ac:dyDescent="0.25">
      <c r="A282" s="8" t="s">
        <v>620</v>
      </c>
      <c r="B282" s="8" t="s">
        <v>621</v>
      </c>
      <c r="C282" s="8" t="s">
        <v>3540</v>
      </c>
      <c r="D282" s="8">
        <v>202</v>
      </c>
      <c r="E282" s="24">
        <v>0.37128713726997298</v>
      </c>
      <c r="F282" s="24">
        <v>0.62871289253234797</v>
      </c>
      <c r="G282" s="23">
        <v>0</v>
      </c>
      <c r="H282" s="23">
        <v>0</v>
      </c>
      <c r="I282" s="23">
        <v>3.9603959769010502E-2</v>
      </c>
      <c r="J282" s="24">
        <v>0.96039605140686002</v>
      </c>
      <c r="K282" s="23">
        <v>0</v>
      </c>
      <c r="L282" s="23">
        <v>0</v>
      </c>
      <c r="M282" s="23">
        <v>0</v>
      </c>
      <c r="N282" s="23">
        <v>0</v>
      </c>
      <c r="O282" s="23">
        <v>8.4158413112163502E-2</v>
      </c>
      <c r="P282" s="24">
        <v>0.67326730489730802</v>
      </c>
      <c r="Q282" s="24">
        <v>0.96039605140686002</v>
      </c>
      <c r="R282" s="25">
        <v>0</v>
      </c>
      <c r="S282" s="25">
        <v>0</v>
      </c>
      <c r="T282" s="25">
        <v>7.4257425742574254E-2</v>
      </c>
    </row>
    <row r="283" spans="1:20" x14ac:dyDescent="0.25">
      <c r="A283" s="8" t="s">
        <v>622</v>
      </c>
      <c r="B283" s="8" t="s">
        <v>623</v>
      </c>
      <c r="C283" s="8" t="s">
        <v>3540</v>
      </c>
      <c r="D283" s="8">
        <v>350</v>
      </c>
      <c r="E283" s="24">
        <v>0.43999999761581399</v>
      </c>
      <c r="F283" s="24">
        <v>0.56000000238418501</v>
      </c>
      <c r="G283" s="23">
        <v>0</v>
      </c>
      <c r="H283" s="23">
        <v>1.1428571306169E-2</v>
      </c>
      <c r="I283" s="23">
        <v>9.7142860293388394E-2</v>
      </c>
      <c r="J283" s="23">
        <v>0.86857140064239502</v>
      </c>
      <c r="K283" s="23">
        <v>2.8571428265422999E-3</v>
      </c>
      <c r="L283" s="23">
        <v>5.7142856530845E-3</v>
      </c>
      <c r="M283" s="23">
        <v>8.5714282467960999E-3</v>
      </c>
      <c r="N283" s="23">
        <v>5.7142856530845E-3</v>
      </c>
      <c r="O283" s="24">
        <v>0.24285714328288999</v>
      </c>
      <c r="P283" s="24">
        <v>0.42571428418159402</v>
      </c>
      <c r="Q283" s="24">
        <v>0.93999999761581399</v>
      </c>
      <c r="R283" s="25">
        <v>0</v>
      </c>
      <c r="S283" s="25">
        <v>4.5714285714285714E-2</v>
      </c>
      <c r="T283" s="25">
        <v>0.18571428571428572</v>
      </c>
    </row>
    <row r="284" spans="1:20" x14ac:dyDescent="0.25">
      <c r="A284" s="8" t="s">
        <v>624</v>
      </c>
      <c r="B284" s="8" t="s">
        <v>625</v>
      </c>
      <c r="C284" s="8" t="s">
        <v>3540</v>
      </c>
      <c r="D284" s="8">
        <v>363</v>
      </c>
      <c r="E284" s="24">
        <v>0.46005508303642201</v>
      </c>
      <c r="F284" s="24">
        <v>0.53719007968902499</v>
      </c>
      <c r="G284" s="23">
        <v>2.7548209764062998E-3</v>
      </c>
      <c r="H284" s="23">
        <v>5.5096419528127003E-3</v>
      </c>
      <c r="I284" s="23">
        <v>7.7134989202022594E-2</v>
      </c>
      <c r="J284" s="24">
        <v>0.88705235719680697</v>
      </c>
      <c r="K284" s="23">
        <v>0</v>
      </c>
      <c r="L284" s="23">
        <v>2.7548209764062998E-3</v>
      </c>
      <c r="M284" s="23">
        <v>1.10192839056253E-2</v>
      </c>
      <c r="N284" s="23">
        <v>1.6528924927115399E-2</v>
      </c>
      <c r="O284" s="24">
        <v>0.18732781708240501</v>
      </c>
      <c r="P284" s="24">
        <v>0.50964188575744596</v>
      </c>
      <c r="Q284" s="23">
        <v>0.997245192527771</v>
      </c>
      <c r="R284" s="25">
        <v>0</v>
      </c>
      <c r="S284" s="25">
        <v>0</v>
      </c>
      <c r="T284" s="25">
        <v>0.16253443526170799</v>
      </c>
    </row>
    <row r="285" spans="1:20" x14ac:dyDescent="0.25">
      <c r="A285" s="8" t="s">
        <v>626</v>
      </c>
      <c r="B285" s="8" t="s">
        <v>627</v>
      </c>
      <c r="C285" s="8" t="s">
        <v>3540</v>
      </c>
      <c r="D285" s="8">
        <v>502</v>
      </c>
      <c r="E285" s="24">
        <v>0.46613547205924899</v>
      </c>
      <c r="F285" s="24">
        <v>0.53386455774307195</v>
      </c>
      <c r="G285" s="23">
        <v>0</v>
      </c>
      <c r="H285" s="23">
        <v>9.9601596593857002E-3</v>
      </c>
      <c r="I285" s="23">
        <v>5.5776894092559801E-2</v>
      </c>
      <c r="J285" s="24">
        <v>0.91035854816436701</v>
      </c>
      <c r="K285" s="23">
        <v>1.9920319318770998E-3</v>
      </c>
      <c r="L285" s="23">
        <v>3.9840638637543002E-3</v>
      </c>
      <c r="M285" s="23">
        <v>1.19521915912628E-2</v>
      </c>
      <c r="N285" s="23">
        <v>5.9760957956314E-3</v>
      </c>
      <c r="O285" s="24">
        <v>0.12948207557201299</v>
      </c>
      <c r="P285" s="23">
        <v>0.61354583501815796</v>
      </c>
      <c r="Q285" s="24">
        <v>0.97211158275604204</v>
      </c>
      <c r="R285" s="25">
        <v>0</v>
      </c>
      <c r="S285" s="25">
        <v>2.3904382470119521E-2</v>
      </c>
      <c r="T285" s="25">
        <v>9.3625498007968128E-2</v>
      </c>
    </row>
    <row r="286" spans="1:20" x14ac:dyDescent="0.25">
      <c r="A286" s="8" t="s">
        <v>628</v>
      </c>
      <c r="B286" s="8" t="s">
        <v>629</v>
      </c>
      <c r="C286" s="8" t="s">
        <v>3540</v>
      </c>
      <c r="D286" s="8">
        <v>425</v>
      </c>
      <c r="E286" s="24">
        <v>0.53176468610763505</v>
      </c>
      <c r="F286" s="24">
        <v>0.468235284090042</v>
      </c>
      <c r="G286" s="23">
        <v>0</v>
      </c>
      <c r="H286" s="23">
        <v>1.1764706112444401E-2</v>
      </c>
      <c r="I286" s="23">
        <v>6.8235293030738803E-2</v>
      </c>
      <c r="J286" s="24">
        <v>0.896470606327056</v>
      </c>
      <c r="K286" s="23">
        <v>0</v>
      </c>
      <c r="L286" s="23">
        <v>4.7058821655810001E-3</v>
      </c>
      <c r="M286" s="23">
        <v>1.1764706112444401E-2</v>
      </c>
      <c r="N286" s="23">
        <v>7.0588234812021004E-3</v>
      </c>
      <c r="O286" s="23">
        <v>0.18352940678596499</v>
      </c>
      <c r="P286" s="23">
        <v>0.47764706611633301</v>
      </c>
      <c r="Q286" s="23">
        <v>0.95529413223266602</v>
      </c>
      <c r="R286" s="25">
        <v>0</v>
      </c>
      <c r="S286" s="25">
        <v>0</v>
      </c>
      <c r="T286" s="25">
        <v>0.17882352941176471</v>
      </c>
    </row>
    <row r="287" spans="1:20" x14ac:dyDescent="0.25">
      <c r="A287" s="8" t="s">
        <v>630</v>
      </c>
      <c r="B287" s="8" t="s">
        <v>631</v>
      </c>
      <c r="C287" s="8" t="s">
        <v>3540</v>
      </c>
      <c r="D287" s="8">
        <v>199</v>
      </c>
      <c r="E287" s="24">
        <v>0.51758795976638705</v>
      </c>
      <c r="F287" s="24">
        <v>0.47738692164420998</v>
      </c>
      <c r="G287" s="23">
        <v>5.0251255743205998E-3</v>
      </c>
      <c r="H287" s="23">
        <v>2.0100502297282202E-2</v>
      </c>
      <c r="I287" s="23">
        <v>7.0351757109165206E-2</v>
      </c>
      <c r="J287" s="24">
        <v>0.728643238544464</v>
      </c>
      <c r="K287" s="23">
        <v>2.0100502297282202E-2</v>
      </c>
      <c r="L287" s="23">
        <v>0</v>
      </c>
      <c r="M287" s="24">
        <v>0.160804018378257</v>
      </c>
      <c r="N287" s="23">
        <v>0</v>
      </c>
      <c r="O287" s="24">
        <v>0.30150753259658802</v>
      </c>
      <c r="P287" s="23">
        <v>0.26633167266845698</v>
      </c>
      <c r="Q287" s="24">
        <v>0.65326631069183305</v>
      </c>
      <c r="R287" s="25">
        <v>5.0251256281407036E-3</v>
      </c>
      <c r="S287" s="25">
        <v>0</v>
      </c>
      <c r="T287" s="25">
        <v>0.29648241206030151</v>
      </c>
    </row>
    <row r="288" spans="1:20" x14ac:dyDescent="0.25">
      <c r="A288" s="8" t="s">
        <v>632</v>
      </c>
      <c r="B288" s="8" t="s">
        <v>633</v>
      </c>
      <c r="C288" s="8" t="s">
        <v>3540</v>
      </c>
      <c r="D288" s="8">
        <v>233</v>
      </c>
      <c r="E288" s="24">
        <v>0.50643777847289995</v>
      </c>
      <c r="F288" s="24">
        <v>0.493562221527099</v>
      </c>
      <c r="G288" s="23">
        <v>0</v>
      </c>
      <c r="H288" s="23">
        <v>0</v>
      </c>
      <c r="I288" s="23">
        <v>1.71673819422722E-2</v>
      </c>
      <c r="J288" s="24">
        <v>0.97424894571304299</v>
      </c>
      <c r="K288" s="23">
        <v>0</v>
      </c>
      <c r="L288" s="23">
        <v>0</v>
      </c>
      <c r="M288" s="23">
        <v>8.5836909711361001E-3</v>
      </c>
      <c r="N288" s="23">
        <v>0</v>
      </c>
      <c r="O288" s="24">
        <v>0.163090124726295</v>
      </c>
      <c r="P288" s="24">
        <v>0.39055794477462702</v>
      </c>
      <c r="Q288" s="24">
        <v>0.93991416692733698</v>
      </c>
      <c r="R288" s="25">
        <v>0</v>
      </c>
      <c r="S288" s="25">
        <v>0</v>
      </c>
      <c r="T288" s="25">
        <v>0.16738197424892703</v>
      </c>
    </row>
    <row r="289" spans="1:20" x14ac:dyDescent="0.25">
      <c r="A289" s="8" t="s">
        <v>634</v>
      </c>
      <c r="B289" s="8" t="s">
        <v>635</v>
      </c>
      <c r="C289" s="8" t="s">
        <v>3540</v>
      </c>
      <c r="D289" s="8">
        <v>1408</v>
      </c>
      <c r="E289" s="23">
        <v>0.484375</v>
      </c>
      <c r="F289" s="23">
        <v>0.515625</v>
      </c>
      <c r="G289" s="23">
        <v>0</v>
      </c>
      <c r="H289" s="23">
        <v>2.1306818351149601E-2</v>
      </c>
      <c r="I289" s="24">
        <v>0.322443187236785</v>
      </c>
      <c r="J289" s="24">
        <v>0.620738625526428</v>
      </c>
      <c r="K289" s="23">
        <v>4.9715908244251997E-3</v>
      </c>
      <c r="L289" s="23">
        <v>4.9715908244251997E-3</v>
      </c>
      <c r="M289" s="23">
        <v>1.7755681648850399E-2</v>
      </c>
      <c r="N289" s="23">
        <v>7.8125E-3</v>
      </c>
      <c r="O289" s="24">
        <v>0.212357953190803</v>
      </c>
      <c r="P289" s="24">
        <v>0.159090906381607</v>
      </c>
      <c r="Q289" s="24">
        <v>0.90340906381607</v>
      </c>
      <c r="R289" s="25">
        <v>0</v>
      </c>
      <c r="S289" s="25">
        <v>2.556818181818182E-2</v>
      </c>
      <c r="T289" s="25">
        <v>0.17897727272727273</v>
      </c>
    </row>
    <row r="290" spans="1:20" x14ac:dyDescent="0.25">
      <c r="A290" s="8" t="s">
        <v>636</v>
      </c>
      <c r="B290" s="8" t="s">
        <v>637</v>
      </c>
      <c r="C290" s="8" t="s">
        <v>3540</v>
      </c>
      <c r="D290" s="8">
        <v>662</v>
      </c>
      <c r="E290" s="24">
        <v>0.46223565936088501</v>
      </c>
      <c r="F290" s="24">
        <v>0.53474318981170599</v>
      </c>
      <c r="G290" s="23">
        <v>3.0211480334401001E-3</v>
      </c>
      <c r="H290" s="23">
        <v>0</v>
      </c>
      <c r="I290" s="23">
        <v>0</v>
      </c>
      <c r="J290" s="24">
        <v>0.953172206878662</v>
      </c>
      <c r="K290" s="23">
        <v>0</v>
      </c>
      <c r="L290" s="23">
        <v>0</v>
      </c>
      <c r="M290" s="23">
        <v>1.5105740167200999E-3</v>
      </c>
      <c r="N290" s="23">
        <v>4.5317221432924298E-2</v>
      </c>
      <c r="O290" s="23">
        <v>7.4018128216266604E-2</v>
      </c>
      <c r="P290" s="24">
        <v>0.70392751693725497</v>
      </c>
      <c r="Q290" s="24">
        <v>0.86706948280334395</v>
      </c>
      <c r="R290" s="25">
        <v>0</v>
      </c>
      <c r="S290" s="25">
        <v>1.5105740181268882E-3</v>
      </c>
      <c r="T290" s="25">
        <v>7.4018126888217517E-2</v>
      </c>
    </row>
    <row r="291" spans="1:20" x14ac:dyDescent="0.25">
      <c r="A291" s="8" t="s">
        <v>638</v>
      </c>
      <c r="B291" s="8" t="s">
        <v>639</v>
      </c>
      <c r="C291" s="8" t="s">
        <v>3540</v>
      </c>
      <c r="D291" s="8">
        <v>410</v>
      </c>
      <c r="E291" s="24">
        <v>0.47804877161979598</v>
      </c>
      <c r="F291" s="24">
        <v>0.52195119857787997</v>
      </c>
      <c r="G291" s="23">
        <v>0</v>
      </c>
      <c r="H291" s="23">
        <v>2.4390243925154001E-3</v>
      </c>
      <c r="I291" s="24">
        <v>0.202439025044441</v>
      </c>
      <c r="J291" s="24">
        <v>0.758536577224731</v>
      </c>
      <c r="K291" s="23">
        <v>7.3170731775463E-3</v>
      </c>
      <c r="L291" s="23">
        <v>0</v>
      </c>
      <c r="M291" s="23">
        <v>2.92682927101851E-2</v>
      </c>
      <c r="N291" s="23">
        <v>0</v>
      </c>
      <c r="O291" s="24">
        <v>0.21707317233085599</v>
      </c>
      <c r="P291" s="24">
        <v>0.18292683362960799</v>
      </c>
      <c r="Q291" s="24">
        <v>0.97804880142211903</v>
      </c>
      <c r="R291" s="25">
        <v>7.3170731707317069E-2</v>
      </c>
      <c r="S291" s="25">
        <v>2.4390243902439024E-3</v>
      </c>
      <c r="T291" s="25">
        <v>0.13902439024390245</v>
      </c>
    </row>
    <row r="292" spans="1:20" x14ac:dyDescent="0.25">
      <c r="A292" s="8" t="s">
        <v>640</v>
      </c>
      <c r="B292" s="8" t="s">
        <v>641</v>
      </c>
      <c r="C292" s="8" t="s">
        <v>3540</v>
      </c>
      <c r="D292" s="8">
        <v>638</v>
      </c>
      <c r="E292" s="24">
        <v>0.46394982933998102</v>
      </c>
      <c r="F292" s="24">
        <v>0.53605014085769598</v>
      </c>
      <c r="G292" s="23">
        <v>0</v>
      </c>
      <c r="H292" s="23">
        <v>3.1347961630672E-3</v>
      </c>
      <c r="I292" s="24">
        <v>0.25862067937850902</v>
      </c>
      <c r="J292" s="23">
        <v>0.72257053852081299</v>
      </c>
      <c r="K292" s="23">
        <v>4.7021941281855002E-3</v>
      </c>
      <c r="L292" s="23">
        <v>0</v>
      </c>
      <c r="M292" s="23">
        <v>1.0971786454320001E-2</v>
      </c>
      <c r="N292" s="23">
        <v>0</v>
      </c>
      <c r="O292" s="24">
        <v>0.250783711671829</v>
      </c>
      <c r="P292" s="24">
        <v>0.250783711671829</v>
      </c>
      <c r="Q292" s="24">
        <v>0.97021943330764704</v>
      </c>
      <c r="R292" s="25">
        <v>2.5078369905956112E-2</v>
      </c>
      <c r="S292" s="25">
        <v>0.10344827586206896</v>
      </c>
      <c r="T292" s="25">
        <v>0.1206896551724138</v>
      </c>
    </row>
    <row r="293" spans="1:20" x14ac:dyDescent="0.25">
      <c r="A293" s="8" t="s">
        <v>642</v>
      </c>
      <c r="B293" s="8" t="s">
        <v>643</v>
      </c>
      <c r="C293" s="8" t="s">
        <v>3540</v>
      </c>
      <c r="D293" s="8">
        <v>283</v>
      </c>
      <c r="E293" s="23">
        <v>0.55477029085159302</v>
      </c>
      <c r="F293" s="24">
        <v>0.44522967934608398</v>
      </c>
      <c r="G293" s="23">
        <v>0</v>
      </c>
      <c r="H293" s="23">
        <v>1.0600706562399901E-2</v>
      </c>
      <c r="I293" s="24">
        <v>0.34628975391387901</v>
      </c>
      <c r="J293" s="24">
        <v>0.57950532436370805</v>
      </c>
      <c r="K293" s="23">
        <v>1.0600706562399901E-2</v>
      </c>
      <c r="L293" s="23">
        <v>1.4134275726974E-2</v>
      </c>
      <c r="M293" s="23">
        <v>3.8869258016347899E-2</v>
      </c>
      <c r="N293" s="23">
        <v>0</v>
      </c>
      <c r="O293" s="24">
        <v>0.29328620433807301</v>
      </c>
      <c r="P293" s="23">
        <v>0.22968198359012601</v>
      </c>
      <c r="Q293" s="23">
        <v>1</v>
      </c>
      <c r="R293" s="25">
        <v>0.1166077738515901</v>
      </c>
      <c r="S293" s="25">
        <v>3.5335689045936395E-3</v>
      </c>
      <c r="T293" s="25">
        <v>0.19787985865724381</v>
      </c>
    </row>
    <row r="294" spans="1:20" x14ac:dyDescent="0.25">
      <c r="A294" s="8" t="s">
        <v>644</v>
      </c>
      <c r="B294" s="8" t="s">
        <v>645</v>
      </c>
      <c r="C294" s="8" t="s">
        <v>3540</v>
      </c>
      <c r="D294" s="8">
        <v>417</v>
      </c>
      <c r="E294" s="24">
        <v>0.45563548803329401</v>
      </c>
      <c r="F294" s="24">
        <v>0.54436451196670499</v>
      </c>
      <c r="G294" s="23">
        <v>0</v>
      </c>
      <c r="H294" s="23">
        <v>9.5923263579606993E-3</v>
      </c>
      <c r="I294" s="23">
        <v>7.1942448616027804E-2</v>
      </c>
      <c r="J294" s="24">
        <v>0.89928054809570301</v>
      </c>
      <c r="K294" s="23">
        <v>2.3980815894902E-3</v>
      </c>
      <c r="L294" s="23">
        <v>9.5923263579606993E-3</v>
      </c>
      <c r="M294" s="23">
        <v>7.1942447684704997E-3</v>
      </c>
      <c r="N294" s="23">
        <v>0</v>
      </c>
      <c r="O294" s="24">
        <v>0.32853716611862099</v>
      </c>
      <c r="P294" s="24">
        <v>0.25419664382934498</v>
      </c>
      <c r="Q294" s="24">
        <v>0.96402877569198597</v>
      </c>
      <c r="R294" s="25">
        <v>0.23741007194244604</v>
      </c>
      <c r="S294" s="25">
        <v>0</v>
      </c>
      <c r="T294" s="25">
        <v>7.1942446043165464E-2</v>
      </c>
    </row>
    <row r="295" spans="1:20" x14ac:dyDescent="0.25">
      <c r="A295" s="8" t="s">
        <v>646</v>
      </c>
      <c r="B295" s="8" t="s">
        <v>647</v>
      </c>
      <c r="C295" s="8" t="s">
        <v>3540</v>
      </c>
      <c r="D295" s="8">
        <v>632</v>
      </c>
      <c r="E295" s="24">
        <v>0.47151899337768499</v>
      </c>
      <c r="F295" s="24">
        <v>0.52848100662231401</v>
      </c>
      <c r="G295" s="23">
        <v>0</v>
      </c>
      <c r="H295" s="23">
        <v>9.4936704263091001E-3</v>
      </c>
      <c r="I295" s="24">
        <v>0.314873427152633</v>
      </c>
      <c r="J295" s="24">
        <v>0.64082276821136397</v>
      </c>
      <c r="K295" s="23">
        <v>1.7405062913894698E-2</v>
      </c>
      <c r="L295" s="23">
        <v>6.3291140832007001E-3</v>
      </c>
      <c r="M295" s="23">
        <v>1.1075949296355201E-2</v>
      </c>
      <c r="N295" s="23">
        <v>0</v>
      </c>
      <c r="O295" s="24">
        <v>0.27689874172210599</v>
      </c>
      <c r="P295" s="24">
        <v>0.159810125827789</v>
      </c>
      <c r="Q295" s="24">
        <v>0.95727849006652799</v>
      </c>
      <c r="R295" s="25">
        <v>8.7025316455696208E-2</v>
      </c>
      <c r="S295" s="25">
        <v>1.5822784810126582E-3</v>
      </c>
      <c r="T295" s="25">
        <v>0.18354430379746836</v>
      </c>
    </row>
    <row r="296" spans="1:20" x14ac:dyDescent="0.25">
      <c r="A296" s="8" t="s">
        <v>648</v>
      </c>
      <c r="B296" s="8" t="s">
        <v>649</v>
      </c>
      <c r="C296" s="8" t="s">
        <v>3540</v>
      </c>
      <c r="D296" s="8">
        <v>355</v>
      </c>
      <c r="E296" s="24">
        <v>0.49859154224395702</v>
      </c>
      <c r="F296" s="24">
        <v>0.50140845775604204</v>
      </c>
      <c r="G296" s="23">
        <v>0</v>
      </c>
      <c r="H296" s="23">
        <v>2.8169013094156998E-3</v>
      </c>
      <c r="I296" s="24">
        <v>0.22253520786762199</v>
      </c>
      <c r="J296" s="24">
        <v>0.74084508419036799</v>
      </c>
      <c r="K296" s="23">
        <v>2.2535210475325598E-2</v>
      </c>
      <c r="L296" s="23">
        <v>5.6338026188313996E-3</v>
      </c>
      <c r="M296" s="23">
        <v>5.6338026188313996E-3</v>
      </c>
      <c r="N296" s="23">
        <v>0</v>
      </c>
      <c r="O296" s="24">
        <v>0.25070422887802102</v>
      </c>
      <c r="P296" s="24">
        <v>0.183098584413528</v>
      </c>
      <c r="Q296" s="23">
        <v>0.98309856653213501</v>
      </c>
      <c r="R296" s="25">
        <v>0.12394366197183099</v>
      </c>
      <c r="S296" s="25">
        <v>0</v>
      </c>
      <c r="T296" s="25">
        <v>0.12957746478873239</v>
      </c>
    </row>
    <row r="297" spans="1:20" x14ac:dyDescent="0.25">
      <c r="A297" s="8" t="s">
        <v>650</v>
      </c>
      <c r="B297" s="8" t="s">
        <v>651</v>
      </c>
      <c r="C297" s="8" t="s">
        <v>3540</v>
      </c>
      <c r="D297" s="8">
        <v>553</v>
      </c>
      <c r="E297" s="24">
        <v>0.45750451087951599</v>
      </c>
      <c r="F297" s="24">
        <v>0.54249548912048295</v>
      </c>
      <c r="G297" s="23">
        <v>0</v>
      </c>
      <c r="H297" s="23">
        <v>3.07414103299379E-2</v>
      </c>
      <c r="I297" s="24">
        <v>0.305605798959732</v>
      </c>
      <c r="J297" s="24">
        <v>0.62567812204360895</v>
      </c>
      <c r="K297" s="23">
        <v>1.44665464758873E-2</v>
      </c>
      <c r="L297" s="23">
        <v>0</v>
      </c>
      <c r="M297" s="23">
        <v>2.3508137091994299E-2</v>
      </c>
      <c r="N297" s="23">
        <v>0</v>
      </c>
      <c r="O297" s="24">
        <v>0.29113924503326399</v>
      </c>
      <c r="P297" s="24">
        <v>0.191681742668151</v>
      </c>
      <c r="Q297" s="24">
        <v>0.92224234342574996</v>
      </c>
      <c r="R297" s="25">
        <v>9.2224231464737794E-2</v>
      </c>
      <c r="S297" s="25">
        <v>3.616636528028933E-3</v>
      </c>
      <c r="T297" s="25">
        <v>0.19891500904159132</v>
      </c>
    </row>
    <row r="298" spans="1:20" x14ac:dyDescent="0.25">
      <c r="A298" s="8" t="s">
        <v>652</v>
      </c>
      <c r="B298" s="8" t="s">
        <v>653</v>
      </c>
      <c r="C298" s="8" t="s">
        <v>3540</v>
      </c>
      <c r="D298" s="8">
        <v>358</v>
      </c>
      <c r="E298" s="24">
        <v>0.46648043394088701</v>
      </c>
      <c r="F298" s="24">
        <v>0.53351956605911199</v>
      </c>
      <c r="G298" s="23">
        <v>0</v>
      </c>
      <c r="H298" s="23">
        <v>1.1173184029758001E-2</v>
      </c>
      <c r="I298" s="24">
        <v>0.175977647304534</v>
      </c>
      <c r="J298" s="24">
        <v>0.77653628587722701</v>
      </c>
      <c r="K298" s="23">
        <v>1.95530727505684E-2</v>
      </c>
      <c r="L298" s="23">
        <v>5.5865920148790004E-3</v>
      </c>
      <c r="M298" s="23">
        <v>1.1173184029758001E-2</v>
      </c>
      <c r="N298" s="23">
        <v>0</v>
      </c>
      <c r="O298" s="24">
        <v>0.22067038714885701</v>
      </c>
      <c r="P298" s="24">
        <v>0.13687150180339799</v>
      </c>
      <c r="Q298" s="24">
        <v>0.95810055732726995</v>
      </c>
      <c r="R298" s="25">
        <v>8.1005586592178769E-2</v>
      </c>
      <c r="S298" s="25">
        <v>1.11731843575419E-2</v>
      </c>
      <c r="T298" s="25">
        <v>0.12849162011173185</v>
      </c>
    </row>
    <row r="299" spans="1:20" x14ac:dyDescent="0.25">
      <c r="A299" s="8" t="s">
        <v>654</v>
      </c>
      <c r="B299" s="8" t="s">
        <v>655</v>
      </c>
      <c r="C299" s="8" t="s">
        <v>3540</v>
      </c>
      <c r="D299" s="8">
        <v>472</v>
      </c>
      <c r="E299" s="23">
        <v>0.47245761752128601</v>
      </c>
      <c r="F299" s="24">
        <v>0.52754235267639105</v>
      </c>
      <c r="G299" s="23">
        <v>0</v>
      </c>
      <c r="H299" s="23">
        <v>4.2372881434858001E-3</v>
      </c>
      <c r="I299" s="24">
        <v>0.25423729419708202</v>
      </c>
      <c r="J299" s="24">
        <v>0.71398305892944303</v>
      </c>
      <c r="K299" s="23">
        <v>4.2372881434858001E-3</v>
      </c>
      <c r="L299" s="23">
        <v>8.4745762869716003E-3</v>
      </c>
      <c r="M299" s="23">
        <v>1.48305082693696E-2</v>
      </c>
      <c r="N299" s="23">
        <v>0</v>
      </c>
      <c r="O299" s="24">
        <v>0.22457626461982699</v>
      </c>
      <c r="P299" s="24">
        <v>0.16949152946472101</v>
      </c>
      <c r="Q299" s="24">
        <v>0.98516947031021096</v>
      </c>
      <c r="R299" s="25">
        <v>9.110169491525423E-2</v>
      </c>
      <c r="S299" s="25">
        <v>2.1186440677966102E-3</v>
      </c>
      <c r="T299" s="25">
        <v>0.14194915254237289</v>
      </c>
    </row>
    <row r="300" spans="1:20" x14ac:dyDescent="0.25">
      <c r="A300" s="8" t="s">
        <v>656</v>
      </c>
      <c r="B300" s="8" t="s">
        <v>657</v>
      </c>
      <c r="C300" s="8" t="s">
        <v>3540</v>
      </c>
      <c r="D300" s="8">
        <v>197</v>
      </c>
      <c r="E300" s="24">
        <v>0.48730963468551602</v>
      </c>
      <c r="F300" s="24">
        <v>0.51269036531448298</v>
      </c>
      <c r="G300" s="23">
        <v>0</v>
      </c>
      <c r="H300" s="23">
        <v>0</v>
      </c>
      <c r="I300" s="24">
        <v>0.329949229955673</v>
      </c>
      <c r="J300" s="24">
        <v>0.65989845991134599</v>
      </c>
      <c r="K300" s="23">
        <v>0</v>
      </c>
      <c r="L300" s="23">
        <v>5.0761420279741001E-3</v>
      </c>
      <c r="M300" s="23">
        <v>5.0761420279741001E-3</v>
      </c>
      <c r="N300" s="23">
        <v>0</v>
      </c>
      <c r="O300" s="24">
        <v>0.2335025370121</v>
      </c>
      <c r="P300" s="24">
        <v>0.16751268506050099</v>
      </c>
      <c r="Q300" s="24">
        <v>0.97461926937103205</v>
      </c>
      <c r="R300" s="25">
        <v>0.16243654822335024</v>
      </c>
      <c r="S300" s="25">
        <v>0</v>
      </c>
      <c r="T300" s="25">
        <v>9.1370558375634514E-2</v>
      </c>
    </row>
    <row r="301" spans="1:20" x14ac:dyDescent="0.25">
      <c r="A301" s="8" t="s">
        <v>658</v>
      </c>
      <c r="B301" s="8" t="s">
        <v>659</v>
      </c>
      <c r="C301" s="8" t="s">
        <v>3540</v>
      </c>
      <c r="D301" s="8">
        <v>219</v>
      </c>
      <c r="E301" s="24">
        <v>0.44748857617378202</v>
      </c>
      <c r="F301" s="24">
        <v>0.55251139402389504</v>
      </c>
      <c r="G301" s="23">
        <v>0</v>
      </c>
      <c r="H301" s="23">
        <v>4.5662098564207996E-3</v>
      </c>
      <c r="I301" s="24">
        <v>0.41552510857581998</v>
      </c>
      <c r="J301" s="24">
        <v>0.52511417865753096</v>
      </c>
      <c r="K301" s="23">
        <v>0</v>
      </c>
      <c r="L301" s="23">
        <v>1.36986300349236E-2</v>
      </c>
      <c r="M301" s="23">
        <v>4.1095890104770702E-2</v>
      </c>
      <c r="N301" s="23">
        <v>0</v>
      </c>
      <c r="O301" s="24">
        <v>0.210045665502548</v>
      </c>
      <c r="P301" s="24">
        <v>0.105022832751274</v>
      </c>
      <c r="Q301" s="24">
        <v>0.97716897726058904</v>
      </c>
      <c r="R301" s="25">
        <v>0</v>
      </c>
      <c r="S301" s="25">
        <v>0</v>
      </c>
      <c r="T301" s="25">
        <v>0.20547945205479451</v>
      </c>
    </row>
    <row r="302" spans="1:20" x14ac:dyDescent="0.25">
      <c r="A302" s="8" t="s">
        <v>660</v>
      </c>
      <c r="B302" s="8" t="s">
        <v>661</v>
      </c>
      <c r="C302" s="8" t="s">
        <v>3540</v>
      </c>
      <c r="D302" s="8">
        <v>387</v>
      </c>
      <c r="E302" s="24">
        <v>0.46511629223823497</v>
      </c>
      <c r="F302" s="24">
        <v>0.53488373756408603</v>
      </c>
      <c r="G302" s="23">
        <v>0</v>
      </c>
      <c r="H302" s="23">
        <v>2.5839793961495001E-3</v>
      </c>
      <c r="I302" s="24">
        <v>0.15762273967265999</v>
      </c>
      <c r="J302" s="24">
        <v>0.65633076429366999</v>
      </c>
      <c r="K302" s="23">
        <v>5.1679587922990001E-3</v>
      </c>
      <c r="L302" s="23">
        <v>0.17312660813331601</v>
      </c>
      <c r="M302" s="23">
        <v>5.1679587922990001E-3</v>
      </c>
      <c r="N302" s="23">
        <v>0</v>
      </c>
      <c r="O302" s="24">
        <v>0.317829459905624</v>
      </c>
      <c r="P302" s="24">
        <v>0.105943150818347</v>
      </c>
      <c r="Q302" s="24">
        <v>0.97674417495727495</v>
      </c>
      <c r="R302" s="25">
        <v>0.14728682170542637</v>
      </c>
      <c r="S302" s="25">
        <v>0</v>
      </c>
      <c r="T302" s="25">
        <v>0.13178294573643412</v>
      </c>
    </row>
    <row r="303" spans="1:20" x14ac:dyDescent="0.25">
      <c r="A303" s="8" t="s">
        <v>662</v>
      </c>
      <c r="B303" s="8" t="s">
        <v>663</v>
      </c>
      <c r="C303" s="8" t="s">
        <v>3540</v>
      </c>
      <c r="D303" s="8">
        <v>310</v>
      </c>
      <c r="E303" s="24">
        <v>0.43548387289047202</v>
      </c>
      <c r="F303" s="24">
        <v>0.56451612710952703</v>
      </c>
      <c r="G303" s="23">
        <v>0</v>
      </c>
      <c r="H303" s="23">
        <v>6.4516128040849998E-3</v>
      </c>
      <c r="I303" s="24">
        <v>0.19677419960498799</v>
      </c>
      <c r="J303" s="24">
        <v>0.77741932868957497</v>
      </c>
      <c r="K303" s="23">
        <v>3.2258064020424999E-3</v>
      </c>
      <c r="L303" s="23">
        <v>0</v>
      </c>
      <c r="M303" s="23">
        <v>1.61290317773819E-2</v>
      </c>
      <c r="N303" s="23">
        <v>0</v>
      </c>
      <c r="O303" s="24">
        <v>0.29677417874336198</v>
      </c>
      <c r="P303" s="24">
        <v>0.119354836642742</v>
      </c>
      <c r="Q303" s="24">
        <v>0.92903226613998402</v>
      </c>
      <c r="R303" s="25">
        <v>3.2258064516129032E-3</v>
      </c>
      <c r="S303" s="25">
        <v>8.0645161290322578E-2</v>
      </c>
      <c r="T303" s="25">
        <v>0.18387096774193548</v>
      </c>
    </row>
    <row r="304" spans="1:20" x14ac:dyDescent="0.25">
      <c r="A304" s="8" t="s">
        <v>664</v>
      </c>
      <c r="B304" s="8" t="s">
        <v>665</v>
      </c>
      <c r="C304" s="8" t="s">
        <v>3540</v>
      </c>
      <c r="D304" s="8">
        <v>212</v>
      </c>
      <c r="E304" s="24">
        <v>0.46698114275932301</v>
      </c>
      <c r="F304" s="24">
        <v>0.53301888704299905</v>
      </c>
      <c r="G304" s="23">
        <v>0</v>
      </c>
      <c r="H304" s="23">
        <v>4.716981202364E-3</v>
      </c>
      <c r="I304" s="24">
        <v>0.198113203048706</v>
      </c>
      <c r="J304" s="24">
        <v>0.78301888704299905</v>
      </c>
      <c r="K304" s="23">
        <v>9.4339624047278994E-3</v>
      </c>
      <c r="L304" s="23">
        <v>0</v>
      </c>
      <c r="M304" s="23">
        <v>4.716981202364E-3</v>
      </c>
      <c r="N304" s="23">
        <v>0</v>
      </c>
      <c r="O304" s="24">
        <v>0.33962264657020502</v>
      </c>
      <c r="P304" s="24">
        <v>0.21698112785816101</v>
      </c>
      <c r="Q304" s="24">
        <v>0.90566039085388095</v>
      </c>
      <c r="R304" s="25">
        <v>8.9622641509433956E-2</v>
      </c>
      <c r="S304" s="25">
        <v>4.7169811320754715E-3</v>
      </c>
      <c r="T304" s="25">
        <v>0.15094339622641509</v>
      </c>
    </row>
    <row r="305" spans="1:20" x14ac:dyDescent="0.25">
      <c r="A305" s="8" t="s">
        <v>667</v>
      </c>
      <c r="B305" s="8" t="s">
        <v>668</v>
      </c>
      <c r="C305" s="8" t="s">
        <v>3540</v>
      </c>
      <c r="D305" s="8">
        <v>606</v>
      </c>
      <c r="E305" s="24">
        <v>0.45214521884918202</v>
      </c>
      <c r="F305" s="24">
        <v>0.54785478115081698</v>
      </c>
      <c r="G305" s="23">
        <v>0</v>
      </c>
      <c r="H305" s="23">
        <v>6.6006602719425999E-3</v>
      </c>
      <c r="I305" s="23">
        <v>0.26402640342712402</v>
      </c>
      <c r="J305" s="24">
        <v>0.70792078971862704</v>
      </c>
      <c r="K305" s="23">
        <v>1.6501650679857001E-3</v>
      </c>
      <c r="L305" s="23">
        <v>1.6501650679857001E-3</v>
      </c>
      <c r="M305" s="23">
        <v>1.8151815980672802E-2</v>
      </c>
      <c r="N305" s="23">
        <v>0</v>
      </c>
      <c r="O305" s="24">
        <v>0.26732674241065901</v>
      </c>
      <c r="P305" s="23">
        <v>6.6006600856781006E-2</v>
      </c>
      <c r="Q305" s="24">
        <v>0.950495064258575</v>
      </c>
      <c r="R305" s="25">
        <v>5.4455445544554455E-2</v>
      </c>
      <c r="S305" s="25">
        <v>0</v>
      </c>
      <c r="T305" s="25">
        <v>0.20957095709570958</v>
      </c>
    </row>
    <row r="306" spans="1:20" x14ac:dyDescent="0.25">
      <c r="A306" s="8" t="s">
        <v>669</v>
      </c>
      <c r="B306" s="8" t="s">
        <v>670</v>
      </c>
      <c r="C306" s="8" t="s">
        <v>3540</v>
      </c>
      <c r="D306" s="8">
        <v>647</v>
      </c>
      <c r="E306" s="24">
        <v>0.51159197092056197</v>
      </c>
      <c r="F306" s="23">
        <v>0.48686245083808899</v>
      </c>
      <c r="G306" s="23">
        <v>1.5455950051545999E-3</v>
      </c>
      <c r="H306" s="23">
        <v>6.1823800206183997E-3</v>
      </c>
      <c r="I306" s="24">
        <v>0.191653788089752</v>
      </c>
      <c r="J306" s="24">
        <v>0.78052550554275502</v>
      </c>
      <c r="K306" s="23">
        <v>4.6367850154638004E-3</v>
      </c>
      <c r="L306" s="23">
        <v>6.1823800206183997E-3</v>
      </c>
      <c r="M306" s="23">
        <v>1.0819165036082301E-2</v>
      </c>
      <c r="N306" s="23">
        <v>0</v>
      </c>
      <c r="O306" s="24">
        <v>0.19629056751728</v>
      </c>
      <c r="P306" s="23">
        <v>4.9459040164947503E-2</v>
      </c>
      <c r="Q306" s="24">
        <v>0.95208656787872303</v>
      </c>
      <c r="R306" s="25">
        <v>1.2364760432766615E-2</v>
      </c>
      <c r="S306" s="25">
        <v>3.0911901081916537E-3</v>
      </c>
      <c r="T306" s="25">
        <v>0.17619783616692428</v>
      </c>
    </row>
    <row r="307" spans="1:20" x14ac:dyDescent="0.25">
      <c r="A307" s="8" t="s">
        <v>671</v>
      </c>
      <c r="B307" s="8" t="s">
        <v>672</v>
      </c>
      <c r="C307" s="8" t="s">
        <v>3540</v>
      </c>
      <c r="D307" s="8">
        <v>174</v>
      </c>
      <c r="E307" s="24">
        <v>0.56321841478347701</v>
      </c>
      <c r="F307" s="24">
        <v>0.43678161501884399</v>
      </c>
      <c r="G307" s="23">
        <v>0</v>
      </c>
      <c r="H307" s="23">
        <v>0</v>
      </c>
      <c r="I307" s="23">
        <v>0.27011492848396301</v>
      </c>
      <c r="J307" s="24">
        <v>0.68390804529189997</v>
      </c>
      <c r="K307" s="23">
        <v>5.7471264153719E-3</v>
      </c>
      <c r="L307" s="23">
        <v>1.14942528307438E-2</v>
      </c>
      <c r="M307" s="23">
        <v>2.29885056614876E-2</v>
      </c>
      <c r="N307" s="23">
        <v>5.7471264153719E-3</v>
      </c>
      <c r="O307" s="24">
        <v>0.34482759237289401</v>
      </c>
      <c r="P307" s="24">
        <v>0.23563218116760201</v>
      </c>
      <c r="Q307" s="24">
        <v>0.98850572109222401</v>
      </c>
      <c r="R307" s="25">
        <v>0.10344827586206896</v>
      </c>
      <c r="S307" s="25">
        <v>5.7471264367816091E-3</v>
      </c>
      <c r="T307" s="25">
        <v>0.19540229885057472</v>
      </c>
    </row>
    <row r="308" spans="1:20" x14ac:dyDescent="0.25">
      <c r="A308" s="8" t="s">
        <v>673</v>
      </c>
      <c r="B308" s="8" t="s">
        <v>674</v>
      </c>
      <c r="C308" s="8" t="s">
        <v>3540</v>
      </c>
      <c r="D308" s="8">
        <v>727</v>
      </c>
      <c r="E308" s="24">
        <v>0.65749657154083196</v>
      </c>
      <c r="F308" s="24">
        <v>0.34250342845916698</v>
      </c>
      <c r="G308" s="23">
        <v>0</v>
      </c>
      <c r="H308" s="23">
        <v>1.51306744664907E-2</v>
      </c>
      <c r="I308" s="24">
        <v>0.34525448083877502</v>
      </c>
      <c r="J308" s="24">
        <v>0.61485558748245195</v>
      </c>
      <c r="K308" s="23">
        <v>1.3755158288404001E-3</v>
      </c>
      <c r="L308" s="23">
        <v>8.2530947402120001E-3</v>
      </c>
      <c r="M308" s="23">
        <v>9.6286106854676992E-3</v>
      </c>
      <c r="N308" s="23">
        <v>5.5020633153617E-3</v>
      </c>
      <c r="O308" s="24">
        <v>0.24209079146385101</v>
      </c>
      <c r="P308" s="23">
        <v>9.4910591840744005E-2</v>
      </c>
      <c r="Q308" s="24">
        <v>0.94085282087326005</v>
      </c>
      <c r="R308" s="25">
        <v>5.5020632737276479E-3</v>
      </c>
      <c r="S308" s="25">
        <v>2.7510316368638238E-2</v>
      </c>
      <c r="T308" s="25">
        <v>0.20220082530949107</v>
      </c>
    </row>
    <row r="309" spans="1:20" x14ac:dyDescent="0.25">
      <c r="A309" s="8" t="s">
        <v>675</v>
      </c>
      <c r="B309" s="8" t="s">
        <v>676</v>
      </c>
      <c r="C309" s="8" t="s">
        <v>3540</v>
      </c>
      <c r="D309" s="8">
        <v>356</v>
      </c>
      <c r="E309" s="24">
        <v>0.47471910715103099</v>
      </c>
      <c r="F309" s="24">
        <v>0.52528089284896795</v>
      </c>
      <c r="G309" s="23">
        <v>0</v>
      </c>
      <c r="H309" s="23">
        <v>1.9662922248244299E-2</v>
      </c>
      <c r="I309" s="24">
        <v>0.31741574406623801</v>
      </c>
      <c r="J309" s="23">
        <v>0.63202250003814697</v>
      </c>
      <c r="K309" s="23">
        <v>8.4269661456346998E-3</v>
      </c>
      <c r="L309" s="23">
        <v>1.6853932291269299E-2</v>
      </c>
      <c r="M309" s="23">
        <v>5.6179775856435004E-3</v>
      </c>
      <c r="N309" s="23">
        <v>0</v>
      </c>
      <c r="O309" s="24">
        <v>0.19943819940090099</v>
      </c>
      <c r="P309" s="24">
        <v>0.14887639880180301</v>
      </c>
      <c r="Q309" s="24">
        <v>0.97471910715103105</v>
      </c>
      <c r="R309" s="25">
        <v>6.1797752808988762E-2</v>
      </c>
      <c r="S309" s="25">
        <v>0</v>
      </c>
      <c r="T309" s="25">
        <v>0.12640449438202248</v>
      </c>
    </row>
    <row r="310" spans="1:20" x14ac:dyDescent="0.25">
      <c r="A310" s="8" t="s">
        <v>677</v>
      </c>
      <c r="B310" s="8" t="s">
        <v>678</v>
      </c>
      <c r="C310" s="8" t="s">
        <v>3540</v>
      </c>
      <c r="D310" s="8">
        <v>172</v>
      </c>
      <c r="E310" s="24">
        <v>0.55813956260681097</v>
      </c>
      <c r="F310" s="24">
        <v>0.44186046719550998</v>
      </c>
      <c r="G310" s="23">
        <v>0</v>
      </c>
      <c r="H310" s="23">
        <v>0</v>
      </c>
      <c r="I310" s="24">
        <v>0.36627906560897799</v>
      </c>
      <c r="J310" s="24">
        <v>0.61627906560897805</v>
      </c>
      <c r="K310" s="23">
        <v>5.8139534667133999E-3</v>
      </c>
      <c r="L310" s="23">
        <v>5.8139534667133999E-3</v>
      </c>
      <c r="M310" s="23">
        <v>5.8139534667133999E-3</v>
      </c>
      <c r="N310" s="23">
        <v>0</v>
      </c>
      <c r="O310" s="23">
        <v>0.39534884691238398</v>
      </c>
      <c r="P310" s="23">
        <v>8.1395350396633107E-2</v>
      </c>
      <c r="Q310" s="24">
        <v>0.95930230617523105</v>
      </c>
      <c r="R310" s="25">
        <v>0.12790697674418605</v>
      </c>
      <c r="S310" s="25">
        <v>3.4883720930232558E-2</v>
      </c>
      <c r="T310" s="25">
        <v>0.20930232558139536</v>
      </c>
    </row>
    <row r="311" spans="1:20" x14ac:dyDescent="0.25">
      <c r="A311" s="8" t="s">
        <v>679</v>
      </c>
      <c r="B311" s="8" t="s">
        <v>680</v>
      </c>
      <c r="C311" s="8" t="s">
        <v>3540</v>
      </c>
      <c r="D311" s="8">
        <v>136</v>
      </c>
      <c r="E311" s="24">
        <v>0.40441176295280401</v>
      </c>
      <c r="F311" s="23">
        <v>0.59558820724487305</v>
      </c>
      <c r="G311" s="23">
        <v>0</v>
      </c>
      <c r="H311" s="23">
        <v>2.2058824077248601E-2</v>
      </c>
      <c r="I311" s="24">
        <v>0.213235288858413</v>
      </c>
      <c r="J311" s="24">
        <v>0.75735294818878096</v>
      </c>
      <c r="K311" s="23">
        <v>7.3529412038624E-3</v>
      </c>
      <c r="L311" s="23">
        <v>0</v>
      </c>
      <c r="M311" s="23">
        <v>0</v>
      </c>
      <c r="N311" s="23">
        <v>0</v>
      </c>
      <c r="O311" s="24">
        <v>0.36764705181121798</v>
      </c>
      <c r="P311" s="23">
        <v>0.25</v>
      </c>
      <c r="Q311" s="24">
        <v>0.92647057771682695</v>
      </c>
      <c r="R311" s="25">
        <v>0.18382352941176472</v>
      </c>
      <c r="S311" s="25">
        <v>1.4705882352941176E-2</v>
      </c>
      <c r="T311" s="25">
        <v>0.16911764705882354</v>
      </c>
    </row>
    <row r="312" spans="1:20" x14ac:dyDescent="0.25">
      <c r="A312" s="8" t="s">
        <v>681</v>
      </c>
      <c r="B312" s="8" t="s">
        <v>682</v>
      </c>
      <c r="C312" s="8" t="s">
        <v>3540</v>
      </c>
      <c r="D312" s="8">
        <v>357</v>
      </c>
      <c r="E312" s="24">
        <v>0.44537815451621998</v>
      </c>
      <c r="F312" s="24">
        <v>0.55462187528610196</v>
      </c>
      <c r="G312" s="23">
        <v>0</v>
      </c>
      <c r="H312" s="23">
        <v>1.1204482056200501E-2</v>
      </c>
      <c r="I312" s="24">
        <v>0.137254908680915</v>
      </c>
      <c r="J312" s="24">
        <v>0.82072830200195301</v>
      </c>
      <c r="K312" s="23">
        <v>2.8011205140501001E-3</v>
      </c>
      <c r="L312" s="23">
        <v>2.8011205140501001E-3</v>
      </c>
      <c r="M312" s="23">
        <v>1.4005602337420001E-2</v>
      </c>
      <c r="N312" s="23">
        <v>1.1204482056200501E-2</v>
      </c>
      <c r="O312" s="23">
        <v>9.5238097012042999E-2</v>
      </c>
      <c r="P312" s="24">
        <v>0.85434174537658603</v>
      </c>
      <c r="Q312" s="23">
        <v>0.99439775943756104</v>
      </c>
      <c r="R312" s="25">
        <v>2.8011204481792717E-3</v>
      </c>
      <c r="S312" s="25">
        <v>0</v>
      </c>
      <c r="T312" s="25">
        <v>8.9635854341736695E-2</v>
      </c>
    </row>
    <row r="313" spans="1:20" x14ac:dyDescent="0.25">
      <c r="A313" s="8" t="s">
        <v>683</v>
      </c>
      <c r="B313" s="8" t="s">
        <v>684</v>
      </c>
      <c r="C313" s="8" t="s">
        <v>3540</v>
      </c>
      <c r="D313" s="8">
        <v>273</v>
      </c>
      <c r="E313" s="24">
        <v>0.43956044316291798</v>
      </c>
      <c r="F313" s="24">
        <v>0.56043958663940396</v>
      </c>
      <c r="G313" s="23">
        <v>0</v>
      </c>
      <c r="H313" s="23">
        <v>1.09890112653375E-2</v>
      </c>
      <c r="I313" s="24">
        <v>0.289377301931381</v>
      </c>
      <c r="J313" s="24">
        <v>0.67399269342422397</v>
      </c>
      <c r="K313" s="23">
        <v>1.09890112653375E-2</v>
      </c>
      <c r="L313" s="23">
        <v>7.3260073550044996E-3</v>
      </c>
      <c r="M313" s="23">
        <v>7.3260073550044996E-3</v>
      </c>
      <c r="N313" s="23">
        <v>0</v>
      </c>
      <c r="O313" s="24">
        <v>0.278388291597366</v>
      </c>
      <c r="P313" s="23">
        <v>9.8901100456714602E-2</v>
      </c>
      <c r="Q313" s="24">
        <v>0.94505494832992498</v>
      </c>
      <c r="R313" s="25">
        <v>3.663003663003663E-3</v>
      </c>
      <c r="S313" s="25">
        <v>8.7912087912087919E-2</v>
      </c>
      <c r="T313" s="25">
        <v>0.18681318681318682</v>
      </c>
    </row>
    <row r="314" spans="1:20" x14ac:dyDescent="0.25">
      <c r="A314" s="8" t="s">
        <v>685</v>
      </c>
      <c r="B314" s="8" t="s">
        <v>686</v>
      </c>
      <c r="C314" s="8" t="s">
        <v>3540</v>
      </c>
      <c r="D314" s="8">
        <v>201</v>
      </c>
      <c r="E314" s="24">
        <v>0.59203982353210405</v>
      </c>
      <c r="F314" s="24">
        <v>0.40796020627021701</v>
      </c>
      <c r="G314" s="23">
        <v>0</v>
      </c>
      <c r="H314" s="23">
        <v>4.9751242622733003E-3</v>
      </c>
      <c r="I314" s="24">
        <v>0.29353234171867298</v>
      </c>
      <c r="J314" s="23">
        <v>0.64676618576049805</v>
      </c>
      <c r="K314" s="23">
        <v>0</v>
      </c>
      <c r="L314" s="23">
        <v>4.9751242622733003E-3</v>
      </c>
      <c r="M314" s="23">
        <v>4.97512444853783E-2</v>
      </c>
      <c r="N314" s="23">
        <v>0</v>
      </c>
      <c r="O314" s="23">
        <v>0.23880596458911901</v>
      </c>
      <c r="P314" s="24">
        <v>0.12935324013233099</v>
      </c>
      <c r="Q314" s="24">
        <v>0.82089549303054798</v>
      </c>
      <c r="R314" s="25">
        <v>0</v>
      </c>
      <c r="S314" s="25">
        <v>0</v>
      </c>
      <c r="T314" s="25">
        <v>0.24875621890547264</v>
      </c>
    </row>
    <row r="315" spans="1:20" x14ac:dyDescent="0.25">
      <c r="A315" s="8" t="s">
        <v>687</v>
      </c>
      <c r="B315" s="8" t="s">
        <v>688</v>
      </c>
      <c r="C315" s="8" t="s">
        <v>3540</v>
      </c>
      <c r="D315" s="8">
        <v>219</v>
      </c>
      <c r="E315" s="24">
        <v>0.538812756538391</v>
      </c>
      <c r="F315" s="24">
        <v>0.461187213659286</v>
      </c>
      <c r="G315" s="23">
        <v>0</v>
      </c>
      <c r="H315" s="23">
        <v>9.1324197128415004E-3</v>
      </c>
      <c r="I315" s="24">
        <v>0.191780820488929</v>
      </c>
      <c r="J315" s="24">
        <v>0.75799089670181197</v>
      </c>
      <c r="K315" s="23">
        <v>9.1324197128415004E-3</v>
      </c>
      <c r="L315" s="23">
        <v>1.8264839425683001E-2</v>
      </c>
      <c r="M315" s="23">
        <v>1.36986300349236E-2</v>
      </c>
      <c r="N315" s="23">
        <v>0</v>
      </c>
      <c r="O315" s="24">
        <v>0.29680365324020302</v>
      </c>
      <c r="P315" s="24">
        <v>0.13242009282112099</v>
      </c>
      <c r="Q315" s="24">
        <v>0.95433789491653398</v>
      </c>
      <c r="R315" s="25">
        <v>3.6529680365296802E-2</v>
      </c>
      <c r="S315" s="25">
        <v>9.1324200913242004E-3</v>
      </c>
      <c r="T315" s="25">
        <v>0.20091324200913241</v>
      </c>
    </row>
    <row r="316" spans="1:20" x14ac:dyDescent="0.25">
      <c r="A316" s="8" t="s">
        <v>689</v>
      </c>
      <c r="B316" s="8" t="s">
        <v>690</v>
      </c>
      <c r="C316" s="8" t="s">
        <v>3540</v>
      </c>
      <c r="D316" s="8">
        <v>191</v>
      </c>
      <c r="E316" s="24">
        <v>0.47643980383872903</v>
      </c>
      <c r="F316" s="24">
        <v>0.52356022596359197</v>
      </c>
      <c r="G316" s="23">
        <v>0</v>
      </c>
      <c r="H316" s="23">
        <v>0</v>
      </c>
      <c r="I316" s="24">
        <v>0.31937173008918701</v>
      </c>
      <c r="J316" s="24">
        <v>0.65968585014343195</v>
      </c>
      <c r="K316" s="23">
        <v>0</v>
      </c>
      <c r="L316" s="23">
        <v>5.2356021478771999E-3</v>
      </c>
      <c r="M316" s="23">
        <v>1.5706805512309099E-2</v>
      </c>
      <c r="N316" s="23">
        <v>0</v>
      </c>
      <c r="O316" s="24">
        <v>0.36125653982162398</v>
      </c>
      <c r="P316" s="24">
        <v>0.14136125147342599</v>
      </c>
      <c r="Q316" s="24">
        <v>0.94764399528503396</v>
      </c>
      <c r="R316" s="25">
        <v>0</v>
      </c>
      <c r="S316" s="25">
        <v>0</v>
      </c>
      <c r="T316" s="25">
        <v>0.34031413612565448</v>
      </c>
    </row>
    <row r="317" spans="1:20" x14ac:dyDescent="0.25">
      <c r="A317" s="8" t="s">
        <v>692</v>
      </c>
      <c r="B317" s="8" t="s">
        <v>693</v>
      </c>
      <c r="C317" s="8" t="s">
        <v>3540</v>
      </c>
      <c r="D317" s="8">
        <v>111</v>
      </c>
      <c r="E317" s="24">
        <v>0.549549520015716</v>
      </c>
      <c r="F317" s="24">
        <v>0.450450450181961</v>
      </c>
      <c r="G317" s="23">
        <v>0</v>
      </c>
      <c r="H317" s="23">
        <v>0</v>
      </c>
      <c r="I317" s="24">
        <v>0.27927929162979098</v>
      </c>
      <c r="J317" s="24">
        <v>0.65765768289565996</v>
      </c>
      <c r="K317" s="23">
        <v>1.8018018454313299E-2</v>
      </c>
      <c r="L317" s="23">
        <v>3.6036036908626598E-2</v>
      </c>
      <c r="M317" s="23">
        <v>9.0090092271565992E-3</v>
      </c>
      <c r="N317" s="23">
        <v>0</v>
      </c>
      <c r="O317" s="24">
        <v>0.33333334326744002</v>
      </c>
      <c r="P317" s="23">
        <v>9.9099099636077895E-2</v>
      </c>
      <c r="Q317" s="24">
        <v>0.936936914920806</v>
      </c>
      <c r="R317" s="25">
        <v>0</v>
      </c>
      <c r="S317" s="25">
        <v>0</v>
      </c>
      <c r="T317" s="25">
        <v>0.29729729729729731</v>
      </c>
    </row>
    <row r="318" spans="1:20" x14ac:dyDescent="0.25">
      <c r="A318" s="8" t="s">
        <v>694</v>
      </c>
      <c r="B318" s="8" t="s">
        <v>695</v>
      </c>
      <c r="C318" s="8" t="s">
        <v>3540</v>
      </c>
      <c r="D318" s="8">
        <v>187</v>
      </c>
      <c r="E318" s="24">
        <v>0.4598930478096</v>
      </c>
      <c r="F318" s="24">
        <v>0.54010695219039895</v>
      </c>
      <c r="G318" s="23">
        <v>0</v>
      </c>
      <c r="H318" s="23">
        <v>0</v>
      </c>
      <c r="I318" s="23">
        <v>0.29411765933036799</v>
      </c>
      <c r="J318" s="24">
        <v>0.66844922304153398</v>
      </c>
      <c r="K318" s="23">
        <v>5.3475936874746999E-3</v>
      </c>
      <c r="L318" s="23">
        <v>5.3475936874746999E-3</v>
      </c>
      <c r="M318" s="23">
        <v>5.3475936874746999E-3</v>
      </c>
      <c r="N318" s="23">
        <v>2.13903747498989E-2</v>
      </c>
      <c r="O318" s="24">
        <v>0.25133690237998901</v>
      </c>
      <c r="P318" s="24">
        <v>0.278074860572814</v>
      </c>
      <c r="Q318" s="24">
        <v>0.88235294818878096</v>
      </c>
      <c r="R318" s="25">
        <v>5.3475935828877002E-3</v>
      </c>
      <c r="S318" s="25">
        <v>0</v>
      </c>
      <c r="T318" s="25">
        <v>0.25668449197860965</v>
      </c>
    </row>
    <row r="319" spans="1:20" x14ac:dyDescent="0.25">
      <c r="A319" s="8" t="s">
        <v>696</v>
      </c>
      <c r="B319" s="8" t="s">
        <v>697</v>
      </c>
      <c r="C319" s="8" t="s">
        <v>3540</v>
      </c>
      <c r="D319" s="8">
        <v>193</v>
      </c>
      <c r="E319" s="24">
        <v>0.47150260210037198</v>
      </c>
      <c r="F319" s="24">
        <v>0.52849739789962702</v>
      </c>
      <c r="G319" s="23">
        <v>0</v>
      </c>
      <c r="H319" s="23">
        <v>5.1813470199703997E-3</v>
      </c>
      <c r="I319" s="24">
        <v>0.19170984625816301</v>
      </c>
      <c r="J319" s="24">
        <v>0.79274612665176303</v>
      </c>
      <c r="K319" s="23">
        <v>0</v>
      </c>
      <c r="L319" s="23">
        <v>0</v>
      </c>
      <c r="M319" s="23">
        <v>1.0362694039940799E-2</v>
      </c>
      <c r="N319" s="23">
        <v>0</v>
      </c>
      <c r="O319" s="24">
        <v>0.33678755164146401</v>
      </c>
      <c r="P319" s="24">
        <v>0.108808286488056</v>
      </c>
      <c r="Q319" s="24">
        <v>0.97927463054656905</v>
      </c>
      <c r="R319" s="25">
        <v>0</v>
      </c>
      <c r="S319" s="25">
        <v>9.8445595854922283E-2</v>
      </c>
      <c r="T319" s="25">
        <v>0.22279792746113988</v>
      </c>
    </row>
    <row r="320" spans="1:20" x14ac:dyDescent="0.25">
      <c r="A320" s="8" t="s">
        <v>698</v>
      </c>
      <c r="B320" s="8" t="s">
        <v>699</v>
      </c>
      <c r="C320" s="8" t="s">
        <v>3540</v>
      </c>
      <c r="D320" s="8">
        <v>595</v>
      </c>
      <c r="E320" s="24">
        <v>0.55294120311737005</v>
      </c>
      <c r="F320" s="24">
        <v>0.44537815451621998</v>
      </c>
      <c r="G320" s="23">
        <v>1.680672285147E-3</v>
      </c>
      <c r="H320" s="23">
        <v>3.3613447099924101E-2</v>
      </c>
      <c r="I320" s="24">
        <v>0.32100841403007502</v>
      </c>
      <c r="J320" s="24">
        <v>0.58655464649200395</v>
      </c>
      <c r="K320" s="23">
        <v>3.361344570294E-3</v>
      </c>
      <c r="L320" s="23">
        <v>1.1764706112444401E-2</v>
      </c>
      <c r="M320" s="23">
        <v>3.0252100899815601E-2</v>
      </c>
      <c r="N320" s="23">
        <v>1.3445378281176101E-2</v>
      </c>
      <c r="O320" s="24">
        <v>0.196638658642768</v>
      </c>
      <c r="P320" s="23">
        <v>2.1848740056157102E-2</v>
      </c>
      <c r="Q320" s="24">
        <v>0.877310931682586</v>
      </c>
      <c r="R320" s="25">
        <v>0</v>
      </c>
      <c r="S320" s="25">
        <v>0</v>
      </c>
      <c r="T320" s="25">
        <v>0.1915966386554622</v>
      </c>
    </row>
    <row r="321" spans="1:20" x14ac:dyDescent="0.25">
      <c r="A321" s="8" t="s">
        <v>700</v>
      </c>
      <c r="B321" s="8" t="s">
        <v>701</v>
      </c>
      <c r="C321" s="8" t="s">
        <v>3540</v>
      </c>
      <c r="D321" s="8">
        <v>458</v>
      </c>
      <c r="E321" s="24">
        <v>0.486899554729461</v>
      </c>
      <c r="F321" s="24">
        <v>0.513100445270538</v>
      </c>
      <c r="G321" s="23">
        <v>0</v>
      </c>
      <c r="H321" s="23">
        <v>6.5502184443176001E-3</v>
      </c>
      <c r="I321" s="23">
        <v>0.242358073592186</v>
      </c>
      <c r="J321" s="24">
        <v>0.72925764322280795</v>
      </c>
      <c r="K321" s="23">
        <v>2.1834061481059001E-3</v>
      </c>
      <c r="L321" s="23">
        <v>1.31004368886352E-2</v>
      </c>
      <c r="M321" s="23">
        <v>6.5502184443176001E-3</v>
      </c>
      <c r="N321" s="23">
        <v>0</v>
      </c>
      <c r="O321" s="24">
        <v>0.244541481137275</v>
      </c>
      <c r="P321" s="23">
        <v>6.9868996739387498E-2</v>
      </c>
      <c r="Q321" s="24">
        <v>0.89519649744033802</v>
      </c>
      <c r="R321" s="25">
        <v>4.3668122270742356E-3</v>
      </c>
      <c r="S321" s="25">
        <v>6.768558951965066E-2</v>
      </c>
      <c r="T321" s="25">
        <v>0.16375545851528384</v>
      </c>
    </row>
    <row r="322" spans="1:20" x14ac:dyDescent="0.25">
      <c r="A322" s="8" t="s">
        <v>702</v>
      </c>
      <c r="B322" s="8" t="s">
        <v>703</v>
      </c>
      <c r="C322" s="8" t="s">
        <v>3540</v>
      </c>
      <c r="D322" s="8">
        <v>222</v>
      </c>
      <c r="E322" s="24">
        <v>0.202702701091766</v>
      </c>
      <c r="F322" s="24">
        <v>0.79729729890823298</v>
      </c>
      <c r="G322" s="23">
        <v>0</v>
      </c>
      <c r="H322" s="23">
        <v>1.8018018454313299E-2</v>
      </c>
      <c r="I322" s="23">
        <v>0.31531530618667603</v>
      </c>
      <c r="J322" s="24">
        <v>0.64414411783218295</v>
      </c>
      <c r="K322" s="23">
        <v>4.5045046135782996E-3</v>
      </c>
      <c r="L322" s="23">
        <v>9.0090092271565992E-3</v>
      </c>
      <c r="M322" s="23">
        <v>9.0090092271565992E-3</v>
      </c>
      <c r="N322" s="23">
        <v>0</v>
      </c>
      <c r="O322" s="24">
        <v>0.36036035418510398</v>
      </c>
      <c r="P322" s="24">
        <v>0.12612612545490201</v>
      </c>
      <c r="Q322" s="24">
        <v>0.94144141674041704</v>
      </c>
      <c r="R322" s="25">
        <v>0</v>
      </c>
      <c r="S322" s="25">
        <v>0</v>
      </c>
      <c r="T322" s="25">
        <v>0.35135135135135137</v>
      </c>
    </row>
    <row r="323" spans="1:20" x14ac:dyDescent="0.25">
      <c r="A323" s="8" t="s">
        <v>704</v>
      </c>
      <c r="B323" s="8" t="s">
        <v>705</v>
      </c>
      <c r="C323" s="8" t="s">
        <v>3540</v>
      </c>
      <c r="D323" s="8">
        <v>375</v>
      </c>
      <c r="E323" s="24">
        <v>0.48800000548362699</v>
      </c>
      <c r="F323" s="24">
        <v>0.51200002431869496</v>
      </c>
      <c r="G323" s="23">
        <v>0</v>
      </c>
      <c r="H323" s="23">
        <v>1.06666665524244E-2</v>
      </c>
      <c r="I323" s="23">
        <v>0.30933332443237299</v>
      </c>
      <c r="J323" s="24">
        <v>0.65066665410995395</v>
      </c>
      <c r="K323" s="23">
        <v>0</v>
      </c>
      <c r="L323" s="23">
        <v>1.06666665524244E-2</v>
      </c>
      <c r="M323" s="23">
        <v>1.8666666001081501E-2</v>
      </c>
      <c r="N323" s="23">
        <v>0</v>
      </c>
      <c r="O323" s="24">
        <v>0.31733334064483598</v>
      </c>
      <c r="P323" s="24">
        <v>0.154666662216186</v>
      </c>
      <c r="Q323" s="24">
        <v>0.96533334255218495</v>
      </c>
      <c r="R323" s="25">
        <v>1.0666666666666666E-2</v>
      </c>
      <c r="S323" s="25">
        <v>5.0666666666666665E-2</v>
      </c>
      <c r="T323" s="25">
        <v>0.25066666666666665</v>
      </c>
    </row>
    <row r="324" spans="1:20" x14ac:dyDescent="0.25">
      <c r="A324" s="8" t="s">
        <v>706</v>
      </c>
      <c r="B324" s="8" t="s">
        <v>707</v>
      </c>
      <c r="C324" s="8" t="s">
        <v>3540</v>
      </c>
      <c r="D324" s="8">
        <v>453</v>
      </c>
      <c r="E324" s="23">
        <v>0.22075055539607999</v>
      </c>
      <c r="F324" s="24">
        <v>0.77924942970275801</v>
      </c>
      <c r="G324" s="23">
        <v>0</v>
      </c>
      <c r="H324" s="23">
        <v>0</v>
      </c>
      <c r="I324" s="24">
        <v>0.260485649108886</v>
      </c>
      <c r="J324" s="24">
        <v>0.71523177623748702</v>
      </c>
      <c r="K324" s="23">
        <v>4.4150110334157996E-3</v>
      </c>
      <c r="L324" s="23">
        <v>2.2075055167078998E-3</v>
      </c>
      <c r="M324" s="23">
        <v>1.5452538616955299E-2</v>
      </c>
      <c r="N324" s="23">
        <v>2.2075055167078998E-3</v>
      </c>
      <c r="O324" s="24">
        <v>0.27373069524764998</v>
      </c>
      <c r="P324" s="24">
        <v>0.15452538430690699</v>
      </c>
      <c r="Q324" s="23">
        <v>0.95143485069274902</v>
      </c>
      <c r="R324" s="25">
        <v>0</v>
      </c>
      <c r="S324" s="25">
        <v>2.8697571743929361E-2</v>
      </c>
      <c r="T324" s="25">
        <v>0.2251655629139073</v>
      </c>
    </row>
    <row r="325" spans="1:20" x14ac:dyDescent="0.25">
      <c r="A325" s="8" t="s">
        <v>708</v>
      </c>
      <c r="B325" s="8" t="s">
        <v>709</v>
      </c>
      <c r="C325" s="8" t="s">
        <v>3540</v>
      </c>
      <c r="D325" s="8">
        <v>408</v>
      </c>
      <c r="E325" s="23">
        <v>0.40686273574829102</v>
      </c>
      <c r="F325" s="23">
        <v>0.59313726425170898</v>
      </c>
      <c r="G325" s="23">
        <v>0</v>
      </c>
      <c r="H325" s="23">
        <v>7.3529412038624E-3</v>
      </c>
      <c r="I325" s="24">
        <v>0.31372550129890397</v>
      </c>
      <c r="J325" s="24">
        <v>0.62254899740219105</v>
      </c>
      <c r="K325" s="23">
        <v>0</v>
      </c>
      <c r="L325" s="23">
        <v>1.22549021616578E-2</v>
      </c>
      <c r="M325" s="23">
        <v>4.4117648154497098E-2</v>
      </c>
      <c r="N325" s="23">
        <v>0</v>
      </c>
      <c r="O325" s="24">
        <v>0.34558823704719499</v>
      </c>
      <c r="P325" s="24">
        <v>0.161764711141586</v>
      </c>
      <c r="Q325" s="24">
        <v>0.973039209842681</v>
      </c>
      <c r="R325" s="25">
        <v>0</v>
      </c>
      <c r="S325" s="25">
        <v>0.11519607843137254</v>
      </c>
      <c r="T325" s="25">
        <v>0.22058823529411764</v>
      </c>
    </row>
    <row r="326" spans="1:20" x14ac:dyDescent="0.25">
      <c r="A326" s="8" t="s">
        <v>710</v>
      </c>
      <c r="B326" s="8" t="s">
        <v>711</v>
      </c>
      <c r="C326" s="8" t="s">
        <v>3540</v>
      </c>
      <c r="D326" s="8">
        <v>260</v>
      </c>
      <c r="E326" s="24">
        <v>0.46538460254669101</v>
      </c>
      <c r="F326" s="24">
        <v>0.53461539745330799</v>
      </c>
      <c r="G326" s="23">
        <v>0</v>
      </c>
      <c r="H326" s="23">
        <v>1.9230769947171201E-2</v>
      </c>
      <c r="I326" s="24">
        <v>0.27692309021949701</v>
      </c>
      <c r="J326" s="24">
        <v>0.66153848171234098</v>
      </c>
      <c r="K326" s="23">
        <v>3.8461538497358999E-3</v>
      </c>
      <c r="L326" s="23">
        <v>1.53846153989434E-2</v>
      </c>
      <c r="M326" s="23">
        <v>2.3076923564076399E-2</v>
      </c>
      <c r="N326" s="23">
        <v>0</v>
      </c>
      <c r="O326" s="24">
        <v>0.33461537957191401</v>
      </c>
      <c r="P326" s="24">
        <v>0.13461539149284299</v>
      </c>
      <c r="Q326" s="24">
        <v>0.90769231319427401</v>
      </c>
      <c r="R326" s="25">
        <v>0</v>
      </c>
      <c r="S326" s="25">
        <v>0</v>
      </c>
      <c r="T326" s="25">
        <v>0.27307692307692305</v>
      </c>
    </row>
    <row r="327" spans="1:20" x14ac:dyDescent="0.25">
      <c r="A327" s="8" t="s">
        <v>712</v>
      </c>
      <c r="B327" s="8" t="s">
        <v>713</v>
      </c>
      <c r="C327" s="8" t="s">
        <v>3540</v>
      </c>
      <c r="D327" s="8">
        <v>169</v>
      </c>
      <c r="E327" s="24">
        <v>0.52071005105972201</v>
      </c>
      <c r="F327" s="24">
        <v>0.47928994894027699</v>
      </c>
      <c r="G327" s="23">
        <v>0</v>
      </c>
      <c r="H327" s="23">
        <v>1.77514795213938E-2</v>
      </c>
      <c r="I327" s="24">
        <v>0.27810651063919001</v>
      </c>
      <c r="J327" s="24">
        <v>0.68047338724136297</v>
      </c>
      <c r="K327" s="23">
        <v>0</v>
      </c>
      <c r="L327" s="23">
        <v>1.18343196809292E-2</v>
      </c>
      <c r="M327" s="23">
        <v>1.18343196809292E-2</v>
      </c>
      <c r="N327" s="23">
        <v>0</v>
      </c>
      <c r="O327" s="23">
        <v>0.33136093616485601</v>
      </c>
      <c r="P327" s="24">
        <v>0.248520717024803</v>
      </c>
      <c r="Q327" s="24">
        <v>0.95857989788055398</v>
      </c>
      <c r="R327" s="25">
        <v>0.13609467455621302</v>
      </c>
      <c r="S327" s="25">
        <v>0</v>
      </c>
      <c r="T327" s="25">
        <v>0.1893491124260355</v>
      </c>
    </row>
    <row r="328" spans="1:20" x14ac:dyDescent="0.25">
      <c r="A328" s="8" t="s">
        <v>714</v>
      </c>
      <c r="B328" s="8" t="s">
        <v>715</v>
      </c>
      <c r="C328" s="8" t="s">
        <v>3540</v>
      </c>
      <c r="D328" s="8">
        <v>413</v>
      </c>
      <c r="E328" s="24">
        <v>0.16464890539646099</v>
      </c>
      <c r="F328" s="24">
        <v>0.83535110950469904</v>
      </c>
      <c r="G328" s="23">
        <v>0</v>
      </c>
      <c r="H328" s="23">
        <v>1.69491525739431E-2</v>
      </c>
      <c r="I328" s="24">
        <v>0.27360776066780002</v>
      </c>
      <c r="J328" s="23">
        <v>0.68523001670837402</v>
      </c>
      <c r="K328" s="23">
        <v>7.2639225982129999E-3</v>
      </c>
      <c r="L328" s="23">
        <v>7.2639225982129999E-3</v>
      </c>
      <c r="M328" s="23">
        <v>9.6852304413914993E-3</v>
      </c>
      <c r="N328" s="23">
        <v>0</v>
      </c>
      <c r="O328" s="24">
        <v>0.28813558816909701</v>
      </c>
      <c r="P328" s="24">
        <v>0.15496368706226299</v>
      </c>
      <c r="Q328" s="24">
        <v>0.92009687423705999</v>
      </c>
      <c r="R328" s="25">
        <v>0</v>
      </c>
      <c r="S328" s="25">
        <v>6.5375302663438259E-2</v>
      </c>
      <c r="T328" s="25">
        <v>0.21307506053268765</v>
      </c>
    </row>
    <row r="329" spans="1:20" x14ac:dyDescent="0.25">
      <c r="A329" s="8" t="s">
        <v>716</v>
      </c>
      <c r="B329" s="8" t="s">
        <v>717</v>
      </c>
      <c r="C329" s="8" t="s">
        <v>3540</v>
      </c>
      <c r="D329" s="8">
        <v>258</v>
      </c>
      <c r="E329" s="24">
        <v>0.56201553344726496</v>
      </c>
      <c r="F329" s="24">
        <v>0.43798449635505599</v>
      </c>
      <c r="G329" s="23">
        <v>0</v>
      </c>
      <c r="H329" s="23">
        <v>3.875968977809E-3</v>
      </c>
      <c r="I329" s="24">
        <v>0.27519381046295099</v>
      </c>
      <c r="J329" s="24">
        <v>0.70155036449432295</v>
      </c>
      <c r="K329" s="23">
        <v>0</v>
      </c>
      <c r="L329" s="23">
        <v>7.7519379556179003E-3</v>
      </c>
      <c r="M329" s="23">
        <v>1.16279069334269E-2</v>
      </c>
      <c r="N329" s="23">
        <v>0</v>
      </c>
      <c r="O329" s="24">
        <v>0.23643410205841001</v>
      </c>
      <c r="P329" s="23">
        <v>0.15116278827190399</v>
      </c>
      <c r="Q329" s="24">
        <v>0.96511626243591297</v>
      </c>
      <c r="R329" s="25">
        <v>0</v>
      </c>
      <c r="S329" s="25">
        <v>3.4883720930232558E-2</v>
      </c>
      <c r="T329" s="25">
        <v>0.18992248062015504</v>
      </c>
    </row>
    <row r="330" spans="1:20" x14ac:dyDescent="0.25">
      <c r="A330" s="8" t="s">
        <v>718</v>
      </c>
      <c r="B330" s="8" t="s">
        <v>719</v>
      </c>
      <c r="C330" s="8" t="s">
        <v>3540</v>
      </c>
      <c r="D330" s="8">
        <v>97</v>
      </c>
      <c r="E330" s="24">
        <v>0.40206184983253401</v>
      </c>
      <c r="F330" s="24">
        <v>0.59793812036514205</v>
      </c>
      <c r="G330" s="23">
        <v>0</v>
      </c>
      <c r="H330" s="23">
        <v>0</v>
      </c>
      <c r="I330" s="24">
        <v>0.27835050225257801</v>
      </c>
      <c r="J330" s="24">
        <v>0.69072163105010898</v>
      </c>
      <c r="K330" s="23">
        <v>0</v>
      </c>
      <c r="L330" s="23">
        <v>1.03092780336738E-2</v>
      </c>
      <c r="M330" s="23">
        <v>2.0618556067347499E-2</v>
      </c>
      <c r="N330" s="23">
        <v>0</v>
      </c>
      <c r="O330" s="24">
        <v>0.47422680258750899</v>
      </c>
      <c r="P330" s="24">
        <v>0.14432989060878701</v>
      </c>
      <c r="Q330" s="24">
        <v>0.89690721035003595</v>
      </c>
      <c r="R330" s="25">
        <v>1.0309278350515464E-2</v>
      </c>
      <c r="S330" s="25">
        <v>0</v>
      </c>
      <c r="T330" s="25">
        <v>0.46391752577319589</v>
      </c>
    </row>
    <row r="331" spans="1:20" x14ac:dyDescent="0.25">
      <c r="A331" s="8" t="s">
        <v>720</v>
      </c>
      <c r="B331" s="8" t="s">
        <v>721</v>
      </c>
      <c r="C331" s="8" t="s">
        <v>3540</v>
      </c>
      <c r="D331" s="8">
        <v>223</v>
      </c>
      <c r="E331" s="24">
        <v>0.61883407831192005</v>
      </c>
      <c r="F331" s="24">
        <v>0.381165921688079</v>
      </c>
      <c r="G331" s="23">
        <v>0</v>
      </c>
      <c r="H331" s="23">
        <v>0</v>
      </c>
      <c r="I331" s="24">
        <v>0.318385660648345</v>
      </c>
      <c r="J331" s="24">
        <v>0.65919280052185003</v>
      </c>
      <c r="K331" s="23">
        <v>0</v>
      </c>
      <c r="L331" s="23">
        <v>1.34529145434499E-2</v>
      </c>
      <c r="M331" s="23">
        <v>4.4843051582575E-3</v>
      </c>
      <c r="N331" s="23">
        <v>4.4843051582575E-3</v>
      </c>
      <c r="O331" s="24">
        <v>0.30941703915596003</v>
      </c>
      <c r="P331" s="24">
        <v>0.206278026103973</v>
      </c>
      <c r="Q331" s="24">
        <v>0.95515692234039296</v>
      </c>
      <c r="R331" s="25">
        <v>0</v>
      </c>
      <c r="S331" s="25">
        <v>4.4843049327354259E-3</v>
      </c>
      <c r="T331" s="25">
        <v>0.273542600896861</v>
      </c>
    </row>
    <row r="332" spans="1:20" x14ac:dyDescent="0.25">
      <c r="A332" s="8" t="s">
        <v>722</v>
      </c>
      <c r="B332" s="8" t="s">
        <v>723</v>
      </c>
      <c r="C332" s="8" t="s">
        <v>3540</v>
      </c>
      <c r="D332" s="8">
        <v>719</v>
      </c>
      <c r="E332" s="24">
        <v>0.53546589612960804</v>
      </c>
      <c r="F332" s="24">
        <v>0.46453407406806901</v>
      </c>
      <c r="G332" s="23">
        <v>0</v>
      </c>
      <c r="H332" s="24">
        <v>0.111265644431114</v>
      </c>
      <c r="I332" s="23">
        <v>5.2851181477308301E-2</v>
      </c>
      <c r="J332" s="24">
        <v>0.64116829633712702</v>
      </c>
      <c r="K332" s="23">
        <v>1.80806685239077E-2</v>
      </c>
      <c r="L332" s="23">
        <v>6.9541027769446E-3</v>
      </c>
      <c r="M332" s="23">
        <v>0.16968011856079099</v>
      </c>
      <c r="N332" s="23">
        <v>0</v>
      </c>
      <c r="O332" s="24">
        <v>0.23087622225284499</v>
      </c>
      <c r="P332" s="24">
        <v>0.152990266680717</v>
      </c>
      <c r="Q332" s="24">
        <v>0.71766340732574396</v>
      </c>
      <c r="R332" s="25">
        <v>9.3184979137691235E-2</v>
      </c>
      <c r="S332" s="25">
        <v>0</v>
      </c>
      <c r="T332" s="25">
        <v>0.13351877607788595</v>
      </c>
    </row>
    <row r="333" spans="1:20" x14ac:dyDescent="0.25">
      <c r="A333" s="8" t="s">
        <v>724</v>
      </c>
      <c r="B333" s="8" t="s">
        <v>725</v>
      </c>
      <c r="C333" s="8" t="s">
        <v>3540</v>
      </c>
      <c r="D333" s="8">
        <v>670</v>
      </c>
      <c r="E333" s="24">
        <v>0.47910448908805803</v>
      </c>
      <c r="F333" s="24">
        <v>0.52089554071426303</v>
      </c>
      <c r="G333" s="23">
        <v>0</v>
      </c>
      <c r="H333" s="24">
        <v>0.31641790270805298</v>
      </c>
      <c r="I333" s="24">
        <v>0.102985076606273</v>
      </c>
      <c r="J333" s="24">
        <v>0.47761192917823703</v>
      </c>
      <c r="K333" s="23">
        <v>1.64179112762213E-2</v>
      </c>
      <c r="L333" s="23">
        <v>2.23880596458912E-2</v>
      </c>
      <c r="M333" s="23">
        <v>6.4179107546806294E-2</v>
      </c>
      <c r="N333" s="23">
        <v>0</v>
      </c>
      <c r="O333" s="24">
        <v>0.17313432693481401</v>
      </c>
      <c r="P333" s="24">
        <v>0.167164176702499</v>
      </c>
      <c r="Q333" s="23">
        <v>0.88805967569351196</v>
      </c>
      <c r="R333" s="25">
        <v>6.8656716417910449E-2</v>
      </c>
      <c r="S333" s="25">
        <v>0</v>
      </c>
      <c r="T333" s="25">
        <v>0.11343283582089553</v>
      </c>
    </row>
    <row r="334" spans="1:20" x14ac:dyDescent="0.25">
      <c r="A334" s="8" t="s">
        <v>726</v>
      </c>
      <c r="B334" s="8" t="s">
        <v>727</v>
      </c>
      <c r="C334" s="8" t="s">
        <v>3540</v>
      </c>
      <c r="D334" s="8">
        <v>465</v>
      </c>
      <c r="E334" s="24">
        <v>0.44301074743270802</v>
      </c>
      <c r="F334" s="24">
        <v>0.55698925256729104</v>
      </c>
      <c r="G334" s="23">
        <v>0</v>
      </c>
      <c r="H334" s="23">
        <v>1.07526881620288E-2</v>
      </c>
      <c r="I334" s="24">
        <v>0.208602145314216</v>
      </c>
      <c r="J334" s="24">
        <v>0.75483870506286599</v>
      </c>
      <c r="K334" s="23">
        <v>6.4516128040849998E-3</v>
      </c>
      <c r="L334" s="23">
        <v>6.4516128040849998E-3</v>
      </c>
      <c r="M334" s="23">
        <v>1.290322560817E-2</v>
      </c>
      <c r="N334" s="23">
        <v>0</v>
      </c>
      <c r="O334" s="24">
        <v>0.322580635547637</v>
      </c>
      <c r="P334" s="24">
        <v>0.19784946739673601</v>
      </c>
      <c r="Q334" s="24">
        <v>0.96344083547592096</v>
      </c>
      <c r="R334" s="25">
        <v>0.15053763440860216</v>
      </c>
      <c r="S334" s="25">
        <v>0</v>
      </c>
      <c r="T334" s="25">
        <v>0.11612903225806452</v>
      </c>
    </row>
    <row r="335" spans="1:20" x14ac:dyDescent="0.25">
      <c r="A335" s="8" t="s">
        <v>728</v>
      </c>
      <c r="B335" s="8" t="s">
        <v>729</v>
      </c>
      <c r="C335" s="8" t="s">
        <v>3540</v>
      </c>
      <c r="D335" s="8">
        <v>435</v>
      </c>
      <c r="E335" s="24">
        <v>0.47356322407722401</v>
      </c>
      <c r="F335" s="24">
        <v>0.52643680572509699</v>
      </c>
      <c r="G335" s="23">
        <v>0</v>
      </c>
      <c r="H335" s="23">
        <v>2.2988505661488E-3</v>
      </c>
      <c r="I335" s="23">
        <v>0.158620685338974</v>
      </c>
      <c r="J335" s="24">
        <v>0.82298851013183505</v>
      </c>
      <c r="K335" s="23">
        <v>2.2988505661488E-3</v>
      </c>
      <c r="L335" s="23">
        <v>4.5977011322975003E-3</v>
      </c>
      <c r="M335" s="23">
        <v>9.1954022645950005E-3</v>
      </c>
      <c r="N335" s="23">
        <v>0</v>
      </c>
      <c r="O335" s="24">
        <v>0.31034481525421098</v>
      </c>
      <c r="P335" s="24">
        <v>0.121839083731174</v>
      </c>
      <c r="Q335" s="23">
        <v>0.97701150178909302</v>
      </c>
      <c r="R335" s="25">
        <v>0.16321839080459771</v>
      </c>
      <c r="S335" s="25">
        <v>0</v>
      </c>
      <c r="T335" s="25">
        <v>0.13793103448275862</v>
      </c>
    </row>
    <row r="336" spans="1:20" x14ac:dyDescent="0.25">
      <c r="A336" s="8" t="s">
        <v>731</v>
      </c>
      <c r="B336" s="8" t="s">
        <v>732</v>
      </c>
      <c r="C336" s="8" t="s">
        <v>3540</v>
      </c>
      <c r="D336" s="8">
        <v>468</v>
      </c>
      <c r="E336" s="24">
        <v>0.51068377494812001</v>
      </c>
      <c r="F336" s="24">
        <v>0.48931622505187899</v>
      </c>
      <c r="G336" s="23">
        <v>0</v>
      </c>
      <c r="H336" s="23">
        <v>7.4786327779293102E-2</v>
      </c>
      <c r="I336" s="24">
        <v>0.18589743971824599</v>
      </c>
      <c r="J336" s="24">
        <v>0.70085471868515004</v>
      </c>
      <c r="K336" s="23">
        <v>2.1367522422224001E-3</v>
      </c>
      <c r="L336" s="23">
        <v>1.28205129876733E-2</v>
      </c>
      <c r="M336" s="23">
        <v>2.3504273965954801E-2</v>
      </c>
      <c r="N336" s="23">
        <v>0</v>
      </c>
      <c r="O336" s="24">
        <v>0.267094016075134</v>
      </c>
      <c r="P336" s="23">
        <v>0.170940175652504</v>
      </c>
      <c r="Q336" s="24">
        <v>0.89529913663864102</v>
      </c>
      <c r="R336" s="25">
        <v>0.10042735042735043</v>
      </c>
      <c r="S336" s="25">
        <v>0</v>
      </c>
      <c r="T336" s="25">
        <v>0.16452991452991453</v>
      </c>
    </row>
    <row r="337" spans="1:20" x14ac:dyDescent="0.25">
      <c r="A337" s="8" t="s">
        <v>733</v>
      </c>
      <c r="B337" s="8" t="s">
        <v>734</v>
      </c>
      <c r="C337" s="8" t="s">
        <v>3540</v>
      </c>
      <c r="D337" s="8">
        <v>1091</v>
      </c>
      <c r="E337" s="24">
        <v>0.49312558770179699</v>
      </c>
      <c r="F337" s="24">
        <v>0.50687444210052401</v>
      </c>
      <c r="G337" s="23">
        <v>0</v>
      </c>
      <c r="H337" s="24">
        <v>0.13840512931346799</v>
      </c>
      <c r="I337" s="23">
        <v>5.8661777526140199E-2</v>
      </c>
      <c r="J337" s="24">
        <v>0.60678279399871804</v>
      </c>
      <c r="K337" s="23">
        <v>1.1915673501789599E-2</v>
      </c>
      <c r="L337" s="23">
        <v>4.5829513110219999E-3</v>
      </c>
      <c r="M337" s="24">
        <v>0.17965169250965099</v>
      </c>
      <c r="N337" s="23">
        <v>0</v>
      </c>
      <c r="O337" s="24">
        <v>0.22273144125938399</v>
      </c>
      <c r="P337" s="24">
        <v>0.15032081305980599</v>
      </c>
      <c r="Q337" s="24">
        <v>0.80293309688568104</v>
      </c>
      <c r="R337" s="25">
        <v>7.1494042163153068E-2</v>
      </c>
      <c r="S337" s="25">
        <v>0</v>
      </c>
      <c r="T337" s="25">
        <v>0.14940421631530706</v>
      </c>
    </row>
    <row r="338" spans="1:20" x14ac:dyDescent="0.25">
      <c r="A338" s="8" t="s">
        <v>735</v>
      </c>
      <c r="B338" s="8" t="s">
        <v>736</v>
      </c>
      <c r="C338" s="8" t="s">
        <v>3540</v>
      </c>
      <c r="D338" s="8">
        <v>597</v>
      </c>
      <c r="E338" s="24">
        <v>0.48743718862533503</v>
      </c>
      <c r="F338" s="24">
        <v>0.51256281137466397</v>
      </c>
      <c r="G338" s="23">
        <v>0</v>
      </c>
      <c r="H338" s="23">
        <v>9.5477387309074402E-2</v>
      </c>
      <c r="I338" s="24">
        <v>0.16582915186882</v>
      </c>
      <c r="J338" s="24">
        <v>0.67169177532196001</v>
      </c>
      <c r="K338" s="23">
        <v>8.3752097561955001E-3</v>
      </c>
      <c r="L338" s="23">
        <v>6.7001674324274002E-3</v>
      </c>
      <c r="M338" s="23">
        <v>5.1926299929618801E-2</v>
      </c>
      <c r="N338" s="23">
        <v>0</v>
      </c>
      <c r="O338" s="24">
        <v>0.271356791257858</v>
      </c>
      <c r="P338" s="24">
        <v>0.107202678918838</v>
      </c>
      <c r="Q338" s="24">
        <v>0.83919596672058105</v>
      </c>
      <c r="R338" s="25">
        <v>0.12562814070351758</v>
      </c>
      <c r="S338" s="25">
        <v>1.6750418760469012E-3</v>
      </c>
      <c r="T338" s="25">
        <v>0.12730318257956449</v>
      </c>
    </row>
    <row r="339" spans="1:20" x14ac:dyDescent="0.25">
      <c r="A339" s="8" t="s">
        <v>737</v>
      </c>
      <c r="B339" s="8" t="s">
        <v>738</v>
      </c>
      <c r="C339" s="8" t="s">
        <v>3540</v>
      </c>
      <c r="D339" s="8">
        <v>515</v>
      </c>
      <c r="E339" s="24">
        <v>0.53203880786895696</v>
      </c>
      <c r="F339" s="24">
        <v>0.46796116232871998</v>
      </c>
      <c r="G339" s="23">
        <v>0</v>
      </c>
      <c r="H339" s="23">
        <v>1.3592232950031801E-2</v>
      </c>
      <c r="I339" s="24">
        <v>0.25242719054222101</v>
      </c>
      <c r="J339" s="24">
        <v>0.69902914762496904</v>
      </c>
      <c r="K339" s="23">
        <v>7.7669904567300996E-3</v>
      </c>
      <c r="L339" s="23">
        <v>9.7087379544972992E-3</v>
      </c>
      <c r="M339" s="23">
        <v>1.7475727945566202E-2</v>
      </c>
      <c r="N339" s="23">
        <v>0</v>
      </c>
      <c r="O339" s="23">
        <v>0.22330096364021301</v>
      </c>
      <c r="P339" s="24">
        <v>0.19611650705337499</v>
      </c>
      <c r="Q339" s="24">
        <v>0.98640775680541903</v>
      </c>
      <c r="R339" s="25">
        <v>6.0194174757281553E-2</v>
      </c>
      <c r="S339" s="25">
        <v>1.9417475728155339E-3</v>
      </c>
      <c r="T339" s="25">
        <v>0.13009708737864079</v>
      </c>
    </row>
    <row r="340" spans="1:20" x14ac:dyDescent="0.25">
      <c r="A340" s="8" t="s">
        <v>739</v>
      </c>
      <c r="B340" s="8" t="s">
        <v>740</v>
      </c>
      <c r="C340" s="8" t="s">
        <v>3540</v>
      </c>
      <c r="D340" s="8">
        <v>367</v>
      </c>
      <c r="E340" s="24">
        <v>0.46049046516418402</v>
      </c>
      <c r="F340" s="24">
        <v>0.53950953483581499</v>
      </c>
      <c r="G340" s="23">
        <v>0</v>
      </c>
      <c r="H340" s="23">
        <v>2.7247956022620201E-2</v>
      </c>
      <c r="I340" s="24">
        <v>0.28337875008583002</v>
      </c>
      <c r="J340" s="24">
        <v>0.66212534904479903</v>
      </c>
      <c r="K340" s="23">
        <v>0</v>
      </c>
      <c r="L340" s="23">
        <v>1.63487736135721E-2</v>
      </c>
      <c r="M340" s="23">
        <v>1.08991824090481E-2</v>
      </c>
      <c r="N340" s="23">
        <v>0</v>
      </c>
      <c r="O340" s="24">
        <v>0.20708446204662301</v>
      </c>
      <c r="P340" s="23">
        <v>8.1743866205215496E-2</v>
      </c>
      <c r="Q340" s="24">
        <v>0.84741145372390703</v>
      </c>
      <c r="R340" s="25">
        <v>2.7247956403269755E-2</v>
      </c>
      <c r="S340" s="25">
        <v>0</v>
      </c>
      <c r="T340" s="25">
        <v>0.14713896457765668</v>
      </c>
    </row>
    <row r="341" spans="1:20" x14ac:dyDescent="0.25">
      <c r="A341" s="8" t="s">
        <v>741</v>
      </c>
      <c r="B341" s="8" t="s">
        <v>742</v>
      </c>
      <c r="C341" s="8" t="s">
        <v>3540</v>
      </c>
      <c r="D341" s="8">
        <v>415</v>
      </c>
      <c r="E341" s="24">
        <v>0.49879518151283198</v>
      </c>
      <c r="F341" s="24">
        <v>0.50120484828948897</v>
      </c>
      <c r="G341" s="23">
        <v>0</v>
      </c>
      <c r="H341" s="23">
        <v>3.3734939992427798E-2</v>
      </c>
      <c r="I341" s="24">
        <v>0.22409638762473999</v>
      </c>
      <c r="J341" s="24">
        <v>0.72289156913757302</v>
      </c>
      <c r="K341" s="23">
        <v>9.6385544165968999E-3</v>
      </c>
      <c r="L341" s="23">
        <v>4.8192772082983996E-3</v>
      </c>
      <c r="M341" s="23">
        <v>4.8192772082983996E-3</v>
      </c>
      <c r="N341" s="23">
        <v>0</v>
      </c>
      <c r="O341" s="24">
        <v>0.26506024599075301</v>
      </c>
      <c r="P341" s="24">
        <v>0.120481930673122</v>
      </c>
      <c r="Q341" s="24">
        <v>0.92048192024230902</v>
      </c>
      <c r="R341" s="25">
        <v>0.11325301204819277</v>
      </c>
      <c r="S341" s="25">
        <v>0</v>
      </c>
      <c r="T341" s="25">
        <v>0.15421686746987953</v>
      </c>
    </row>
    <row r="342" spans="1:20" x14ac:dyDescent="0.25">
      <c r="A342" s="8" t="s">
        <v>743</v>
      </c>
      <c r="B342" s="8" t="s">
        <v>744</v>
      </c>
      <c r="C342" s="8" t="s">
        <v>3540</v>
      </c>
      <c r="D342" s="8">
        <v>578</v>
      </c>
      <c r="E342" s="24">
        <v>0.47404843568801802</v>
      </c>
      <c r="F342" s="24">
        <v>0.52595156431198098</v>
      </c>
      <c r="G342" s="23">
        <v>0</v>
      </c>
      <c r="H342" s="24">
        <v>0.117647059261798</v>
      </c>
      <c r="I342" s="23">
        <v>8.8235296308994293E-2</v>
      </c>
      <c r="J342" s="24">
        <v>0.692041516304016</v>
      </c>
      <c r="K342" s="23">
        <v>1.03806229308248E-2</v>
      </c>
      <c r="L342" s="23">
        <v>5.1903114654124E-3</v>
      </c>
      <c r="M342" s="23">
        <v>8.4775090217590304E-2</v>
      </c>
      <c r="N342" s="23">
        <v>1.7301038606092E-3</v>
      </c>
      <c r="O342" s="24">
        <v>0.24567474424839</v>
      </c>
      <c r="P342" s="23">
        <v>3.63321788609028E-2</v>
      </c>
      <c r="Q342" s="24">
        <v>0.69723182916641202</v>
      </c>
      <c r="R342" s="25">
        <v>6.7474048442906581E-2</v>
      </c>
      <c r="S342" s="25">
        <v>1.7301038062283738E-3</v>
      </c>
      <c r="T342" s="25">
        <v>0.17474048442906576</v>
      </c>
    </row>
    <row r="343" spans="1:20" x14ac:dyDescent="0.25">
      <c r="A343" s="8" t="s">
        <v>745</v>
      </c>
      <c r="B343" s="8" t="s">
        <v>746</v>
      </c>
      <c r="C343" s="8" t="s">
        <v>3540</v>
      </c>
      <c r="D343" s="8">
        <v>425</v>
      </c>
      <c r="E343" s="24">
        <v>0.48235294222831698</v>
      </c>
      <c r="F343" s="24">
        <v>0.51764708757400502</v>
      </c>
      <c r="G343" s="23">
        <v>0</v>
      </c>
      <c r="H343" s="23">
        <v>1.41176469624043E-2</v>
      </c>
      <c r="I343" s="24">
        <v>0.26823529601097101</v>
      </c>
      <c r="J343" s="24">
        <v>0.67294114828109697</v>
      </c>
      <c r="K343" s="23">
        <v>7.0588234812021004E-3</v>
      </c>
      <c r="L343" s="23">
        <v>2.3529410827905E-3</v>
      </c>
      <c r="M343" s="23">
        <v>3.5294119268655798E-2</v>
      </c>
      <c r="N343" s="23">
        <v>0</v>
      </c>
      <c r="O343" s="24">
        <v>0.312941163778305</v>
      </c>
      <c r="P343" s="24">
        <v>0.10823529213666901</v>
      </c>
      <c r="Q343" s="24">
        <v>0.99058824777603105</v>
      </c>
      <c r="R343" s="25">
        <v>0.13647058823529412</v>
      </c>
      <c r="S343" s="25">
        <v>4.7058823529411761E-3</v>
      </c>
      <c r="T343" s="25">
        <v>0.16941176470588235</v>
      </c>
    </row>
    <row r="344" spans="1:20" x14ac:dyDescent="0.25">
      <c r="A344" s="8" t="s">
        <v>747</v>
      </c>
      <c r="B344" s="8" t="s">
        <v>748</v>
      </c>
      <c r="C344" s="8" t="s">
        <v>3540</v>
      </c>
      <c r="D344" s="8">
        <v>513</v>
      </c>
      <c r="E344" s="24">
        <v>0.50877195596694902</v>
      </c>
      <c r="F344" s="24">
        <v>0.49122807383537198</v>
      </c>
      <c r="G344" s="23">
        <v>0</v>
      </c>
      <c r="H344" s="24">
        <v>0.25925925374031</v>
      </c>
      <c r="I344" s="23">
        <v>7.6023392379283905E-2</v>
      </c>
      <c r="J344" s="24">
        <v>0.58869397640228205</v>
      </c>
      <c r="K344" s="23">
        <v>1.16959065198898E-2</v>
      </c>
      <c r="L344" s="23">
        <v>3.7037037312984501E-2</v>
      </c>
      <c r="M344" s="23">
        <v>2.72904485464096E-2</v>
      </c>
      <c r="N344" s="23">
        <v>0</v>
      </c>
      <c r="O344" s="24">
        <v>0.23001949489116599</v>
      </c>
      <c r="P344" s="24">
        <v>0.28265106678009</v>
      </c>
      <c r="Q344" s="24">
        <v>0.97270953655242898</v>
      </c>
      <c r="R344" s="25">
        <v>9.1617933723196876E-2</v>
      </c>
      <c r="S344" s="25">
        <v>0</v>
      </c>
      <c r="T344" s="25">
        <v>0.14619883040935672</v>
      </c>
    </row>
    <row r="345" spans="1:20" x14ac:dyDescent="0.25">
      <c r="A345" s="8" t="s">
        <v>749</v>
      </c>
      <c r="B345" s="8" t="s">
        <v>750</v>
      </c>
      <c r="C345" s="8" t="s">
        <v>3540</v>
      </c>
      <c r="D345" s="8">
        <v>470</v>
      </c>
      <c r="E345" s="24">
        <v>0.49787235260009699</v>
      </c>
      <c r="F345" s="24">
        <v>0.50212764739990201</v>
      </c>
      <c r="G345" s="23">
        <v>0</v>
      </c>
      <c r="H345" s="23">
        <v>2.55319140851498E-2</v>
      </c>
      <c r="I345" s="24">
        <v>0.18085105717182101</v>
      </c>
      <c r="J345" s="24">
        <v>0.76595747470855702</v>
      </c>
      <c r="K345" s="23">
        <v>2.1276595070957999E-3</v>
      </c>
      <c r="L345" s="23">
        <v>1.70212760567665E-2</v>
      </c>
      <c r="M345" s="23">
        <v>8.5106380283833001E-3</v>
      </c>
      <c r="N345" s="23">
        <v>0</v>
      </c>
      <c r="O345" s="24">
        <v>0.22340425848960799</v>
      </c>
      <c r="P345" s="24">
        <v>0.31276595592498702</v>
      </c>
      <c r="Q345" s="24">
        <v>0.94255316257476796</v>
      </c>
      <c r="R345" s="25">
        <v>2.1276595744680851E-3</v>
      </c>
      <c r="S345" s="25">
        <v>7.6595744680851063E-2</v>
      </c>
      <c r="T345" s="25">
        <v>0.14468085106382977</v>
      </c>
    </row>
    <row r="346" spans="1:20" x14ac:dyDescent="0.25">
      <c r="A346" s="8" t="s">
        <v>752</v>
      </c>
      <c r="B346" s="8" t="s">
        <v>753</v>
      </c>
      <c r="C346" s="8" t="s">
        <v>3540</v>
      </c>
      <c r="D346" s="8">
        <v>289</v>
      </c>
      <c r="E346" s="24">
        <v>0.49826988577842701</v>
      </c>
      <c r="F346" s="24">
        <v>0.50173008441925004</v>
      </c>
      <c r="G346" s="23">
        <v>0</v>
      </c>
      <c r="H346" s="23">
        <v>6.9204154424368997E-3</v>
      </c>
      <c r="I346" s="24">
        <v>0.19723182916641199</v>
      </c>
      <c r="J346" s="23">
        <v>0.77508652210235596</v>
      </c>
      <c r="K346" s="23">
        <v>3.4602077212185002E-3</v>
      </c>
      <c r="L346" s="23">
        <v>6.9204154424368997E-3</v>
      </c>
      <c r="M346" s="23">
        <v>1.03806229308248E-2</v>
      </c>
      <c r="N346" s="23">
        <v>0</v>
      </c>
      <c r="O346" s="24">
        <v>0.23183390498161299</v>
      </c>
      <c r="P346" s="24">
        <v>0.14878892898559501</v>
      </c>
      <c r="Q346" s="24">
        <v>0.92041522264480502</v>
      </c>
      <c r="R346" s="25">
        <v>4.8442906574394463E-2</v>
      </c>
      <c r="S346" s="25">
        <v>3.1141868512110725E-2</v>
      </c>
      <c r="T346" s="25">
        <v>0.16262975778546712</v>
      </c>
    </row>
    <row r="347" spans="1:20" x14ac:dyDescent="0.25">
      <c r="A347" s="8" t="s">
        <v>754</v>
      </c>
      <c r="B347" s="8" t="s">
        <v>755</v>
      </c>
      <c r="C347" s="8" t="s">
        <v>3540</v>
      </c>
      <c r="D347" s="8">
        <v>319</v>
      </c>
      <c r="E347" s="24">
        <v>0.51410657167434604</v>
      </c>
      <c r="F347" s="24">
        <v>0.48589342832565302</v>
      </c>
      <c r="G347" s="23">
        <v>0</v>
      </c>
      <c r="H347" s="23">
        <v>5.6426331400871298E-2</v>
      </c>
      <c r="I347" s="24">
        <v>0.225705325603485</v>
      </c>
      <c r="J347" s="24">
        <v>0.680250763893127</v>
      </c>
      <c r="K347" s="23">
        <v>9.4043882563710005E-3</v>
      </c>
      <c r="L347" s="23">
        <v>1.25391846522689E-2</v>
      </c>
      <c r="M347" s="23">
        <v>1.5673981979489299E-2</v>
      </c>
      <c r="N347" s="23">
        <v>0</v>
      </c>
      <c r="O347" s="24">
        <v>0.250783711671829</v>
      </c>
      <c r="P347" s="23">
        <v>0.13166144490241999</v>
      </c>
      <c r="Q347" s="24">
        <v>0.92789965867996205</v>
      </c>
      <c r="R347" s="25">
        <v>3.7617554858934171E-2</v>
      </c>
      <c r="S347" s="25">
        <v>4.0752351097178681E-2</v>
      </c>
      <c r="T347" s="25">
        <v>0.17554858934169279</v>
      </c>
    </row>
    <row r="348" spans="1:20" x14ac:dyDescent="0.25">
      <c r="A348" s="8" t="s">
        <v>756</v>
      </c>
      <c r="B348" s="8" t="s">
        <v>757</v>
      </c>
      <c r="C348" s="8" t="s">
        <v>3540</v>
      </c>
      <c r="D348" s="8">
        <v>499</v>
      </c>
      <c r="E348" s="24">
        <v>0.54308617115020696</v>
      </c>
      <c r="F348" s="24">
        <v>0.45691382884979198</v>
      </c>
      <c r="G348" s="23">
        <v>0</v>
      </c>
      <c r="H348" s="23">
        <v>8.6172342300414997E-2</v>
      </c>
      <c r="I348" s="24">
        <v>0.226452901959419</v>
      </c>
      <c r="J348" s="23">
        <v>0.65731465816497803</v>
      </c>
      <c r="K348" s="23">
        <v>4.0080160833894998E-3</v>
      </c>
      <c r="L348" s="23">
        <v>1.00200399756432E-2</v>
      </c>
      <c r="M348" s="23">
        <v>1.60320643335581E-2</v>
      </c>
      <c r="N348" s="23">
        <v>0</v>
      </c>
      <c r="O348" s="23">
        <v>0.14629258215427399</v>
      </c>
      <c r="P348" s="24">
        <v>0.110220439732074</v>
      </c>
      <c r="Q348" s="24">
        <v>0.88176351785659701</v>
      </c>
      <c r="R348" s="25">
        <v>6.8136272545090179E-2</v>
      </c>
      <c r="S348" s="25">
        <v>0</v>
      </c>
      <c r="T348" s="25">
        <v>8.0160320641282562E-2</v>
      </c>
    </row>
    <row r="349" spans="1:20" x14ac:dyDescent="0.25">
      <c r="A349" s="8" t="s">
        <v>758</v>
      </c>
      <c r="B349" s="8" t="s">
        <v>759</v>
      </c>
      <c r="C349" s="8" t="s">
        <v>3540</v>
      </c>
      <c r="D349" s="8">
        <v>345</v>
      </c>
      <c r="E349" s="23">
        <v>0.46956521272659302</v>
      </c>
      <c r="F349" s="23">
        <v>0.53043478727340698</v>
      </c>
      <c r="G349" s="23">
        <v>0</v>
      </c>
      <c r="H349" s="23">
        <v>2.8985508251935001E-3</v>
      </c>
      <c r="I349" s="24">
        <v>0.33623188734054499</v>
      </c>
      <c r="J349" s="24">
        <v>0.62898552417755105</v>
      </c>
      <c r="K349" s="23">
        <v>5.7971016503870001E-3</v>
      </c>
      <c r="L349" s="23">
        <v>5.7971016503870001E-3</v>
      </c>
      <c r="M349" s="23">
        <v>2.0289855077862701E-2</v>
      </c>
      <c r="N349" s="23">
        <v>0</v>
      </c>
      <c r="O349" s="24">
        <v>0.19710144400596599</v>
      </c>
      <c r="P349" s="24">
        <v>0.14492753148078899</v>
      </c>
      <c r="Q349" s="24">
        <v>0.95942026376724199</v>
      </c>
      <c r="R349" s="25">
        <v>0.1246376811594203</v>
      </c>
      <c r="S349" s="25">
        <v>2.8985507246376812E-3</v>
      </c>
      <c r="T349" s="25">
        <v>8.9855072463768115E-2</v>
      </c>
    </row>
    <row r="350" spans="1:20" x14ac:dyDescent="0.25">
      <c r="A350" s="8" t="s">
        <v>760</v>
      </c>
      <c r="B350" s="8" t="s">
        <v>761</v>
      </c>
      <c r="C350" s="8" t="s">
        <v>3540</v>
      </c>
      <c r="D350" s="8">
        <v>306</v>
      </c>
      <c r="E350" s="24">
        <v>0.56535947322845403</v>
      </c>
      <c r="F350" s="24">
        <v>0.43464052677154502</v>
      </c>
      <c r="G350" s="23">
        <v>0</v>
      </c>
      <c r="H350" s="23">
        <v>0</v>
      </c>
      <c r="I350" s="24">
        <v>0.300653606653213</v>
      </c>
      <c r="J350" s="24">
        <v>0.63071894645690896</v>
      </c>
      <c r="K350" s="23">
        <v>1.63398701697588E-2</v>
      </c>
      <c r="L350" s="23">
        <v>9.8039219155907995E-3</v>
      </c>
      <c r="M350" s="23">
        <v>4.2483661323785803E-2</v>
      </c>
      <c r="N350" s="23">
        <v>0</v>
      </c>
      <c r="O350" s="24">
        <v>0.23856209218502</v>
      </c>
      <c r="P350" s="24">
        <v>0.19281046092510201</v>
      </c>
      <c r="Q350" s="24">
        <v>0.950980365276336</v>
      </c>
      <c r="R350" s="25">
        <v>0.10457516339869281</v>
      </c>
      <c r="S350" s="25">
        <v>0</v>
      </c>
      <c r="T350" s="25">
        <v>0.11437908496732026</v>
      </c>
    </row>
    <row r="351" spans="1:20" x14ac:dyDescent="0.25">
      <c r="A351" s="8" t="s">
        <v>762</v>
      </c>
      <c r="B351" s="8" t="s">
        <v>763</v>
      </c>
      <c r="C351" s="8" t="s">
        <v>3540</v>
      </c>
      <c r="D351" s="8">
        <v>641</v>
      </c>
      <c r="E351" s="24">
        <v>0.48517939448356601</v>
      </c>
      <c r="F351" s="23">
        <v>0.51326054334640503</v>
      </c>
      <c r="G351" s="23">
        <v>1.5600624028593E-3</v>
      </c>
      <c r="H351" s="23">
        <v>1.24804992228746E-2</v>
      </c>
      <c r="I351" s="23">
        <v>0.115444615483284</v>
      </c>
      <c r="J351" s="24">
        <v>0.83931356668472201</v>
      </c>
      <c r="K351" s="23">
        <v>4.6801869757473E-3</v>
      </c>
      <c r="L351" s="23">
        <v>1.0920437052846E-2</v>
      </c>
      <c r="M351" s="23">
        <v>1.7160685732960701E-2</v>
      </c>
      <c r="N351" s="23">
        <v>0</v>
      </c>
      <c r="O351" s="24">
        <v>0.218408733606338</v>
      </c>
      <c r="P351" s="24">
        <v>0.414976596832275</v>
      </c>
      <c r="Q351" s="24">
        <v>0.97659903764724698</v>
      </c>
      <c r="R351" s="25">
        <v>6.5522620904836196E-2</v>
      </c>
      <c r="S351" s="25">
        <v>3.1201248049921998E-3</v>
      </c>
      <c r="T351" s="25">
        <v>0.14508580343213728</v>
      </c>
    </row>
    <row r="352" spans="1:20" x14ac:dyDescent="0.25">
      <c r="A352" s="8" t="s">
        <v>764</v>
      </c>
      <c r="B352" s="8" t="s">
        <v>765</v>
      </c>
      <c r="C352" s="8" t="s">
        <v>3540</v>
      </c>
      <c r="D352" s="8">
        <v>397</v>
      </c>
      <c r="E352" s="24">
        <v>0.45088160037994301</v>
      </c>
      <c r="F352" s="24">
        <v>0.54911839962005604</v>
      </c>
      <c r="G352" s="23">
        <v>0</v>
      </c>
      <c r="H352" s="23">
        <v>7.3047861456871005E-2</v>
      </c>
      <c r="I352" s="24">
        <v>0.27455919981002802</v>
      </c>
      <c r="J352" s="24">
        <v>0.61460959911346402</v>
      </c>
      <c r="K352" s="23">
        <v>2.5188915897160998E-3</v>
      </c>
      <c r="L352" s="23">
        <v>2.5188915897160998E-3</v>
      </c>
      <c r="M352" s="23">
        <v>3.2745592296123498E-2</v>
      </c>
      <c r="N352" s="23">
        <v>0</v>
      </c>
      <c r="O352" s="24">
        <v>0.26952141523361201</v>
      </c>
      <c r="P352" s="23">
        <v>0.115869015455246</v>
      </c>
      <c r="Q352" s="24">
        <v>0.91687655448913497</v>
      </c>
      <c r="R352" s="25">
        <v>0</v>
      </c>
      <c r="S352" s="25">
        <v>0</v>
      </c>
      <c r="T352" s="25">
        <v>0.26700251889168763</v>
      </c>
    </row>
    <row r="353" spans="1:20" x14ac:dyDescent="0.25">
      <c r="A353" s="8" t="s">
        <v>766</v>
      </c>
      <c r="B353" s="8" t="s">
        <v>767</v>
      </c>
      <c r="C353" s="8" t="s">
        <v>3540</v>
      </c>
      <c r="D353" s="8">
        <v>596</v>
      </c>
      <c r="E353" s="24">
        <v>0.51342284679412797</v>
      </c>
      <c r="F353" s="23">
        <v>0.48657718300819403</v>
      </c>
      <c r="G353" s="23">
        <v>0</v>
      </c>
      <c r="H353" s="23">
        <v>1.51006709784269E-2</v>
      </c>
      <c r="I353" s="24">
        <v>0.18120805919170299</v>
      </c>
      <c r="J353" s="24">
        <v>0.77852350473403897</v>
      </c>
      <c r="K353" s="23">
        <v>3.3557047136128001E-3</v>
      </c>
      <c r="L353" s="23">
        <v>1.6778523568064E-3</v>
      </c>
      <c r="M353" s="23">
        <v>2.0134227350354202E-2</v>
      </c>
      <c r="N353" s="23">
        <v>0</v>
      </c>
      <c r="O353" s="23">
        <v>0.25</v>
      </c>
      <c r="P353" s="23">
        <v>0.11912751942873</v>
      </c>
      <c r="Q353" s="24">
        <v>0.92785233259201005</v>
      </c>
      <c r="R353" s="25">
        <v>3.1879194630872486E-2</v>
      </c>
      <c r="S353" s="25">
        <v>2.0134228187919462E-2</v>
      </c>
      <c r="T353" s="25">
        <v>0.19295302013422819</v>
      </c>
    </row>
    <row r="354" spans="1:20" x14ac:dyDescent="0.25">
      <c r="A354" s="8" t="s">
        <v>768</v>
      </c>
      <c r="B354" s="8" t="s">
        <v>769</v>
      </c>
      <c r="C354" s="8" t="s">
        <v>3540</v>
      </c>
      <c r="D354" s="8">
        <v>168</v>
      </c>
      <c r="E354" s="23">
        <v>1</v>
      </c>
      <c r="F354" s="23">
        <v>0</v>
      </c>
      <c r="G354" s="23">
        <v>0</v>
      </c>
      <c r="H354" s="24">
        <v>0.14285714924335399</v>
      </c>
      <c r="I354" s="24">
        <v>0.28571429848670898</v>
      </c>
      <c r="J354" s="24">
        <v>0.42857143282890298</v>
      </c>
      <c r="K354" s="23">
        <v>1.1904762126505399E-2</v>
      </c>
      <c r="L354" s="23">
        <v>3.5714287310838699E-2</v>
      </c>
      <c r="M354" s="23">
        <v>9.5238097012042999E-2</v>
      </c>
      <c r="N354" s="23">
        <v>0</v>
      </c>
      <c r="O354" s="24">
        <v>0.20833332836627899</v>
      </c>
      <c r="P354" s="24">
        <v>0.27380952239036499</v>
      </c>
      <c r="Q354" s="24">
        <v>0.92261904478073098</v>
      </c>
      <c r="R354" s="25">
        <v>0</v>
      </c>
      <c r="S354" s="25">
        <v>5.9523809523809521E-3</v>
      </c>
      <c r="T354" s="25">
        <v>0.20833333333333334</v>
      </c>
    </row>
    <row r="355" spans="1:20" x14ac:dyDescent="0.25">
      <c r="A355" s="8" t="s">
        <v>770</v>
      </c>
      <c r="B355" s="8" t="s">
        <v>771</v>
      </c>
      <c r="C355" s="8" t="s">
        <v>3540</v>
      </c>
      <c r="D355" s="8">
        <v>383</v>
      </c>
      <c r="E355" s="24">
        <v>0.68146216869354204</v>
      </c>
      <c r="F355" s="24">
        <v>0.31853786110877902</v>
      </c>
      <c r="G355" s="23">
        <v>0</v>
      </c>
      <c r="H355" s="23">
        <v>2.6109660044312501E-2</v>
      </c>
      <c r="I355" s="23">
        <v>0.26892951130866999</v>
      </c>
      <c r="J355" s="24">
        <v>0.65535247325897195</v>
      </c>
      <c r="K355" s="23">
        <v>1.30548300221562E-2</v>
      </c>
      <c r="L355" s="23">
        <v>5.2219321951269999E-3</v>
      </c>
      <c r="M355" s="23">
        <v>2.8720626607537301E-2</v>
      </c>
      <c r="N355" s="23">
        <v>2.6109660975635E-3</v>
      </c>
      <c r="O355" s="24">
        <v>0.24804177880287101</v>
      </c>
      <c r="P355" s="23">
        <v>2.0887728780508E-2</v>
      </c>
      <c r="Q355" s="24">
        <v>0.86161881685256902</v>
      </c>
      <c r="R355" s="25">
        <v>2.6109660574412533E-3</v>
      </c>
      <c r="S355" s="25">
        <v>2.6109660574412533E-3</v>
      </c>
      <c r="T355" s="25">
        <v>0.2349869451697128</v>
      </c>
    </row>
    <row r="356" spans="1:20" x14ac:dyDescent="0.25">
      <c r="A356" s="8" t="s">
        <v>772</v>
      </c>
      <c r="B356" s="8" t="s">
        <v>773</v>
      </c>
      <c r="C356" s="8" t="s">
        <v>3540</v>
      </c>
      <c r="D356" s="8">
        <v>150</v>
      </c>
      <c r="E356" s="24">
        <v>0.479999989271163</v>
      </c>
      <c r="F356" s="24">
        <v>0.51999998092651301</v>
      </c>
      <c r="G356" s="23">
        <v>0</v>
      </c>
      <c r="H356" s="23">
        <v>0</v>
      </c>
      <c r="I356" s="24">
        <v>0.32666665315628002</v>
      </c>
      <c r="J356" s="24">
        <v>0.62000000476837103</v>
      </c>
      <c r="K356" s="23">
        <v>6.6666668280958999E-3</v>
      </c>
      <c r="L356" s="23">
        <v>1.9999999552965199E-2</v>
      </c>
      <c r="M356" s="23">
        <v>2.66666673123837E-2</v>
      </c>
      <c r="N356" s="23">
        <v>0</v>
      </c>
      <c r="O356" s="24">
        <v>0.40666666626930198</v>
      </c>
      <c r="P356" s="24">
        <v>0.140000000596046</v>
      </c>
      <c r="Q356" s="24">
        <v>0.95999997854232699</v>
      </c>
      <c r="R356" s="25">
        <v>0.16</v>
      </c>
      <c r="S356" s="25">
        <v>0</v>
      </c>
      <c r="T356" s="25">
        <v>0.28666666666666668</v>
      </c>
    </row>
    <row r="357" spans="1:20" x14ac:dyDescent="0.25">
      <c r="A357" s="8" t="s">
        <v>774</v>
      </c>
      <c r="B357" s="8" t="s">
        <v>775</v>
      </c>
      <c r="C357" s="8" t="s">
        <v>3540</v>
      </c>
      <c r="D357" s="8">
        <v>327</v>
      </c>
      <c r="E357" s="24">
        <v>0.47094801068305903</v>
      </c>
      <c r="F357" s="24">
        <v>0.52905195951461703</v>
      </c>
      <c r="G357" s="23">
        <v>0</v>
      </c>
      <c r="H357" s="23">
        <v>9.1743115335703E-3</v>
      </c>
      <c r="I357" s="24">
        <v>0.201834857463836</v>
      </c>
      <c r="J357" s="24">
        <v>0.74617737531661898</v>
      </c>
      <c r="K357" s="23">
        <v>1.52905201539397E-2</v>
      </c>
      <c r="L357" s="23">
        <v>3.0581040773541E-3</v>
      </c>
      <c r="M357" s="23">
        <v>2.4464832618832599E-2</v>
      </c>
      <c r="N357" s="23">
        <v>0</v>
      </c>
      <c r="O357" s="24">
        <v>0.266055047512054</v>
      </c>
      <c r="P357" s="24">
        <v>0.17431192100048001</v>
      </c>
      <c r="Q357" s="24">
        <v>0.97247707843780495</v>
      </c>
      <c r="R357" s="25">
        <v>3.0581039755351682E-3</v>
      </c>
      <c r="S357" s="25">
        <v>7.64525993883792E-2</v>
      </c>
      <c r="T357" s="25">
        <v>0.19266055045871561</v>
      </c>
    </row>
    <row r="358" spans="1:20" x14ac:dyDescent="0.25">
      <c r="A358" s="8" t="s">
        <v>776</v>
      </c>
      <c r="B358" s="8" t="s">
        <v>777</v>
      </c>
      <c r="C358" s="8" t="s">
        <v>3540</v>
      </c>
      <c r="D358" s="8">
        <v>552</v>
      </c>
      <c r="E358" s="23">
        <v>0.47826087474822998</v>
      </c>
      <c r="F358" s="23">
        <v>0.52173912525177002</v>
      </c>
      <c r="G358" s="23">
        <v>0</v>
      </c>
      <c r="H358" s="23">
        <v>0.114130437374115</v>
      </c>
      <c r="I358" s="23">
        <v>7.6086953282356304E-2</v>
      </c>
      <c r="J358" s="24">
        <v>0.70833331346511796</v>
      </c>
      <c r="K358" s="23">
        <v>7.2463769465685004E-3</v>
      </c>
      <c r="L358" s="23">
        <v>7.2463769465685004E-3</v>
      </c>
      <c r="M358" s="23">
        <v>8.5144929587841006E-2</v>
      </c>
      <c r="N358" s="23">
        <v>1.8115942366420999E-3</v>
      </c>
      <c r="O358" s="24">
        <v>0.28623187541961598</v>
      </c>
      <c r="P358" s="23">
        <v>9.96376797556877E-2</v>
      </c>
      <c r="Q358" s="24">
        <v>0.76811593770980802</v>
      </c>
      <c r="R358" s="25">
        <v>1.2681159420289856E-2</v>
      </c>
      <c r="S358" s="25">
        <v>0</v>
      </c>
      <c r="T358" s="25">
        <v>0.26992753623188404</v>
      </c>
    </row>
    <row r="359" spans="1:20" x14ac:dyDescent="0.25">
      <c r="A359" s="8" t="s">
        <v>778</v>
      </c>
      <c r="B359" s="8" t="s">
        <v>779</v>
      </c>
      <c r="C359" s="8" t="s">
        <v>3540</v>
      </c>
      <c r="D359" s="8">
        <v>345</v>
      </c>
      <c r="E359" s="24">
        <v>0.59710144996643</v>
      </c>
      <c r="F359" s="24">
        <v>0.40000000596046398</v>
      </c>
      <c r="G359" s="23">
        <v>2.8985508251935001E-3</v>
      </c>
      <c r="H359" s="23">
        <v>3.4782607108354603E-2</v>
      </c>
      <c r="I359" s="24">
        <v>0.27826085686683599</v>
      </c>
      <c r="J359" s="24">
        <v>0.64347827434539695</v>
      </c>
      <c r="K359" s="23">
        <v>2.8985508251935001E-3</v>
      </c>
      <c r="L359" s="23">
        <v>2.8985508251935001E-3</v>
      </c>
      <c r="M359" s="23">
        <v>2.0289855077862701E-2</v>
      </c>
      <c r="N359" s="23">
        <v>1.7391303554177302E-2</v>
      </c>
      <c r="O359" s="24">
        <v>0.298550724983215</v>
      </c>
      <c r="P359" s="23">
        <v>6.6666670143604306E-2</v>
      </c>
      <c r="Q359" s="24">
        <v>0.89275360107421797</v>
      </c>
      <c r="R359" s="25">
        <v>0</v>
      </c>
      <c r="S359" s="25">
        <v>1.7391304347826087E-2</v>
      </c>
      <c r="T359" s="25">
        <v>0.27536231884057971</v>
      </c>
    </row>
    <row r="360" spans="1:20" x14ac:dyDescent="0.25">
      <c r="A360" s="8" t="s">
        <v>780</v>
      </c>
      <c r="B360" s="8" t="s">
        <v>781</v>
      </c>
      <c r="C360" s="8" t="s">
        <v>3540</v>
      </c>
      <c r="D360" s="8">
        <v>286</v>
      </c>
      <c r="E360" s="24">
        <v>0.45804196596145602</v>
      </c>
      <c r="F360" s="24">
        <v>0.54195803403854304</v>
      </c>
      <c r="G360" s="23">
        <v>0</v>
      </c>
      <c r="H360" s="23">
        <v>8.0419577658176394E-2</v>
      </c>
      <c r="I360" s="24">
        <v>0.30069929361343301</v>
      </c>
      <c r="J360" s="24">
        <v>0.49650350213050798</v>
      </c>
      <c r="K360" s="23">
        <v>1.74825172871351E-2</v>
      </c>
      <c r="L360" s="23">
        <v>1.3986013829708099E-2</v>
      </c>
      <c r="M360" s="23">
        <v>8.7412588298320798E-2</v>
      </c>
      <c r="N360" s="23">
        <v>3.4965034574270001E-3</v>
      </c>
      <c r="O360" s="24">
        <v>0.25874125957489003</v>
      </c>
      <c r="P360" s="24">
        <v>0.12587413191795299</v>
      </c>
      <c r="Q360" s="24">
        <v>0.84965032339096003</v>
      </c>
      <c r="R360" s="25">
        <v>0</v>
      </c>
      <c r="S360" s="25">
        <v>3.4965034965034965E-3</v>
      </c>
      <c r="T360" s="25">
        <v>0.23776223776223776</v>
      </c>
    </row>
    <row r="361" spans="1:20" x14ac:dyDescent="0.25">
      <c r="A361" s="8" t="s">
        <v>782</v>
      </c>
      <c r="B361" s="8" t="s">
        <v>783</v>
      </c>
      <c r="C361" s="8" t="s">
        <v>3540</v>
      </c>
      <c r="D361" s="8">
        <v>446</v>
      </c>
      <c r="E361" s="24">
        <v>0.50896859169006303</v>
      </c>
      <c r="F361" s="24">
        <v>0.49103137850761402</v>
      </c>
      <c r="G361" s="23">
        <v>0</v>
      </c>
      <c r="H361" s="23">
        <v>4.4843051582575E-3</v>
      </c>
      <c r="I361" s="24">
        <v>0.24887892603874201</v>
      </c>
      <c r="J361" s="24">
        <v>0.72197312116622903</v>
      </c>
      <c r="K361" s="23">
        <v>6.7264572717249003E-3</v>
      </c>
      <c r="L361" s="23">
        <v>6.7264572717249003E-3</v>
      </c>
      <c r="M361" s="23">
        <v>1.12107619643211E-2</v>
      </c>
      <c r="N361" s="23">
        <v>0</v>
      </c>
      <c r="O361" s="24">
        <v>0.32286995649337702</v>
      </c>
      <c r="P361" s="24">
        <v>0.213004484772682</v>
      </c>
      <c r="Q361" s="24">
        <v>0.98654711246490401</v>
      </c>
      <c r="R361" s="25">
        <v>0.1726457399103139</v>
      </c>
      <c r="S361" s="25">
        <v>1.3452914798206279E-2</v>
      </c>
      <c r="T361" s="25">
        <v>0.14573991031390135</v>
      </c>
    </row>
    <row r="362" spans="1:20" x14ac:dyDescent="0.25">
      <c r="A362" s="8" t="s">
        <v>784</v>
      </c>
      <c r="B362" s="8" t="s">
        <v>785</v>
      </c>
      <c r="C362" s="8" t="s">
        <v>3540</v>
      </c>
      <c r="D362" s="8">
        <v>383</v>
      </c>
      <c r="E362" s="24">
        <v>0.49608355760574302</v>
      </c>
      <c r="F362" s="24">
        <v>0.50130546092987005</v>
      </c>
      <c r="G362" s="23">
        <v>2.6109660975635E-3</v>
      </c>
      <c r="H362" s="23">
        <v>3.9164490997791297E-2</v>
      </c>
      <c r="I362" s="24">
        <v>0.12532636523246701</v>
      </c>
      <c r="J362" s="24">
        <v>0.81462138891220004</v>
      </c>
      <c r="K362" s="23">
        <v>0</v>
      </c>
      <c r="L362" s="23">
        <v>1.82767622172832E-2</v>
      </c>
      <c r="M362" s="23">
        <v>0</v>
      </c>
      <c r="N362" s="23">
        <v>2.6109660975635E-3</v>
      </c>
      <c r="O362" s="24">
        <v>0.19321148097515101</v>
      </c>
      <c r="P362" s="24">
        <v>0.27937337756156899</v>
      </c>
      <c r="Q362" s="24">
        <v>0.94516968727111805</v>
      </c>
      <c r="R362" s="25">
        <v>2.6109660574412533E-3</v>
      </c>
      <c r="S362" s="25">
        <v>6.2663185378590072E-2</v>
      </c>
      <c r="T362" s="25">
        <v>0.12271540469973891</v>
      </c>
    </row>
    <row r="363" spans="1:20" x14ac:dyDescent="0.25">
      <c r="A363" s="8" t="s">
        <v>786</v>
      </c>
      <c r="B363" s="8" t="s">
        <v>787</v>
      </c>
      <c r="C363" s="8" t="s">
        <v>3540</v>
      </c>
      <c r="D363" s="8">
        <v>328</v>
      </c>
      <c r="E363" s="24">
        <v>0.41158536076545699</v>
      </c>
      <c r="F363" s="24">
        <v>0.58841460943222001</v>
      </c>
      <c r="G363" s="23">
        <v>0</v>
      </c>
      <c r="H363" s="24">
        <v>0.109756097197532</v>
      </c>
      <c r="I363" s="24">
        <v>0.27743902802467302</v>
      </c>
      <c r="J363" s="23">
        <v>0.478658527135849</v>
      </c>
      <c r="K363" s="23">
        <v>0</v>
      </c>
      <c r="L363" s="23">
        <v>1.8292682245373702E-2</v>
      </c>
      <c r="M363" s="23">
        <v>7.9268291592598003E-2</v>
      </c>
      <c r="N363" s="23">
        <v>3.65853644907475E-2</v>
      </c>
      <c r="O363" s="24">
        <v>0.23170731961727101</v>
      </c>
      <c r="P363" s="24">
        <v>0.19512194395065299</v>
      </c>
      <c r="Q363" s="24">
        <v>0.87804877758026101</v>
      </c>
      <c r="R363" s="25">
        <v>0</v>
      </c>
      <c r="S363" s="25">
        <v>0</v>
      </c>
      <c r="T363" s="25">
        <v>0.21341463414634146</v>
      </c>
    </row>
    <row r="364" spans="1:20" x14ac:dyDescent="0.25">
      <c r="A364" s="8" t="s">
        <v>788</v>
      </c>
      <c r="B364" s="8" t="s">
        <v>789</v>
      </c>
      <c r="C364" s="8" t="s">
        <v>3540</v>
      </c>
      <c r="D364" s="8">
        <v>416</v>
      </c>
      <c r="E364" s="24">
        <v>0.408653855323791</v>
      </c>
      <c r="F364" s="24">
        <v>0.59134614467620805</v>
      </c>
      <c r="G364" s="23">
        <v>0</v>
      </c>
      <c r="H364" s="23">
        <v>9.1346152126789107E-2</v>
      </c>
      <c r="I364" s="24">
        <v>0.19951923191547299</v>
      </c>
      <c r="J364" s="24">
        <v>0.64182692766189497</v>
      </c>
      <c r="K364" s="23">
        <v>2.4038462433964001E-3</v>
      </c>
      <c r="L364" s="23">
        <v>1.6826923936605499E-2</v>
      </c>
      <c r="M364" s="23">
        <v>4.0865384042263003E-2</v>
      </c>
      <c r="N364" s="23">
        <v>7.2115384973585996E-3</v>
      </c>
      <c r="O364" s="24">
        <v>0.235576927661895</v>
      </c>
      <c r="P364" s="23">
        <v>9.375E-2</v>
      </c>
      <c r="Q364" s="24">
        <v>0.83653843402862504</v>
      </c>
      <c r="R364" s="25">
        <v>0</v>
      </c>
      <c r="S364" s="25">
        <v>0</v>
      </c>
      <c r="T364" s="25">
        <v>0.23076923076923078</v>
      </c>
    </row>
    <row r="365" spans="1:20" x14ac:dyDescent="0.25">
      <c r="A365" s="8" t="s">
        <v>790</v>
      </c>
      <c r="B365" s="8" t="s">
        <v>791</v>
      </c>
      <c r="C365" s="8" t="s">
        <v>3540</v>
      </c>
      <c r="D365" s="8">
        <v>466</v>
      </c>
      <c r="E365" s="24">
        <v>0.42703863978385898</v>
      </c>
      <c r="F365" s="24">
        <v>0.57296139001846302</v>
      </c>
      <c r="G365" s="23">
        <v>0</v>
      </c>
      <c r="H365" s="23">
        <v>7.5107298791408497E-2</v>
      </c>
      <c r="I365" s="23">
        <v>0.20171673595905301</v>
      </c>
      <c r="J365" s="24">
        <v>0.66309010982513406</v>
      </c>
      <c r="K365" s="23">
        <v>4.2918454855679997E-3</v>
      </c>
      <c r="L365" s="23">
        <v>2.36051511019468E-2</v>
      </c>
      <c r="M365" s="23">
        <v>3.2188840210437802E-2</v>
      </c>
      <c r="N365" s="23">
        <v>0</v>
      </c>
      <c r="O365" s="24">
        <v>0.31545063853263799</v>
      </c>
      <c r="P365" s="24">
        <v>0.120171673595905</v>
      </c>
      <c r="Q365" s="24">
        <v>0.90128755569457997</v>
      </c>
      <c r="R365" s="25">
        <v>9.8712446351931327E-2</v>
      </c>
      <c r="S365" s="25">
        <v>1.0729613733905579E-2</v>
      </c>
      <c r="T365" s="25">
        <v>0.21459227467811159</v>
      </c>
    </row>
    <row r="366" spans="1:20" x14ac:dyDescent="0.25">
      <c r="A366" s="8" t="s">
        <v>793</v>
      </c>
      <c r="B366" s="8" t="s">
        <v>794</v>
      </c>
      <c r="C366" s="8" t="s">
        <v>3540</v>
      </c>
      <c r="D366" s="8">
        <v>363</v>
      </c>
      <c r="E366" s="24">
        <v>0.454545468091964</v>
      </c>
      <c r="F366" s="24">
        <v>0.545454561710357</v>
      </c>
      <c r="G366" s="23">
        <v>0</v>
      </c>
      <c r="H366" s="23">
        <v>7.7134989202022594E-2</v>
      </c>
      <c r="I366" s="24">
        <v>0.14600551128387401</v>
      </c>
      <c r="J366" s="23">
        <v>0.70523416996002197</v>
      </c>
      <c r="K366" s="23">
        <v>2.7548209764062998E-3</v>
      </c>
      <c r="L366" s="23">
        <v>1.10192839056253E-2</v>
      </c>
      <c r="M366" s="23">
        <v>5.78512400388718E-2</v>
      </c>
      <c r="N366" s="23">
        <v>0</v>
      </c>
      <c r="O366" s="24">
        <v>0.25619834661483698</v>
      </c>
      <c r="P366" s="24">
        <v>0.123966939747333</v>
      </c>
      <c r="Q366" s="24">
        <v>0.77134984731674106</v>
      </c>
      <c r="R366" s="25">
        <v>0</v>
      </c>
      <c r="S366" s="25">
        <v>7.7134986225895319E-2</v>
      </c>
      <c r="T366" s="25">
        <v>0.17630853994490359</v>
      </c>
    </row>
    <row r="367" spans="1:20" x14ac:dyDescent="0.25">
      <c r="A367" s="8" t="s">
        <v>795</v>
      </c>
      <c r="B367" s="8" t="s">
        <v>796</v>
      </c>
      <c r="C367" s="8" t="s">
        <v>3540</v>
      </c>
      <c r="D367" s="8">
        <v>192</v>
      </c>
      <c r="E367" s="24">
        <v>0.45833334326744002</v>
      </c>
      <c r="F367" s="24">
        <v>0.54166668653488104</v>
      </c>
      <c r="G367" s="23">
        <v>0</v>
      </c>
      <c r="H367" s="23">
        <v>3.125E-2</v>
      </c>
      <c r="I367" s="23">
        <v>0.234375</v>
      </c>
      <c r="J367" s="23">
        <v>0.6875</v>
      </c>
      <c r="K367" s="23">
        <v>0</v>
      </c>
      <c r="L367" s="23">
        <v>1.0416666977107501E-2</v>
      </c>
      <c r="M367" s="23">
        <v>3.6458332091569901E-2</v>
      </c>
      <c r="N367" s="23">
        <v>0</v>
      </c>
      <c r="O367" s="23">
        <v>0.265625</v>
      </c>
      <c r="P367" s="23">
        <v>0.15625</v>
      </c>
      <c r="Q367" s="23">
        <v>0.96875</v>
      </c>
      <c r="R367" s="25">
        <v>1.0416666666666666E-2</v>
      </c>
      <c r="S367" s="25">
        <v>9.375E-2</v>
      </c>
      <c r="T367" s="25">
        <v>0.203125</v>
      </c>
    </row>
    <row r="368" spans="1:20" x14ac:dyDescent="0.25">
      <c r="A368" s="8" t="s">
        <v>797</v>
      </c>
      <c r="B368" s="8" t="s">
        <v>798</v>
      </c>
      <c r="C368" s="8" t="s">
        <v>3540</v>
      </c>
      <c r="D368" s="8">
        <v>397</v>
      </c>
      <c r="E368" s="24">
        <v>0.52141058444976796</v>
      </c>
      <c r="F368" s="24">
        <v>0.47858941555023099</v>
      </c>
      <c r="G368" s="23">
        <v>0</v>
      </c>
      <c r="H368" s="23">
        <v>7.3047861456871005E-2</v>
      </c>
      <c r="I368" s="23">
        <v>0.23677581548690799</v>
      </c>
      <c r="J368" s="24">
        <v>0.65491181612014704</v>
      </c>
      <c r="K368" s="23">
        <v>2.5188915897160998E-3</v>
      </c>
      <c r="L368" s="23">
        <v>1.25944586470723E-2</v>
      </c>
      <c r="M368" s="23">
        <v>2.0151132717728601E-2</v>
      </c>
      <c r="N368" s="23">
        <v>0</v>
      </c>
      <c r="O368" s="24">
        <v>0.29219144582748402</v>
      </c>
      <c r="P368" s="24">
        <v>0.151133507490158</v>
      </c>
      <c r="Q368" s="24">
        <v>0.90428209304809504</v>
      </c>
      <c r="R368" s="25">
        <v>2.5188916876574307E-3</v>
      </c>
      <c r="S368" s="25">
        <v>6.5491183879093195E-2</v>
      </c>
      <c r="T368" s="25">
        <v>0.20403022670025189</v>
      </c>
    </row>
    <row r="369" spans="1:20" x14ac:dyDescent="0.25">
      <c r="A369" s="8" t="s">
        <v>800</v>
      </c>
      <c r="B369" s="8" t="s">
        <v>801</v>
      </c>
      <c r="C369" s="8" t="s">
        <v>3540</v>
      </c>
      <c r="D369" s="8">
        <v>170</v>
      </c>
      <c r="E369" s="24">
        <v>0.41764706373214699</v>
      </c>
      <c r="F369" s="24">
        <v>0.58235293626785201</v>
      </c>
      <c r="G369" s="23">
        <v>0</v>
      </c>
      <c r="H369" s="23">
        <v>2.3529412224888802E-2</v>
      </c>
      <c r="I369" s="24">
        <v>0.26470589637756298</v>
      </c>
      <c r="J369" s="24">
        <v>0.62941175699233998</v>
      </c>
      <c r="K369" s="23">
        <v>1.1764706112444401E-2</v>
      </c>
      <c r="L369" s="23">
        <v>3.5294119268655798E-2</v>
      </c>
      <c r="M369" s="23">
        <v>3.5294119268655798E-2</v>
      </c>
      <c r="N369" s="23">
        <v>0</v>
      </c>
      <c r="O369" s="24">
        <v>0.229411765933036</v>
      </c>
      <c r="P369" s="24">
        <v>0.28823530673980702</v>
      </c>
      <c r="Q369" s="24">
        <v>0.94117647409438998</v>
      </c>
      <c r="R369" s="25">
        <v>0</v>
      </c>
      <c r="S369" s="25">
        <v>0</v>
      </c>
      <c r="T369" s="25">
        <v>0.22352941176470589</v>
      </c>
    </row>
    <row r="370" spans="1:20" x14ac:dyDescent="0.25">
      <c r="A370" s="8" t="s">
        <v>802</v>
      </c>
      <c r="B370" s="8" t="s">
        <v>803</v>
      </c>
      <c r="C370" s="8" t="s">
        <v>3540</v>
      </c>
      <c r="D370" s="8">
        <v>402</v>
      </c>
      <c r="E370" s="24">
        <v>0.47512438893318099</v>
      </c>
      <c r="F370" s="24">
        <v>0.52487564086913996</v>
      </c>
      <c r="G370" s="23">
        <v>0</v>
      </c>
      <c r="H370" s="23">
        <v>7.2139300405979198E-2</v>
      </c>
      <c r="I370" s="24">
        <v>0.11940298229455901</v>
      </c>
      <c r="J370" s="24">
        <v>0.69900494813919001</v>
      </c>
      <c r="K370" s="23">
        <v>2.4875621311367E-3</v>
      </c>
      <c r="L370" s="23">
        <v>7.4626863934100004E-3</v>
      </c>
      <c r="M370" s="23">
        <v>9.9502488970756503E-2</v>
      </c>
      <c r="N370" s="23">
        <v>0</v>
      </c>
      <c r="O370" s="24">
        <v>0.27114427089691101</v>
      </c>
      <c r="P370" s="23">
        <v>7.46268630027771E-2</v>
      </c>
      <c r="Q370" s="24">
        <v>0.808457732200622</v>
      </c>
      <c r="R370" s="25">
        <v>7.2139303482587069E-2</v>
      </c>
      <c r="S370" s="25">
        <v>7.462686567164179E-3</v>
      </c>
      <c r="T370" s="25">
        <v>0.19651741293532338</v>
      </c>
    </row>
    <row r="371" spans="1:20" x14ac:dyDescent="0.25">
      <c r="A371" s="8" t="s">
        <v>804</v>
      </c>
      <c r="B371" s="8" t="s">
        <v>805</v>
      </c>
      <c r="C371" s="8" t="s">
        <v>3540</v>
      </c>
      <c r="D371" s="8">
        <v>1065</v>
      </c>
      <c r="E371" s="24">
        <v>0.39530515670776301</v>
      </c>
      <c r="F371" s="24">
        <v>0.60375589132308904</v>
      </c>
      <c r="G371" s="23">
        <v>9.3896716134620004E-4</v>
      </c>
      <c r="H371" s="23">
        <v>7.6056338846683502E-2</v>
      </c>
      <c r="I371" s="23">
        <v>0.25164318084716802</v>
      </c>
      <c r="J371" s="24">
        <v>0.56995302438735895</v>
      </c>
      <c r="K371" s="23">
        <v>5.6338026188313996E-3</v>
      </c>
      <c r="L371" s="23">
        <v>1.4084506779909099E-2</v>
      </c>
      <c r="M371" s="23">
        <v>8.07511731982231E-2</v>
      </c>
      <c r="N371" s="23">
        <v>1.8779343226925E-3</v>
      </c>
      <c r="O371" s="24">
        <v>0.21220657229423501</v>
      </c>
      <c r="P371" s="23">
        <v>9.0140841901302296E-2</v>
      </c>
      <c r="Q371" s="24">
        <v>0.80281692743301303</v>
      </c>
      <c r="R371" s="25">
        <v>3.3802816901408447E-2</v>
      </c>
      <c r="S371" s="25">
        <v>1.3145539906103286E-2</v>
      </c>
      <c r="T371" s="25">
        <v>0.14929577464788732</v>
      </c>
    </row>
    <row r="372" spans="1:20" x14ac:dyDescent="0.25">
      <c r="A372" s="8" t="s">
        <v>807</v>
      </c>
      <c r="B372" s="8" t="s">
        <v>808</v>
      </c>
      <c r="C372" s="8" t="s">
        <v>3540</v>
      </c>
      <c r="D372" s="8">
        <v>154</v>
      </c>
      <c r="E372" s="23">
        <v>0.44155845046043402</v>
      </c>
      <c r="F372" s="24">
        <v>0.55844157934188798</v>
      </c>
      <c r="G372" s="23">
        <v>0</v>
      </c>
      <c r="H372" s="23">
        <v>0</v>
      </c>
      <c r="I372" s="24">
        <v>0.246753245592117</v>
      </c>
      <c r="J372" s="24">
        <v>0.74025976657867398</v>
      </c>
      <c r="K372" s="23">
        <v>0</v>
      </c>
      <c r="L372" s="23">
        <v>1.2987012974917901E-2</v>
      </c>
      <c r="M372" s="23">
        <v>0</v>
      </c>
      <c r="N372" s="23">
        <v>0</v>
      </c>
      <c r="O372" s="24">
        <v>0.35714286565780601</v>
      </c>
      <c r="P372" s="23">
        <v>0.29870128631591802</v>
      </c>
      <c r="Q372" s="23">
        <v>1</v>
      </c>
      <c r="R372" s="25">
        <v>0.18181818181818182</v>
      </c>
      <c r="S372" s="25">
        <v>6.4935064935064939E-3</v>
      </c>
      <c r="T372" s="25">
        <v>0.23376623376623376</v>
      </c>
    </row>
    <row r="373" spans="1:20" x14ac:dyDescent="0.25">
      <c r="A373" s="8" t="s">
        <v>810</v>
      </c>
      <c r="B373" s="8" t="s">
        <v>811</v>
      </c>
      <c r="C373" s="8" t="s">
        <v>3540</v>
      </c>
      <c r="D373" s="8">
        <v>366</v>
      </c>
      <c r="E373" s="24">
        <v>0.44535517692565901</v>
      </c>
      <c r="F373" s="24">
        <v>0.55464482307434004</v>
      </c>
      <c r="G373" s="23">
        <v>0</v>
      </c>
      <c r="H373" s="23">
        <v>8.1967212259769398E-2</v>
      </c>
      <c r="I373" s="23">
        <v>8.1967212259769398E-2</v>
      </c>
      <c r="J373" s="24">
        <v>0.79781419038772505</v>
      </c>
      <c r="K373" s="23">
        <v>0</v>
      </c>
      <c r="L373" s="23">
        <v>5.4644807241857E-3</v>
      </c>
      <c r="M373" s="23">
        <v>1.9125683233141899E-2</v>
      </c>
      <c r="N373" s="23">
        <v>1.36612020432949E-2</v>
      </c>
      <c r="O373" s="24">
        <v>0.128415301442146</v>
      </c>
      <c r="P373" s="24">
        <v>0.71857923269271795</v>
      </c>
      <c r="Q373" s="24">
        <v>0.96448087692260698</v>
      </c>
      <c r="R373" s="25">
        <v>2.7322404371584699E-3</v>
      </c>
      <c r="S373" s="25">
        <v>0</v>
      </c>
      <c r="T373" s="25">
        <v>0.10928961748633879</v>
      </c>
    </row>
    <row r="374" spans="1:20" x14ac:dyDescent="0.25">
      <c r="A374" s="8" t="s">
        <v>812</v>
      </c>
      <c r="B374" s="8" t="s">
        <v>813</v>
      </c>
      <c r="C374" s="8" t="s">
        <v>3540</v>
      </c>
      <c r="D374" s="8">
        <v>239</v>
      </c>
      <c r="E374" s="24">
        <v>0.53138077259063698</v>
      </c>
      <c r="F374" s="24">
        <v>0.46861925721168501</v>
      </c>
      <c r="G374" s="23">
        <v>0</v>
      </c>
      <c r="H374" s="23">
        <v>4.1841004043817499E-2</v>
      </c>
      <c r="I374" s="24">
        <v>0.23849372565746299</v>
      </c>
      <c r="J374" s="24">
        <v>0.69874477386474598</v>
      </c>
      <c r="K374" s="23">
        <v>4.1841003112494998E-3</v>
      </c>
      <c r="L374" s="23">
        <v>1.6736401244997999E-2</v>
      </c>
      <c r="M374" s="23">
        <v>0</v>
      </c>
      <c r="N374" s="23">
        <v>0</v>
      </c>
      <c r="O374" s="24">
        <v>0.27196651697158802</v>
      </c>
      <c r="P374" s="23">
        <v>9.6234306693077101E-2</v>
      </c>
      <c r="Q374" s="24">
        <v>0.92050206661224299</v>
      </c>
      <c r="R374" s="25">
        <v>5.0209205020920501E-2</v>
      </c>
      <c r="S374" s="25">
        <v>7.9497907949790794E-2</v>
      </c>
      <c r="T374" s="25">
        <v>0.15481171548117154</v>
      </c>
    </row>
    <row r="375" spans="1:20" x14ac:dyDescent="0.25">
      <c r="A375" s="8" t="s">
        <v>814</v>
      </c>
      <c r="B375" s="8" t="s">
        <v>815</v>
      </c>
      <c r="C375" s="8" t="s">
        <v>3540</v>
      </c>
      <c r="D375" s="8">
        <v>295</v>
      </c>
      <c r="E375" s="24">
        <v>0.41016948223114003</v>
      </c>
      <c r="F375" s="24">
        <v>0.58983051776885898</v>
      </c>
      <c r="G375" s="23">
        <v>0</v>
      </c>
      <c r="H375" s="23">
        <v>5.4237287491560003E-2</v>
      </c>
      <c r="I375" s="24">
        <v>0.31525424122810303</v>
      </c>
      <c r="J375" s="24">
        <v>0.58983051776885898</v>
      </c>
      <c r="K375" s="23">
        <v>0</v>
      </c>
      <c r="L375" s="23">
        <v>1.3559321872890001E-2</v>
      </c>
      <c r="M375" s="23">
        <v>2.7118643745780002E-2</v>
      </c>
      <c r="N375" s="23">
        <v>0</v>
      </c>
      <c r="O375" s="24">
        <v>0.22711864113807601</v>
      </c>
      <c r="P375" s="24">
        <v>0.31525424122810303</v>
      </c>
      <c r="Q375" s="24">
        <v>0.90847456455230702</v>
      </c>
      <c r="R375" s="25">
        <v>0</v>
      </c>
      <c r="S375" s="25">
        <v>6.7796610169491523E-3</v>
      </c>
      <c r="T375" s="25">
        <v>0.18983050847457628</v>
      </c>
    </row>
    <row r="376" spans="1:20" x14ac:dyDescent="0.25">
      <c r="A376" s="8" t="s">
        <v>816</v>
      </c>
      <c r="B376" s="8" t="s">
        <v>817</v>
      </c>
      <c r="C376" s="8" t="s">
        <v>3540</v>
      </c>
      <c r="D376" s="8">
        <v>246</v>
      </c>
      <c r="E376" s="24">
        <v>0.46341463923454201</v>
      </c>
      <c r="F376" s="24">
        <v>0.53658539056777899</v>
      </c>
      <c r="G376" s="23">
        <v>0</v>
      </c>
      <c r="H376" s="23">
        <v>6.9105692207813305E-2</v>
      </c>
      <c r="I376" s="24">
        <v>0.19918699562549499</v>
      </c>
      <c r="J376" s="24">
        <v>0.65853661298751798</v>
      </c>
      <c r="K376" s="23">
        <v>4.0650404989719001E-3</v>
      </c>
      <c r="L376" s="23">
        <v>1.6260161995887801E-2</v>
      </c>
      <c r="M376" s="23">
        <v>5.28455302119255E-2</v>
      </c>
      <c r="N376" s="23">
        <v>0</v>
      </c>
      <c r="O376" s="24">
        <v>0.29674795269966098</v>
      </c>
      <c r="P376" s="24">
        <v>0.219512194395065</v>
      </c>
      <c r="Q376" s="24">
        <v>0.81707316637039096</v>
      </c>
      <c r="R376" s="25">
        <v>9.3495934959349589E-2</v>
      </c>
      <c r="S376" s="25">
        <v>2.032520325203252E-2</v>
      </c>
      <c r="T376" s="25">
        <v>0.21544715447154472</v>
      </c>
    </row>
    <row r="377" spans="1:20" x14ac:dyDescent="0.25">
      <c r="A377" s="8" t="s">
        <v>818</v>
      </c>
      <c r="B377" s="8" t="s">
        <v>819</v>
      </c>
      <c r="C377" s="8" t="s">
        <v>3540</v>
      </c>
      <c r="D377" s="8">
        <v>361</v>
      </c>
      <c r="E377" s="24">
        <v>0.51800554990768399</v>
      </c>
      <c r="F377" s="24">
        <v>0.48199445009231501</v>
      </c>
      <c r="G377" s="23">
        <v>0</v>
      </c>
      <c r="H377" s="23">
        <v>1.10803321003914E-2</v>
      </c>
      <c r="I377" s="23">
        <v>0.30193907022476202</v>
      </c>
      <c r="J377" s="24">
        <v>0.664819955825805</v>
      </c>
      <c r="K377" s="23">
        <v>2.7700830250978001E-3</v>
      </c>
      <c r="L377" s="23">
        <v>8.3102490752934993E-3</v>
      </c>
      <c r="M377" s="23">
        <v>1.10803321003914E-2</v>
      </c>
      <c r="N377" s="23">
        <v>0</v>
      </c>
      <c r="O377" s="24">
        <v>0.282548487186431</v>
      </c>
      <c r="P377" s="24">
        <v>0.121883653104305</v>
      </c>
      <c r="Q377" s="24">
        <v>0.95567864179611195</v>
      </c>
      <c r="R377" s="25">
        <v>1.1080332409972299E-2</v>
      </c>
      <c r="S377" s="25">
        <v>0</v>
      </c>
      <c r="T377" s="25">
        <v>0.2770083102493075</v>
      </c>
    </row>
    <row r="378" spans="1:20" x14ac:dyDescent="0.25">
      <c r="A378" s="8" t="s">
        <v>820</v>
      </c>
      <c r="B378" s="8" t="s">
        <v>821</v>
      </c>
      <c r="C378" s="8" t="s">
        <v>3540</v>
      </c>
      <c r="D378" s="8">
        <v>199</v>
      </c>
      <c r="E378" s="24">
        <v>0.59798997640609697</v>
      </c>
      <c r="F378" s="23">
        <v>0.40201005339622498</v>
      </c>
      <c r="G378" s="23">
        <v>0</v>
      </c>
      <c r="H378" s="23">
        <v>1.5075377188623E-2</v>
      </c>
      <c r="I378" s="24">
        <v>0.296482414007186</v>
      </c>
      <c r="J378" s="24">
        <v>0.63819092512130704</v>
      </c>
      <c r="K378" s="23">
        <v>1.5075377188623E-2</v>
      </c>
      <c r="L378" s="23">
        <v>2.0100502297282202E-2</v>
      </c>
      <c r="M378" s="23">
        <v>1.5075377188623E-2</v>
      </c>
      <c r="N378" s="23">
        <v>0</v>
      </c>
      <c r="O378" s="24">
        <v>0.185929641127586</v>
      </c>
      <c r="P378" s="23">
        <v>4.0201004594564403E-2</v>
      </c>
      <c r="Q378" s="24">
        <v>0.88944721221923795</v>
      </c>
      <c r="R378" s="25">
        <v>0</v>
      </c>
      <c r="S378" s="25">
        <v>0</v>
      </c>
      <c r="T378" s="25">
        <v>0.1407035175879397</v>
      </c>
    </row>
    <row r="379" spans="1:20" x14ac:dyDescent="0.25">
      <c r="A379" s="8" t="s">
        <v>822</v>
      </c>
      <c r="B379" s="8" t="s">
        <v>823</v>
      </c>
      <c r="C379" s="8" t="s">
        <v>3540</v>
      </c>
      <c r="D379" s="8">
        <v>406</v>
      </c>
      <c r="E379" s="24">
        <v>0.45812806487083402</v>
      </c>
      <c r="F379" s="24">
        <v>0.53940886259078902</v>
      </c>
      <c r="G379" s="23">
        <v>2.4630541447550002E-3</v>
      </c>
      <c r="H379" s="24">
        <v>0.12561576068401301</v>
      </c>
      <c r="I379" s="24">
        <v>0.26600983738899198</v>
      </c>
      <c r="J379" s="24">
        <v>0.52709358930587702</v>
      </c>
      <c r="K379" s="23">
        <v>2.4630541447550002E-3</v>
      </c>
      <c r="L379" s="23">
        <v>4.9261082895100004E-3</v>
      </c>
      <c r="M379" s="23">
        <v>6.15763552486897E-2</v>
      </c>
      <c r="N379" s="23">
        <v>1.2315270490944399E-2</v>
      </c>
      <c r="O379" s="24">
        <v>0.23891626298427501</v>
      </c>
      <c r="P379" s="24">
        <v>0.13546797633171001</v>
      </c>
      <c r="Q379" s="24">
        <v>0.92118227481841997</v>
      </c>
      <c r="R379" s="25">
        <v>0</v>
      </c>
      <c r="S379" s="25">
        <v>2.4630541871921183E-3</v>
      </c>
      <c r="T379" s="25">
        <v>0.23152709359605911</v>
      </c>
    </row>
    <row r="380" spans="1:20" x14ac:dyDescent="0.25">
      <c r="A380" s="8" t="s">
        <v>824</v>
      </c>
      <c r="B380" s="8" t="s">
        <v>825</v>
      </c>
      <c r="C380" s="8" t="s">
        <v>3540</v>
      </c>
      <c r="D380" s="8">
        <v>410</v>
      </c>
      <c r="E380" s="24">
        <v>0.42439025640487599</v>
      </c>
      <c r="F380" s="24">
        <v>0.57560974359512296</v>
      </c>
      <c r="G380" s="23">
        <v>0</v>
      </c>
      <c r="H380" s="23">
        <v>6.8292684853076893E-2</v>
      </c>
      <c r="I380" s="24">
        <v>0.27804878354072499</v>
      </c>
      <c r="J380" s="24">
        <v>0.59268289804458596</v>
      </c>
      <c r="K380" s="23">
        <v>2.4390243925154001E-3</v>
      </c>
      <c r="L380" s="23">
        <v>3.1707316637039198E-2</v>
      </c>
      <c r="M380" s="23">
        <v>2.43902429938316E-2</v>
      </c>
      <c r="N380" s="23">
        <v>2.4390243925154001E-3</v>
      </c>
      <c r="O380" s="24">
        <v>0.258536577224731</v>
      </c>
      <c r="P380" s="24">
        <v>0.107317075133323</v>
      </c>
      <c r="Q380" s="24">
        <v>0.90243899822235096</v>
      </c>
      <c r="R380" s="25">
        <v>2.4390243902439024E-3</v>
      </c>
      <c r="S380" s="25">
        <v>2.4390243902439025E-2</v>
      </c>
      <c r="T380" s="25">
        <v>0.23414634146341465</v>
      </c>
    </row>
    <row r="381" spans="1:20" x14ac:dyDescent="0.25">
      <c r="A381" s="8" t="s">
        <v>826</v>
      </c>
      <c r="B381" s="8" t="s">
        <v>827</v>
      </c>
      <c r="C381" s="8" t="s">
        <v>3540</v>
      </c>
      <c r="D381" s="8">
        <v>549</v>
      </c>
      <c r="E381" s="23">
        <v>0.46630236506462103</v>
      </c>
      <c r="F381" s="24">
        <v>0.53369760513305597</v>
      </c>
      <c r="G381" s="23">
        <v>0</v>
      </c>
      <c r="H381" s="24">
        <v>0.271402537822723</v>
      </c>
      <c r="I381" s="24">
        <v>0.102003641426563</v>
      </c>
      <c r="J381" s="24">
        <v>0.53187614679336503</v>
      </c>
      <c r="K381" s="23">
        <v>9.1074677184224007E-3</v>
      </c>
      <c r="L381" s="23">
        <v>3.8251366466283798E-2</v>
      </c>
      <c r="M381" s="23">
        <v>4.7358833253383602E-2</v>
      </c>
      <c r="N381" s="23">
        <v>0</v>
      </c>
      <c r="O381" s="24">
        <v>0.17122040688991499</v>
      </c>
      <c r="P381" s="23">
        <v>0.27868852019309998</v>
      </c>
      <c r="Q381" s="24">
        <v>0.89071035385131803</v>
      </c>
      <c r="R381" s="25">
        <v>5.1001821493624776E-2</v>
      </c>
      <c r="S381" s="25">
        <v>2.3679417122040074E-2</v>
      </c>
      <c r="T381" s="25">
        <v>8.9253187613843349E-2</v>
      </c>
    </row>
    <row r="382" spans="1:20" x14ac:dyDescent="0.25">
      <c r="A382" s="8" t="s">
        <v>828</v>
      </c>
      <c r="B382" s="8" t="s">
        <v>829</v>
      </c>
      <c r="C382" s="8" t="s">
        <v>3540</v>
      </c>
      <c r="D382" s="8">
        <v>439</v>
      </c>
      <c r="E382" s="24">
        <v>0.50341683626174905</v>
      </c>
      <c r="F382" s="24">
        <v>0.49658313393592801</v>
      </c>
      <c r="G382" s="23">
        <v>0</v>
      </c>
      <c r="H382" s="23">
        <v>0.43735763430595398</v>
      </c>
      <c r="I382" s="23">
        <v>6.8337127566337599E-2</v>
      </c>
      <c r="J382" s="24">
        <v>0.41913440823554898</v>
      </c>
      <c r="K382" s="23">
        <v>6.8337130360304997E-3</v>
      </c>
      <c r="L382" s="23">
        <v>3.18906605243683E-2</v>
      </c>
      <c r="M382" s="23">
        <v>3.6446470767259598E-2</v>
      </c>
      <c r="N382" s="23">
        <v>0</v>
      </c>
      <c r="O382" s="24">
        <v>0.18451024591922699</v>
      </c>
      <c r="P382" s="24">
        <v>0.15261958539485901</v>
      </c>
      <c r="Q382" s="24">
        <v>0.88382685184478704</v>
      </c>
      <c r="R382" s="25">
        <v>5.4669703872437359E-2</v>
      </c>
      <c r="S382" s="25">
        <v>1.5945330296127564E-2</v>
      </c>
      <c r="T382" s="25">
        <v>8.4282460136674259E-2</v>
      </c>
    </row>
    <row r="383" spans="1:20" x14ac:dyDescent="0.25">
      <c r="A383" s="8" t="s">
        <v>830</v>
      </c>
      <c r="B383" s="8" t="s">
        <v>831</v>
      </c>
      <c r="C383" s="8" t="s">
        <v>3540</v>
      </c>
      <c r="D383" s="8">
        <v>248</v>
      </c>
      <c r="E383" s="24">
        <v>0.55645161867141701</v>
      </c>
      <c r="F383" s="24">
        <v>0.44354838132858199</v>
      </c>
      <c r="G383" s="23">
        <v>0</v>
      </c>
      <c r="H383" s="23">
        <v>7.2580642998218495E-2</v>
      </c>
      <c r="I383" s="24">
        <v>0.25403225421905501</v>
      </c>
      <c r="J383" s="24">
        <v>0.48387095332145602</v>
      </c>
      <c r="K383" s="23">
        <v>2.8225805610418299E-2</v>
      </c>
      <c r="L383" s="23">
        <v>8.0645158886908999E-3</v>
      </c>
      <c r="M383" s="24">
        <v>0.14516128599643699</v>
      </c>
      <c r="N383" s="23">
        <v>8.0645158886908999E-3</v>
      </c>
      <c r="O383" s="24">
        <v>0.31048387289047202</v>
      </c>
      <c r="P383" s="23">
        <v>6.4516127109527602E-2</v>
      </c>
      <c r="Q383" s="24">
        <v>0.78629034757614102</v>
      </c>
      <c r="R383" s="25">
        <v>0</v>
      </c>
      <c r="S383" s="25">
        <v>6.0483870967741937E-2</v>
      </c>
      <c r="T383" s="25">
        <v>0.24193548387096775</v>
      </c>
    </row>
    <row r="384" spans="1:20" x14ac:dyDescent="0.25">
      <c r="A384" s="8" t="s">
        <v>832</v>
      </c>
      <c r="B384" s="8" t="s">
        <v>833</v>
      </c>
      <c r="C384" s="8" t="s">
        <v>3540</v>
      </c>
      <c r="D384" s="8">
        <v>229</v>
      </c>
      <c r="E384" s="24">
        <v>0.43668121099472001</v>
      </c>
      <c r="F384" s="24">
        <v>0.56331878900527899</v>
      </c>
      <c r="G384" s="23">
        <v>0</v>
      </c>
      <c r="H384" s="23">
        <v>0</v>
      </c>
      <c r="I384" s="24">
        <v>0.40611353516578602</v>
      </c>
      <c r="J384" s="24">
        <v>0.57641923427581698</v>
      </c>
      <c r="K384" s="23">
        <v>8.7336245924234009E-3</v>
      </c>
      <c r="L384" s="23">
        <v>0</v>
      </c>
      <c r="M384" s="23">
        <v>8.7336245924234009E-3</v>
      </c>
      <c r="N384" s="23">
        <v>0</v>
      </c>
      <c r="O384" s="24">
        <v>0.28384280204772899</v>
      </c>
      <c r="P384" s="23">
        <v>0.139737993478775</v>
      </c>
      <c r="Q384" s="24">
        <v>0.982532739639282</v>
      </c>
      <c r="R384" s="25">
        <v>0.1222707423580786</v>
      </c>
      <c r="S384" s="25">
        <v>4.8034934497816595E-2</v>
      </c>
      <c r="T384" s="25">
        <v>0.11353711790393013</v>
      </c>
    </row>
    <row r="385" spans="1:20" x14ac:dyDescent="0.25">
      <c r="A385" s="8" t="s">
        <v>834</v>
      </c>
      <c r="B385" s="8" t="s">
        <v>835</v>
      </c>
      <c r="C385" s="8" t="s">
        <v>3540</v>
      </c>
      <c r="D385" s="8">
        <v>389</v>
      </c>
      <c r="E385" s="24">
        <v>0.48329049348831099</v>
      </c>
      <c r="F385" s="24">
        <v>0.51670950651168801</v>
      </c>
      <c r="G385" s="23">
        <v>0</v>
      </c>
      <c r="H385" s="23">
        <v>2.5706940796225999E-3</v>
      </c>
      <c r="I385" s="24">
        <v>0.27249357104301403</v>
      </c>
      <c r="J385" s="24">
        <v>0.70179951190948398</v>
      </c>
      <c r="K385" s="23">
        <v>0</v>
      </c>
      <c r="L385" s="23">
        <v>2.5706940796225999E-3</v>
      </c>
      <c r="M385" s="23">
        <v>2.0565552636981E-2</v>
      </c>
      <c r="N385" s="23">
        <v>0</v>
      </c>
      <c r="O385" s="24">
        <v>0.20565553009509999</v>
      </c>
      <c r="P385" s="24">
        <v>0.25192803144454901</v>
      </c>
      <c r="Q385" s="24">
        <v>0.94087404012679998</v>
      </c>
      <c r="R385" s="25">
        <v>7.7120822622107968E-2</v>
      </c>
      <c r="S385" s="25">
        <v>2.5706940874035988E-3</v>
      </c>
      <c r="T385" s="25">
        <v>0.12853470437017994</v>
      </c>
    </row>
    <row r="386" spans="1:20" x14ac:dyDescent="0.25">
      <c r="A386" s="8" t="s">
        <v>836</v>
      </c>
      <c r="B386" s="8" t="s">
        <v>837</v>
      </c>
      <c r="C386" s="8" t="s">
        <v>3540</v>
      </c>
      <c r="D386" s="8">
        <v>272</v>
      </c>
      <c r="E386" s="24">
        <v>0.45220589637756298</v>
      </c>
      <c r="F386" s="24">
        <v>0.54779410362243597</v>
      </c>
      <c r="G386" s="23">
        <v>0</v>
      </c>
      <c r="H386" s="23">
        <v>1.8382353708147999E-2</v>
      </c>
      <c r="I386" s="24">
        <v>0.22058823704719499</v>
      </c>
      <c r="J386" s="24">
        <v>0.72426468133926303</v>
      </c>
      <c r="K386" s="23">
        <v>3.6764706019312E-3</v>
      </c>
      <c r="L386" s="23">
        <v>7.3529412038624E-3</v>
      </c>
      <c r="M386" s="23">
        <v>2.5735294446349099E-2</v>
      </c>
      <c r="N386" s="23">
        <v>0</v>
      </c>
      <c r="O386" s="24">
        <v>0.26470589637756298</v>
      </c>
      <c r="P386" s="24">
        <v>0.30514705181121798</v>
      </c>
      <c r="Q386" s="24">
        <v>0.97426468133926303</v>
      </c>
      <c r="R386" s="25">
        <v>0.14338235294117646</v>
      </c>
      <c r="S386" s="25">
        <v>0</v>
      </c>
      <c r="T386" s="25">
        <v>0.11029411764705882</v>
      </c>
    </row>
    <row r="387" spans="1:20" x14ac:dyDescent="0.25">
      <c r="A387" s="8" t="s">
        <v>838</v>
      </c>
      <c r="B387" s="8" t="s">
        <v>839</v>
      </c>
      <c r="C387" s="8" t="s">
        <v>3540</v>
      </c>
      <c r="D387" s="8">
        <v>575</v>
      </c>
      <c r="E387" s="24">
        <v>0.49217391014099099</v>
      </c>
      <c r="F387" s="24">
        <v>0.50782608985900801</v>
      </c>
      <c r="G387" s="23">
        <v>0</v>
      </c>
      <c r="H387" s="23">
        <v>6.9565218873322001E-3</v>
      </c>
      <c r="I387" s="24">
        <v>0.179130434989929</v>
      </c>
      <c r="J387" s="24">
        <v>0.80173915624618497</v>
      </c>
      <c r="K387" s="23">
        <v>0</v>
      </c>
      <c r="L387" s="23">
        <v>8.6956517770886005E-3</v>
      </c>
      <c r="M387" s="23">
        <v>3.4782609436661001E-3</v>
      </c>
      <c r="N387" s="23">
        <v>0</v>
      </c>
      <c r="O387" s="24">
        <v>0.28695651888847301</v>
      </c>
      <c r="P387" s="24">
        <v>0.35130435228347701</v>
      </c>
      <c r="Q387" s="24">
        <v>0.95130437612533503</v>
      </c>
      <c r="R387" s="25">
        <v>0.15652173913043479</v>
      </c>
      <c r="S387" s="25">
        <v>0</v>
      </c>
      <c r="T387" s="25">
        <v>0.12</v>
      </c>
    </row>
    <row r="388" spans="1:20" x14ac:dyDescent="0.25">
      <c r="A388" s="8" t="s">
        <v>840</v>
      </c>
      <c r="B388" s="8" t="s">
        <v>841</v>
      </c>
      <c r="C388" s="8" t="s">
        <v>3540</v>
      </c>
      <c r="D388" s="8">
        <v>364</v>
      </c>
      <c r="E388" s="24">
        <v>0.44230768084526001</v>
      </c>
      <c r="F388" s="23">
        <v>0.55769228935241699</v>
      </c>
      <c r="G388" s="23">
        <v>0</v>
      </c>
      <c r="H388" s="23">
        <v>0</v>
      </c>
      <c r="I388" s="24">
        <v>0.22802197933196999</v>
      </c>
      <c r="J388" s="24">
        <v>0.739010989665985</v>
      </c>
      <c r="K388" s="23">
        <v>1.6483517363667499E-2</v>
      </c>
      <c r="L388" s="23">
        <v>5.4945056326686998E-3</v>
      </c>
      <c r="M388" s="23">
        <v>1.09890112653375E-2</v>
      </c>
      <c r="N388" s="23">
        <v>0</v>
      </c>
      <c r="O388" s="24">
        <v>0.29395604133605902</v>
      </c>
      <c r="P388" s="24">
        <v>0.27197802066802901</v>
      </c>
      <c r="Q388" s="24">
        <v>0.98626375198364202</v>
      </c>
      <c r="R388" s="25">
        <v>0.1043956043956044</v>
      </c>
      <c r="S388" s="25">
        <v>8.241758241758242E-3</v>
      </c>
      <c r="T388" s="25">
        <v>0.19505494505494506</v>
      </c>
    </row>
    <row r="389" spans="1:20" x14ac:dyDescent="0.25">
      <c r="A389" s="8" t="s">
        <v>842</v>
      </c>
      <c r="B389" s="8" t="s">
        <v>843</v>
      </c>
      <c r="C389" s="8" t="s">
        <v>3540</v>
      </c>
      <c r="D389" s="8">
        <v>331</v>
      </c>
      <c r="E389" s="24">
        <v>0.43806645274162198</v>
      </c>
      <c r="F389" s="24">
        <v>0.56193351745605402</v>
      </c>
      <c r="G389" s="23">
        <v>0</v>
      </c>
      <c r="H389" s="23">
        <v>6.0422960668802001E-3</v>
      </c>
      <c r="I389" s="24">
        <v>0.28398790955543501</v>
      </c>
      <c r="J389" s="24">
        <v>0.69184291362762396</v>
      </c>
      <c r="K389" s="23">
        <v>3.0211480334401001E-3</v>
      </c>
      <c r="L389" s="23">
        <v>0</v>
      </c>
      <c r="M389" s="23">
        <v>1.51057401672006E-2</v>
      </c>
      <c r="N389" s="23">
        <v>0</v>
      </c>
      <c r="O389" s="24">
        <v>0.38670694828033397</v>
      </c>
      <c r="P389" s="23">
        <v>0.28700906038284302</v>
      </c>
      <c r="Q389" s="24">
        <v>0.99395769834518399</v>
      </c>
      <c r="R389" s="25">
        <v>9.6676737160120846E-2</v>
      </c>
      <c r="S389" s="25">
        <v>1.2084592145015106E-2</v>
      </c>
      <c r="T389" s="25">
        <v>0.23262839879154079</v>
      </c>
    </row>
    <row r="390" spans="1:20" x14ac:dyDescent="0.25">
      <c r="A390" s="8" t="s">
        <v>845</v>
      </c>
      <c r="B390" s="8" t="s">
        <v>846</v>
      </c>
      <c r="C390" s="8" t="s">
        <v>3540</v>
      </c>
      <c r="D390" s="8">
        <v>613</v>
      </c>
      <c r="E390" s="24">
        <v>0.51876020431518499</v>
      </c>
      <c r="F390" s="24">
        <v>0.48123979568481401</v>
      </c>
      <c r="G390" s="23">
        <v>0</v>
      </c>
      <c r="H390" s="23">
        <v>4.8939641565083998E-3</v>
      </c>
      <c r="I390" s="24">
        <v>0.249592170119285</v>
      </c>
      <c r="J390" s="24">
        <v>0.71778142452239901</v>
      </c>
      <c r="K390" s="23">
        <v>4.8939641565083998E-3</v>
      </c>
      <c r="L390" s="23">
        <v>9.7879283130169002E-3</v>
      </c>
      <c r="M390" s="23">
        <v>1.3050571084022499E-2</v>
      </c>
      <c r="N390" s="23">
        <v>0</v>
      </c>
      <c r="O390" s="24">
        <v>0.199021205306053</v>
      </c>
      <c r="P390" s="24">
        <v>0.36052203178405701</v>
      </c>
      <c r="Q390" s="24">
        <v>0.96247959136962802</v>
      </c>
      <c r="R390" s="25">
        <v>0.10440456769983687</v>
      </c>
      <c r="S390" s="25">
        <v>3.2626427406199023E-3</v>
      </c>
      <c r="T390" s="25">
        <v>0.10929853181076672</v>
      </c>
    </row>
    <row r="391" spans="1:20" x14ac:dyDescent="0.25">
      <c r="A391" s="8" t="s">
        <v>847</v>
      </c>
      <c r="B391" s="8" t="s">
        <v>848</v>
      </c>
      <c r="C391" s="8" t="s">
        <v>3540</v>
      </c>
      <c r="D391" s="8">
        <v>513</v>
      </c>
      <c r="E391" s="24">
        <v>0.481481492519378</v>
      </c>
      <c r="F391" s="23">
        <v>0.51656919717788696</v>
      </c>
      <c r="G391" s="23">
        <v>1.9493177533149999E-3</v>
      </c>
      <c r="H391" s="23">
        <v>3.8986355066299E-3</v>
      </c>
      <c r="I391" s="24">
        <v>0.42105263471603299</v>
      </c>
      <c r="J391" s="24">
        <v>0.55165690183639504</v>
      </c>
      <c r="K391" s="23">
        <v>5.8479532599449002E-3</v>
      </c>
      <c r="L391" s="23">
        <v>1.9493177533149999E-3</v>
      </c>
      <c r="M391" s="23">
        <v>1.55945420265198E-2</v>
      </c>
      <c r="N391" s="23">
        <v>0</v>
      </c>
      <c r="O391" s="24">
        <v>0.23001949489116599</v>
      </c>
      <c r="P391" s="23">
        <v>6.6276803612709004E-2</v>
      </c>
      <c r="Q391" s="24">
        <v>0.97660821676254195</v>
      </c>
      <c r="R391" s="25">
        <v>1.9493177387914229E-3</v>
      </c>
      <c r="S391" s="25">
        <v>0</v>
      </c>
      <c r="T391" s="25">
        <v>0.20857699805068225</v>
      </c>
    </row>
    <row r="392" spans="1:20" x14ac:dyDescent="0.25">
      <c r="A392" s="8" t="s">
        <v>850</v>
      </c>
      <c r="B392" s="8" t="s">
        <v>851</v>
      </c>
      <c r="C392" s="8" t="s">
        <v>3540</v>
      </c>
      <c r="D392" s="8">
        <v>262</v>
      </c>
      <c r="E392" s="24">
        <v>0.41984733939170799</v>
      </c>
      <c r="F392" s="23">
        <v>0.58015269041061401</v>
      </c>
      <c r="G392" s="23">
        <v>0</v>
      </c>
      <c r="H392" s="23">
        <v>1.1450381949544E-2</v>
      </c>
      <c r="I392" s="24">
        <v>0.27862596511840798</v>
      </c>
      <c r="J392" s="24">
        <v>0.69465649127960205</v>
      </c>
      <c r="K392" s="23">
        <v>3.8167939055711001E-3</v>
      </c>
      <c r="L392" s="23">
        <v>0</v>
      </c>
      <c r="M392" s="23">
        <v>1.1450381949544E-2</v>
      </c>
      <c r="N392" s="23">
        <v>0</v>
      </c>
      <c r="O392" s="24">
        <v>0.24809160828590299</v>
      </c>
      <c r="P392" s="24">
        <v>0.30534350872039701</v>
      </c>
      <c r="Q392" s="24">
        <v>0.97328245639801003</v>
      </c>
      <c r="R392" s="25">
        <v>9.9236641221374045E-2</v>
      </c>
      <c r="S392" s="25">
        <v>7.6335877862595417E-3</v>
      </c>
      <c r="T392" s="25">
        <v>0.15267175572519084</v>
      </c>
    </row>
    <row r="393" spans="1:20" x14ac:dyDescent="0.25">
      <c r="A393" s="8" t="s">
        <v>852</v>
      </c>
      <c r="B393" s="8" t="s">
        <v>853</v>
      </c>
      <c r="C393" s="8" t="s">
        <v>3540</v>
      </c>
      <c r="D393" s="8">
        <v>382</v>
      </c>
      <c r="E393" s="24">
        <v>0.52879583835601796</v>
      </c>
      <c r="F393" s="24">
        <v>0.47120419144630399</v>
      </c>
      <c r="G393" s="23">
        <v>0</v>
      </c>
      <c r="H393" s="23">
        <v>1.5706805512309099E-2</v>
      </c>
      <c r="I393" s="24">
        <v>0.30366492271423301</v>
      </c>
      <c r="J393" s="24">
        <v>0.64136123657226496</v>
      </c>
      <c r="K393" s="23">
        <v>7.8534027561545008E-3</v>
      </c>
      <c r="L393" s="23">
        <v>1.30890049040318E-2</v>
      </c>
      <c r="M393" s="23">
        <v>1.8324607983231499E-2</v>
      </c>
      <c r="N393" s="23">
        <v>0</v>
      </c>
      <c r="O393" s="24">
        <v>0.259162306785583</v>
      </c>
      <c r="P393" s="24">
        <v>0.20418848097324299</v>
      </c>
      <c r="Q393" s="24">
        <v>0.97382199764251698</v>
      </c>
      <c r="R393" s="25">
        <v>0.10209424083769633</v>
      </c>
      <c r="S393" s="25">
        <v>2.617801047120419E-3</v>
      </c>
      <c r="T393" s="25">
        <v>0.13874345549738221</v>
      </c>
    </row>
    <row r="394" spans="1:20" x14ac:dyDescent="0.25">
      <c r="A394" s="8" t="s">
        <v>854</v>
      </c>
      <c r="B394" s="8" t="s">
        <v>855</v>
      </c>
      <c r="C394" s="8" t="s">
        <v>3540</v>
      </c>
      <c r="D394" s="8">
        <v>741</v>
      </c>
      <c r="E394" s="24">
        <v>0.50742238759994496</v>
      </c>
      <c r="F394" s="24">
        <v>0.49257761240005399</v>
      </c>
      <c r="G394" s="23">
        <v>0</v>
      </c>
      <c r="H394" s="23">
        <v>9.4466935843228999E-3</v>
      </c>
      <c r="I394" s="24">
        <v>0.18353576958179399</v>
      </c>
      <c r="J394" s="24">
        <v>0.78947371244430498</v>
      </c>
      <c r="K394" s="23">
        <v>1.3495276216418E-3</v>
      </c>
      <c r="L394" s="23">
        <v>1.0796220973133999E-2</v>
      </c>
      <c r="M394" s="23">
        <v>5.3981104865669996E-3</v>
      </c>
      <c r="N394" s="23">
        <v>0</v>
      </c>
      <c r="O394" s="24">
        <v>0.22402159869670801</v>
      </c>
      <c r="P394" s="24">
        <v>0.27665317058563199</v>
      </c>
      <c r="Q394" s="24">
        <v>0.990553319454193</v>
      </c>
      <c r="R394" s="25">
        <v>8.2321187584345479E-2</v>
      </c>
      <c r="S394" s="25">
        <v>0</v>
      </c>
      <c r="T394" s="25">
        <v>0.14304993252361672</v>
      </c>
    </row>
    <row r="395" spans="1:20" x14ac:dyDescent="0.25">
      <c r="A395" s="8" t="s">
        <v>856</v>
      </c>
      <c r="B395" s="8" t="s">
        <v>857</v>
      </c>
      <c r="C395" s="8" t="s">
        <v>3540</v>
      </c>
      <c r="D395" s="8">
        <v>286</v>
      </c>
      <c r="E395" s="24">
        <v>0.43006992340087802</v>
      </c>
      <c r="F395" s="24">
        <v>0.56993007659912098</v>
      </c>
      <c r="G395" s="23">
        <v>0</v>
      </c>
      <c r="H395" s="23">
        <v>0</v>
      </c>
      <c r="I395" s="24">
        <v>0.227272734045982</v>
      </c>
      <c r="J395" s="24">
        <v>0.75524473190307595</v>
      </c>
      <c r="K395" s="23">
        <v>0</v>
      </c>
      <c r="L395" s="23">
        <v>6.9930069148540002E-3</v>
      </c>
      <c r="M395" s="23">
        <v>1.0489510372281101E-2</v>
      </c>
      <c r="N395" s="23">
        <v>0</v>
      </c>
      <c r="O395" s="24">
        <v>0.29720279574394198</v>
      </c>
      <c r="P395" s="24">
        <v>0.26223775744438099</v>
      </c>
      <c r="Q395" s="24">
        <v>0.95104897022247303</v>
      </c>
      <c r="R395" s="25">
        <v>9.7902097902097904E-2</v>
      </c>
      <c r="S395" s="25">
        <v>3.4965034965034965E-3</v>
      </c>
      <c r="T395" s="25">
        <v>0.15034965034965034</v>
      </c>
    </row>
    <row r="396" spans="1:20" x14ac:dyDescent="0.25">
      <c r="A396" s="8" t="s">
        <v>858</v>
      </c>
      <c r="B396" s="8" t="s">
        <v>859</v>
      </c>
      <c r="C396" s="8" t="s">
        <v>3540</v>
      </c>
      <c r="D396" s="8">
        <v>83</v>
      </c>
      <c r="E396" s="24">
        <v>0.56626504659652699</v>
      </c>
      <c r="F396" s="24">
        <v>0.43373495340347201</v>
      </c>
      <c r="G396" s="23">
        <v>0</v>
      </c>
      <c r="H396" s="23">
        <v>0</v>
      </c>
      <c r="I396" s="24">
        <v>0.24096386134624401</v>
      </c>
      <c r="J396" s="24">
        <v>0.74698793888091997</v>
      </c>
      <c r="K396" s="23">
        <v>1.20481923222542E-2</v>
      </c>
      <c r="L396" s="23">
        <v>0</v>
      </c>
      <c r="M396" s="23">
        <v>0</v>
      </c>
      <c r="N396" s="23">
        <v>0</v>
      </c>
      <c r="O396" s="23">
        <v>4.8192769289016703E-2</v>
      </c>
      <c r="P396" s="24">
        <v>0.16867469251155801</v>
      </c>
      <c r="Q396" s="24">
        <v>0.93975901603698697</v>
      </c>
      <c r="R396" s="25">
        <v>0</v>
      </c>
      <c r="S396" s="25">
        <v>0</v>
      </c>
      <c r="T396" s="25">
        <v>6.0240963855421686E-2</v>
      </c>
    </row>
    <row r="397" spans="1:20" x14ac:dyDescent="0.25">
      <c r="A397" s="8" t="s">
        <v>860</v>
      </c>
      <c r="B397" s="8" t="s">
        <v>861</v>
      </c>
      <c r="C397" s="8" t="s">
        <v>3540</v>
      </c>
      <c r="D397" s="8">
        <v>438</v>
      </c>
      <c r="E397" s="24">
        <v>0.49543377757072399</v>
      </c>
      <c r="F397" s="24">
        <v>0.50456619262695301</v>
      </c>
      <c r="G397" s="23">
        <v>0</v>
      </c>
      <c r="H397" s="23">
        <v>4.5662098564207996E-3</v>
      </c>
      <c r="I397" s="24">
        <v>0.21461187303066201</v>
      </c>
      <c r="J397" s="24">
        <v>0.75799089670181197</v>
      </c>
      <c r="K397" s="23">
        <v>4.5662098564207996E-3</v>
      </c>
      <c r="L397" s="23">
        <v>0</v>
      </c>
      <c r="M397" s="23">
        <v>1.59817356616259E-2</v>
      </c>
      <c r="N397" s="23">
        <v>2.2831049282103998E-3</v>
      </c>
      <c r="O397" s="24">
        <v>0.219178080558776</v>
      </c>
      <c r="P397" s="24">
        <v>0.18493150174617701</v>
      </c>
      <c r="Q397" s="24">
        <v>0.94977170228958097</v>
      </c>
      <c r="R397" s="25">
        <v>7.7625570776255703E-2</v>
      </c>
      <c r="S397" s="25">
        <v>2.2831050228310501E-3</v>
      </c>
      <c r="T397" s="25">
        <v>0.11872146118721461</v>
      </c>
    </row>
    <row r="398" spans="1:20" x14ac:dyDescent="0.25">
      <c r="A398" s="8" t="s">
        <v>862</v>
      </c>
      <c r="B398" s="8" t="s">
        <v>863</v>
      </c>
      <c r="C398" s="8" t="s">
        <v>3540</v>
      </c>
      <c r="D398" s="8">
        <v>279</v>
      </c>
      <c r="E398" s="24">
        <v>0.45519712567329401</v>
      </c>
      <c r="F398" s="24">
        <v>0.54480284452438299</v>
      </c>
      <c r="G398" s="23">
        <v>0</v>
      </c>
      <c r="H398" s="23">
        <v>3.5842293873428999E-3</v>
      </c>
      <c r="I398" s="24">
        <v>0.32974910736083901</v>
      </c>
      <c r="J398" s="24">
        <v>0.61290323734283403</v>
      </c>
      <c r="K398" s="23">
        <v>3.5842293873428999E-3</v>
      </c>
      <c r="L398" s="23">
        <v>0</v>
      </c>
      <c r="M398" s="23">
        <v>5.0179213285446202E-2</v>
      </c>
      <c r="N398" s="23">
        <v>0</v>
      </c>
      <c r="O398" s="24">
        <v>0.25806450843811002</v>
      </c>
      <c r="P398" s="24">
        <v>0.21863798797130499</v>
      </c>
      <c r="Q398" s="24">
        <v>0.99283152818679798</v>
      </c>
      <c r="R398" s="25">
        <v>5.0179211469534052E-2</v>
      </c>
      <c r="S398" s="25">
        <v>5.0179211469534052E-2</v>
      </c>
      <c r="T398" s="25">
        <v>0.16487455197132617</v>
      </c>
    </row>
    <row r="399" spans="1:20" x14ac:dyDescent="0.25">
      <c r="A399" s="8" t="s">
        <v>864</v>
      </c>
      <c r="B399" s="8" t="s">
        <v>865</v>
      </c>
      <c r="C399" s="8" t="s">
        <v>3540</v>
      </c>
      <c r="D399" s="8">
        <v>461</v>
      </c>
      <c r="E399" s="24">
        <v>0.47071582078933699</v>
      </c>
      <c r="F399" s="24">
        <v>0.52928417921066195</v>
      </c>
      <c r="G399" s="23">
        <v>0</v>
      </c>
      <c r="H399" s="23">
        <v>4.5553144067525898E-2</v>
      </c>
      <c r="I399" s="24">
        <v>0.19739696383476199</v>
      </c>
      <c r="J399" s="24">
        <v>0.72451192140579201</v>
      </c>
      <c r="K399" s="23">
        <v>8.6767897009849999E-3</v>
      </c>
      <c r="L399" s="23">
        <v>8.6767897009849999E-3</v>
      </c>
      <c r="M399" s="23">
        <v>1.51843819767237E-2</v>
      </c>
      <c r="N399" s="23">
        <v>0</v>
      </c>
      <c r="O399" s="24">
        <v>0.29067245125770502</v>
      </c>
      <c r="P399" s="24">
        <v>0.29284164309501598</v>
      </c>
      <c r="Q399" s="24">
        <v>0.98264640569686801</v>
      </c>
      <c r="R399" s="25">
        <v>0.11279826464208242</v>
      </c>
      <c r="S399" s="25">
        <v>2.1691973969631237E-3</v>
      </c>
      <c r="T399" s="25">
        <v>0.16485900216919741</v>
      </c>
    </row>
    <row r="400" spans="1:20" x14ac:dyDescent="0.25">
      <c r="A400" s="8" t="s">
        <v>866</v>
      </c>
      <c r="B400" s="8" t="s">
        <v>867</v>
      </c>
      <c r="C400" s="8" t="s">
        <v>3540</v>
      </c>
      <c r="D400" s="8">
        <v>326</v>
      </c>
      <c r="E400" s="23">
        <v>0.38957056403160101</v>
      </c>
      <c r="F400" s="24">
        <v>0.61042946577072099</v>
      </c>
      <c r="G400" s="23">
        <v>0</v>
      </c>
      <c r="H400" s="23">
        <v>0</v>
      </c>
      <c r="I400" s="24">
        <v>0.19938650727272</v>
      </c>
      <c r="J400" s="24">
        <v>0.77300614118576005</v>
      </c>
      <c r="K400" s="23">
        <v>0</v>
      </c>
      <c r="L400" s="23">
        <v>1.53374234214425E-2</v>
      </c>
      <c r="M400" s="23">
        <v>1.2269938364625E-2</v>
      </c>
      <c r="N400" s="23">
        <v>0</v>
      </c>
      <c r="O400" s="24">
        <v>0.26380369067192</v>
      </c>
      <c r="P400" s="24">
        <v>0.36196318268775901</v>
      </c>
      <c r="Q400" s="24">
        <v>0.98159509897232</v>
      </c>
      <c r="R400" s="25">
        <v>9.202453987730061E-2</v>
      </c>
      <c r="S400" s="25">
        <v>1.2269938650306749E-2</v>
      </c>
      <c r="T400" s="25">
        <v>0.15644171779141106</v>
      </c>
    </row>
    <row r="401" spans="1:20" x14ac:dyDescent="0.25">
      <c r="A401" s="8" t="s">
        <v>868</v>
      </c>
      <c r="B401" s="8" t="s">
        <v>869</v>
      </c>
      <c r="C401" s="8" t="s">
        <v>3540</v>
      </c>
      <c r="D401" s="8">
        <v>496</v>
      </c>
      <c r="E401" s="24">
        <v>0.49596774578094399</v>
      </c>
      <c r="F401" s="24">
        <v>0.50403225421905495</v>
      </c>
      <c r="G401" s="23">
        <v>0</v>
      </c>
      <c r="H401" s="23">
        <v>6.0483869165182001E-3</v>
      </c>
      <c r="I401" s="24">
        <v>0.25201612710952698</v>
      </c>
      <c r="J401" s="24">
        <v>0.70564514398574796</v>
      </c>
      <c r="K401" s="23">
        <v>1.0080644860863699E-2</v>
      </c>
      <c r="L401" s="23">
        <v>4.0322579443455003E-3</v>
      </c>
      <c r="M401" s="23">
        <v>2.2177418693900101E-2</v>
      </c>
      <c r="N401" s="23">
        <v>0</v>
      </c>
      <c r="O401" s="23">
        <v>0.223790317773819</v>
      </c>
      <c r="P401" s="24">
        <v>0.25201612710952698</v>
      </c>
      <c r="Q401" s="24">
        <v>0.96975809335708596</v>
      </c>
      <c r="R401" s="25">
        <v>0.11895161290322581</v>
      </c>
      <c r="S401" s="25">
        <v>0</v>
      </c>
      <c r="T401" s="25">
        <v>0.11491935483870967</v>
      </c>
    </row>
    <row r="402" spans="1:20" x14ac:dyDescent="0.25">
      <c r="A402" s="8" t="s">
        <v>870</v>
      </c>
      <c r="B402" s="8" t="s">
        <v>871</v>
      </c>
      <c r="C402" s="8" t="s">
        <v>3540</v>
      </c>
      <c r="D402" s="8">
        <v>278</v>
      </c>
      <c r="E402" s="24">
        <v>0.525179862976074</v>
      </c>
      <c r="F402" s="24">
        <v>0.474820137023925</v>
      </c>
      <c r="G402" s="23">
        <v>0</v>
      </c>
      <c r="H402" s="23">
        <v>1.43884895369411E-2</v>
      </c>
      <c r="I402" s="24">
        <v>0.37050360441207802</v>
      </c>
      <c r="J402" s="24">
        <v>0.58992803096771196</v>
      </c>
      <c r="K402" s="23">
        <v>0</v>
      </c>
      <c r="L402" s="23">
        <v>0</v>
      </c>
      <c r="M402" s="23">
        <v>2.5179855525493601E-2</v>
      </c>
      <c r="N402" s="23">
        <v>0</v>
      </c>
      <c r="O402" s="24">
        <v>0.237410068511962</v>
      </c>
      <c r="P402" s="24">
        <v>0.107913665473461</v>
      </c>
      <c r="Q402" s="24">
        <v>0.96762591600418002</v>
      </c>
      <c r="R402" s="25">
        <v>7.1942446043165464E-2</v>
      </c>
      <c r="S402" s="25">
        <v>0</v>
      </c>
      <c r="T402" s="25">
        <v>0.16546762589928057</v>
      </c>
    </row>
    <row r="403" spans="1:20" x14ac:dyDescent="0.25">
      <c r="A403" s="8" t="s">
        <v>872</v>
      </c>
      <c r="B403" s="8" t="s">
        <v>873</v>
      </c>
      <c r="C403" s="8" t="s">
        <v>3540</v>
      </c>
      <c r="D403" s="8">
        <v>357</v>
      </c>
      <c r="E403" s="24">
        <v>0.47338935732841397</v>
      </c>
      <c r="F403" s="24">
        <v>0.52661067247390703</v>
      </c>
      <c r="G403" s="23">
        <v>0</v>
      </c>
      <c r="H403" s="23">
        <v>2.8011205140501001E-3</v>
      </c>
      <c r="I403" s="23">
        <v>0.45658263564109802</v>
      </c>
      <c r="J403" s="24">
        <v>0.50700283050537098</v>
      </c>
      <c r="K403" s="23">
        <v>8.4033617749809993E-3</v>
      </c>
      <c r="L403" s="23">
        <v>8.4033617749809993E-3</v>
      </c>
      <c r="M403" s="23">
        <v>1.6806723549961999E-2</v>
      </c>
      <c r="N403" s="23">
        <v>0</v>
      </c>
      <c r="O403" s="24">
        <v>0.274509817361831</v>
      </c>
      <c r="P403" s="24">
        <v>0.13445378839969599</v>
      </c>
      <c r="Q403" s="24">
        <v>0.94117647409438998</v>
      </c>
      <c r="R403" s="25">
        <v>0.12044817927170869</v>
      </c>
      <c r="S403" s="25">
        <v>2.8011204481792717E-3</v>
      </c>
      <c r="T403" s="25">
        <v>0.16246498599439776</v>
      </c>
    </row>
    <row r="404" spans="1:20" x14ac:dyDescent="0.25">
      <c r="A404" s="8" t="s">
        <v>874</v>
      </c>
      <c r="B404" s="8" t="s">
        <v>875</v>
      </c>
      <c r="C404" s="8" t="s">
        <v>3540</v>
      </c>
      <c r="D404" s="8">
        <v>300</v>
      </c>
      <c r="E404" s="24">
        <v>0.490000009536743</v>
      </c>
      <c r="F404" s="24">
        <v>0.50999999046325595</v>
      </c>
      <c r="G404" s="23">
        <v>0</v>
      </c>
      <c r="H404" s="23">
        <v>3.3333334140479998E-3</v>
      </c>
      <c r="I404" s="24">
        <v>0.33000001311302102</v>
      </c>
      <c r="J404" s="24">
        <v>0.64999997615814198</v>
      </c>
      <c r="K404" s="23">
        <v>3.3333334140479998E-3</v>
      </c>
      <c r="L404" s="23">
        <v>9.9999997764825994E-3</v>
      </c>
      <c r="M404" s="23">
        <v>3.3333334140479998E-3</v>
      </c>
      <c r="N404" s="23">
        <v>0</v>
      </c>
      <c r="O404" s="24">
        <v>0.22666667401790599</v>
      </c>
      <c r="P404" s="24">
        <v>0.30666667222976601</v>
      </c>
      <c r="Q404" s="24">
        <v>0.993333339691162</v>
      </c>
      <c r="R404" s="25">
        <v>9.6666666666666665E-2</v>
      </c>
      <c r="S404" s="25">
        <v>0</v>
      </c>
      <c r="T404" s="25">
        <v>0.11666666666666667</v>
      </c>
    </row>
    <row r="405" spans="1:20" x14ac:dyDescent="0.25">
      <c r="A405" s="8" t="s">
        <v>876</v>
      </c>
      <c r="B405" s="8" t="s">
        <v>877</v>
      </c>
      <c r="C405" s="8" t="s">
        <v>3540</v>
      </c>
      <c r="D405" s="8">
        <v>148</v>
      </c>
      <c r="E405" s="24">
        <v>0.52027028799056996</v>
      </c>
      <c r="F405" s="24">
        <v>0.47972974181175199</v>
      </c>
      <c r="G405" s="23">
        <v>0</v>
      </c>
      <c r="H405" s="23">
        <v>1.3513513840735E-2</v>
      </c>
      <c r="I405" s="24">
        <v>0.162162154912948</v>
      </c>
      <c r="J405" s="24">
        <v>0.77702701091766302</v>
      </c>
      <c r="K405" s="23">
        <v>6.7567569203675001E-3</v>
      </c>
      <c r="L405" s="23">
        <v>2.70270276814699E-2</v>
      </c>
      <c r="M405" s="23">
        <v>1.3513513840735E-2</v>
      </c>
      <c r="N405" s="23">
        <v>0</v>
      </c>
      <c r="O405" s="24">
        <v>0.32432430982589699</v>
      </c>
      <c r="P405" s="24">
        <v>0.29054054617881703</v>
      </c>
      <c r="Q405" s="24">
        <v>0.92567569017410201</v>
      </c>
      <c r="R405" s="25">
        <v>0.12837837837837837</v>
      </c>
      <c r="S405" s="25">
        <v>0</v>
      </c>
      <c r="T405" s="25">
        <v>0.18243243243243243</v>
      </c>
    </row>
    <row r="406" spans="1:20" x14ac:dyDescent="0.25">
      <c r="A406" s="8" t="s">
        <v>878</v>
      </c>
      <c r="B406" s="8" t="s">
        <v>879</v>
      </c>
      <c r="C406" s="8" t="s">
        <v>3540</v>
      </c>
      <c r="D406" s="8">
        <v>391</v>
      </c>
      <c r="E406" s="24">
        <v>0.46547314524650502</v>
      </c>
      <c r="F406" s="24">
        <v>0.53452682495117099</v>
      </c>
      <c r="G406" s="23">
        <v>0</v>
      </c>
      <c r="H406" s="23">
        <v>2.5575447361916E-3</v>
      </c>
      <c r="I406" s="23">
        <v>0.26086956262588501</v>
      </c>
      <c r="J406" s="24">
        <v>0.66496163606643599</v>
      </c>
      <c r="K406" s="23">
        <v>2.3017901927232701E-2</v>
      </c>
      <c r="L406" s="23">
        <v>4.09207157790661E-2</v>
      </c>
      <c r="M406" s="23">
        <v>7.6726344414055E-3</v>
      </c>
      <c r="N406" s="23">
        <v>0</v>
      </c>
      <c r="O406" s="24">
        <v>0.235294118523597</v>
      </c>
      <c r="P406" s="24">
        <v>0.250639379024505</v>
      </c>
      <c r="Q406" s="24">
        <v>0.95907926559448198</v>
      </c>
      <c r="R406" s="25">
        <v>0.10230179028132992</v>
      </c>
      <c r="S406" s="25">
        <v>2.5575447570332483E-3</v>
      </c>
      <c r="T406" s="25">
        <v>0.12020460358056266</v>
      </c>
    </row>
    <row r="407" spans="1:20" x14ac:dyDescent="0.25">
      <c r="A407" s="8" t="s">
        <v>880</v>
      </c>
      <c r="B407" s="8" t="s">
        <v>881</v>
      </c>
      <c r="C407" s="8" t="s">
        <v>3540</v>
      </c>
      <c r="D407" s="8">
        <v>584</v>
      </c>
      <c r="E407" s="24">
        <v>0.48458904027938798</v>
      </c>
      <c r="F407" s="24">
        <v>0.51541095972061102</v>
      </c>
      <c r="G407" s="23">
        <v>0</v>
      </c>
      <c r="H407" s="23">
        <v>1.02739725261927E-2</v>
      </c>
      <c r="I407" s="24">
        <v>0.231164380908012</v>
      </c>
      <c r="J407" s="24">
        <v>0.72773975133895796</v>
      </c>
      <c r="K407" s="23">
        <v>5.1369862630962996E-3</v>
      </c>
      <c r="L407" s="23">
        <v>8.5616437718272001E-3</v>
      </c>
      <c r="M407" s="23">
        <v>1.71232875436544E-2</v>
      </c>
      <c r="N407" s="23">
        <v>0</v>
      </c>
      <c r="O407" s="23">
        <v>0.24657534062862399</v>
      </c>
      <c r="P407" s="24">
        <v>0.133561640977859</v>
      </c>
      <c r="Q407" s="24">
        <v>0.92808216810226396</v>
      </c>
      <c r="R407" s="25">
        <v>8.2191780821917804E-2</v>
      </c>
      <c r="S407" s="25">
        <v>0</v>
      </c>
      <c r="T407" s="25">
        <v>0.17808219178082191</v>
      </c>
    </row>
    <row r="408" spans="1:20" x14ac:dyDescent="0.25">
      <c r="A408" s="8" t="s">
        <v>882</v>
      </c>
      <c r="B408" s="8" t="s">
        <v>883</v>
      </c>
      <c r="C408" s="8" t="s">
        <v>3540</v>
      </c>
      <c r="D408" s="8">
        <v>146</v>
      </c>
      <c r="E408" s="24">
        <v>0.43835616111755299</v>
      </c>
      <c r="F408" s="24">
        <v>0.56164383888244596</v>
      </c>
      <c r="G408" s="23">
        <v>0</v>
      </c>
      <c r="H408" s="23">
        <v>6.8493150174618002E-3</v>
      </c>
      <c r="I408" s="23">
        <v>0.46575343608856201</v>
      </c>
      <c r="J408" s="24">
        <v>0.50684928894042902</v>
      </c>
      <c r="K408" s="23">
        <v>0</v>
      </c>
      <c r="L408" s="23">
        <v>1.36986300349236E-2</v>
      </c>
      <c r="M408" s="23">
        <v>6.8493150174618002E-3</v>
      </c>
      <c r="N408" s="23">
        <v>0</v>
      </c>
      <c r="O408" s="24">
        <v>0.36301368474960299</v>
      </c>
      <c r="P408" s="23">
        <v>6.8493150174617795E-2</v>
      </c>
      <c r="Q408" s="23">
        <v>0.96575343608856201</v>
      </c>
      <c r="R408" s="25">
        <v>9.5890410958904104E-2</v>
      </c>
      <c r="S408" s="25">
        <v>1.3698630136986301E-2</v>
      </c>
      <c r="T408" s="25">
        <v>0.24657534246575341</v>
      </c>
    </row>
    <row r="409" spans="1:20" x14ac:dyDescent="0.25">
      <c r="A409" s="8" t="s">
        <v>884</v>
      </c>
      <c r="B409" s="8" t="s">
        <v>885</v>
      </c>
      <c r="C409" s="8" t="s">
        <v>3540</v>
      </c>
      <c r="D409" s="8">
        <v>801</v>
      </c>
      <c r="E409" s="23">
        <v>0.511860191822052</v>
      </c>
      <c r="F409" s="24">
        <v>0.48813983798027</v>
      </c>
      <c r="G409" s="23">
        <v>0</v>
      </c>
      <c r="H409" s="23">
        <v>1.24843949452043E-2</v>
      </c>
      <c r="I409" s="23">
        <v>4.7440700232982601E-2</v>
      </c>
      <c r="J409" s="24">
        <v>0.91385769844055098</v>
      </c>
      <c r="K409" s="23">
        <v>3.745318390429E-3</v>
      </c>
      <c r="L409" s="23">
        <v>1.12359551712871E-2</v>
      </c>
      <c r="M409" s="23">
        <v>1.12359551712871E-2</v>
      </c>
      <c r="N409" s="23">
        <v>0</v>
      </c>
      <c r="O409" s="24">
        <v>0.20599250495433799</v>
      </c>
      <c r="P409" s="23">
        <v>0.255930095911026</v>
      </c>
      <c r="Q409" s="24">
        <v>0.97627967596053999</v>
      </c>
      <c r="R409" s="25">
        <v>0</v>
      </c>
      <c r="S409" s="25">
        <v>0</v>
      </c>
      <c r="T409" s="25">
        <v>0.20224719101123595</v>
      </c>
    </row>
    <row r="410" spans="1:20" x14ac:dyDescent="0.25">
      <c r="A410" s="8" t="s">
        <v>886</v>
      </c>
      <c r="B410" s="8" t="s">
        <v>887</v>
      </c>
      <c r="C410" s="8" t="s">
        <v>3540</v>
      </c>
      <c r="D410" s="8">
        <v>251</v>
      </c>
      <c r="E410" s="24">
        <v>0.46613547205924899</v>
      </c>
      <c r="F410" s="24">
        <v>0.53386455774307195</v>
      </c>
      <c r="G410" s="23">
        <v>0</v>
      </c>
      <c r="H410" s="23">
        <v>3.9840638637543002E-3</v>
      </c>
      <c r="I410" s="24">
        <v>0.32669323682785001</v>
      </c>
      <c r="J410" s="24">
        <v>0.64541834592819203</v>
      </c>
      <c r="K410" s="23">
        <v>3.9840638637543002E-3</v>
      </c>
      <c r="L410" s="23">
        <v>1.99203193187714E-2</v>
      </c>
      <c r="M410" s="23">
        <v>0</v>
      </c>
      <c r="N410" s="23">
        <v>0</v>
      </c>
      <c r="O410" s="23">
        <v>0.30677291750907898</v>
      </c>
      <c r="P410" s="24">
        <v>0.227091640233993</v>
      </c>
      <c r="Q410" s="24">
        <v>0.98406374454498202</v>
      </c>
      <c r="R410" s="25">
        <v>0</v>
      </c>
      <c r="S410" s="25">
        <v>0.12350597609561753</v>
      </c>
      <c r="T410" s="25">
        <v>0.19920318725099601</v>
      </c>
    </row>
    <row r="411" spans="1:20" x14ac:dyDescent="0.25">
      <c r="A411" s="8" t="s">
        <v>888</v>
      </c>
      <c r="B411" s="8" t="s">
        <v>889</v>
      </c>
      <c r="C411" s="8" t="s">
        <v>3540</v>
      </c>
      <c r="D411" s="8">
        <v>432</v>
      </c>
      <c r="E411" s="24">
        <v>0.53240740299224798</v>
      </c>
      <c r="F411" s="24">
        <v>0.46759259700775102</v>
      </c>
      <c r="G411" s="23">
        <v>0</v>
      </c>
      <c r="H411" s="23">
        <v>1.8518518656492199E-2</v>
      </c>
      <c r="I411" s="24">
        <v>0.29166665673255898</v>
      </c>
      <c r="J411" s="24">
        <v>0.64814811944961503</v>
      </c>
      <c r="K411" s="23">
        <v>6.9444444961845996E-3</v>
      </c>
      <c r="L411" s="23">
        <v>1.3888888992369199E-2</v>
      </c>
      <c r="M411" s="23">
        <v>1.8518518656492199E-2</v>
      </c>
      <c r="N411" s="23">
        <v>2.3148148320615001E-3</v>
      </c>
      <c r="O411" s="24">
        <v>0.20833332836627899</v>
      </c>
      <c r="P411" s="24">
        <v>0.13657407462596799</v>
      </c>
      <c r="Q411" s="24">
        <v>0.89814811944961503</v>
      </c>
      <c r="R411" s="25">
        <v>0</v>
      </c>
      <c r="S411" s="25">
        <v>0</v>
      </c>
      <c r="T411" s="25">
        <v>0.19675925925925927</v>
      </c>
    </row>
    <row r="412" spans="1:20" x14ac:dyDescent="0.25">
      <c r="A412" s="8" t="s">
        <v>890</v>
      </c>
      <c r="B412" s="8" t="s">
        <v>891</v>
      </c>
      <c r="C412" s="8" t="s">
        <v>3540</v>
      </c>
      <c r="D412" s="8">
        <v>178</v>
      </c>
      <c r="E412" s="24">
        <v>0.49438202381134</v>
      </c>
      <c r="F412" s="24">
        <v>0.505617976188659</v>
      </c>
      <c r="G412" s="23">
        <v>0</v>
      </c>
      <c r="H412" s="23">
        <v>1.12359551712871E-2</v>
      </c>
      <c r="I412" s="24">
        <v>0.36516854166984503</v>
      </c>
      <c r="J412" s="23">
        <v>0.60112357139587402</v>
      </c>
      <c r="K412" s="23">
        <v>5.6179775856435004E-3</v>
      </c>
      <c r="L412" s="23">
        <v>1.6853932291269299E-2</v>
      </c>
      <c r="M412" s="23">
        <v>0</v>
      </c>
      <c r="N412" s="23">
        <v>0</v>
      </c>
      <c r="O412" s="24">
        <v>0.37078651785850503</v>
      </c>
      <c r="P412" s="23">
        <v>9.5505617558956105E-2</v>
      </c>
      <c r="Q412" s="24">
        <v>0.92696630954742398</v>
      </c>
      <c r="R412" s="25">
        <v>0.16292134831460675</v>
      </c>
      <c r="S412" s="25">
        <v>0</v>
      </c>
      <c r="T412" s="25">
        <v>0.1853932584269663</v>
      </c>
    </row>
    <row r="413" spans="1:20" x14ac:dyDescent="0.25">
      <c r="A413" s="8" t="s">
        <v>892</v>
      </c>
      <c r="B413" s="8" t="s">
        <v>893</v>
      </c>
      <c r="C413" s="8" t="s">
        <v>3540</v>
      </c>
      <c r="D413" s="8">
        <v>426</v>
      </c>
      <c r="E413" s="23">
        <v>0</v>
      </c>
      <c r="F413" s="23">
        <v>1</v>
      </c>
      <c r="G413" s="23">
        <v>0</v>
      </c>
      <c r="H413" s="23">
        <v>1.17370896041393E-2</v>
      </c>
      <c r="I413" s="24">
        <v>0.49530515074729897</v>
      </c>
      <c r="J413" s="24">
        <v>0.47417840361595098</v>
      </c>
      <c r="K413" s="23">
        <v>2.3474178742617E-3</v>
      </c>
      <c r="L413" s="23">
        <v>9.3896714970469006E-3</v>
      </c>
      <c r="M413" s="23">
        <v>7.0422533899545999E-3</v>
      </c>
      <c r="N413" s="23">
        <v>0</v>
      </c>
      <c r="O413" s="24">
        <v>0.307511746883392</v>
      </c>
      <c r="P413" s="23">
        <v>4.6948358416557298E-2</v>
      </c>
      <c r="Q413" s="24">
        <v>0.87793427705764704</v>
      </c>
      <c r="R413" s="25">
        <v>4.6948356807511738E-3</v>
      </c>
      <c r="S413" s="25">
        <v>4.4600938967136149E-2</v>
      </c>
      <c r="T413" s="25">
        <v>0.25117370892018781</v>
      </c>
    </row>
    <row r="414" spans="1:20" x14ac:dyDescent="0.25">
      <c r="A414" s="8" t="s">
        <v>894</v>
      </c>
      <c r="B414" s="8" t="s">
        <v>895</v>
      </c>
      <c r="C414" s="8" t="s">
        <v>3540</v>
      </c>
      <c r="D414" s="8">
        <v>252</v>
      </c>
      <c r="E414" s="24">
        <v>0.38492062687873801</v>
      </c>
      <c r="F414" s="24">
        <v>0.61507934331893899</v>
      </c>
      <c r="G414" s="23">
        <v>0</v>
      </c>
      <c r="H414" s="23">
        <v>0</v>
      </c>
      <c r="I414" s="24">
        <v>0.21428571641445099</v>
      </c>
      <c r="J414" s="24">
        <v>0.78174602985382002</v>
      </c>
      <c r="K414" s="23">
        <v>0</v>
      </c>
      <c r="L414" s="23">
        <v>0</v>
      </c>
      <c r="M414" s="23">
        <v>3.9682541973889004E-3</v>
      </c>
      <c r="N414" s="23">
        <v>0</v>
      </c>
      <c r="O414" s="24">
        <v>0.27380952239036499</v>
      </c>
      <c r="P414" s="24">
        <v>0.34920635819435097</v>
      </c>
      <c r="Q414" s="24">
        <v>0.99206346273422197</v>
      </c>
      <c r="R414" s="25">
        <v>3.5714285714285712E-2</v>
      </c>
      <c r="S414" s="25">
        <v>9.9206349206349201E-2</v>
      </c>
      <c r="T414" s="25">
        <v>0.13095238095238096</v>
      </c>
    </row>
    <row r="415" spans="1:20" x14ac:dyDescent="0.25">
      <c r="A415" s="8" t="s">
        <v>896</v>
      </c>
      <c r="B415" s="8" t="s">
        <v>897</v>
      </c>
      <c r="C415" s="8" t="s">
        <v>3540</v>
      </c>
      <c r="D415" s="8">
        <v>308</v>
      </c>
      <c r="E415" s="24">
        <v>0.50974023342132502</v>
      </c>
      <c r="F415" s="24">
        <v>0.49025973677635099</v>
      </c>
      <c r="G415" s="23">
        <v>0</v>
      </c>
      <c r="H415" s="23">
        <v>6.4935064874589001E-3</v>
      </c>
      <c r="I415" s="23">
        <v>0.29870128631591802</v>
      </c>
      <c r="J415" s="24">
        <v>0.681818187236785</v>
      </c>
      <c r="K415" s="23">
        <v>3.2467532437294999E-3</v>
      </c>
      <c r="L415" s="23">
        <v>0</v>
      </c>
      <c r="M415" s="23">
        <v>9.7402594983578006E-3</v>
      </c>
      <c r="N415" s="23">
        <v>0</v>
      </c>
      <c r="O415" s="24">
        <v>0.227272734045982</v>
      </c>
      <c r="P415" s="24">
        <v>0.207792207598686</v>
      </c>
      <c r="Q415" s="24">
        <v>0.98051947355270297</v>
      </c>
      <c r="R415" s="25">
        <v>0</v>
      </c>
      <c r="S415" s="25">
        <v>3.246753246753247E-3</v>
      </c>
      <c r="T415" s="25">
        <v>0.20454545454545456</v>
      </c>
    </row>
    <row r="416" spans="1:20" x14ac:dyDescent="0.25">
      <c r="A416" s="8" t="s">
        <v>898</v>
      </c>
      <c r="B416" s="8" t="s">
        <v>899</v>
      </c>
      <c r="C416" s="8" t="s">
        <v>3540</v>
      </c>
      <c r="D416" s="8">
        <v>523</v>
      </c>
      <c r="E416" s="24">
        <v>0.51242828369140603</v>
      </c>
      <c r="F416" s="24">
        <v>0.48757171630859297</v>
      </c>
      <c r="G416" s="23">
        <v>0</v>
      </c>
      <c r="H416" s="23">
        <v>0</v>
      </c>
      <c r="I416" s="23">
        <v>0.28107073903083801</v>
      </c>
      <c r="J416" s="24">
        <v>0.71128106117248502</v>
      </c>
      <c r="K416" s="23">
        <v>3.8240917492658E-3</v>
      </c>
      <c r="L416" s="23">
        <v>1.9120458746329E-3</v>
      </c>
      <c r="M416" s="23">
        <v>1.9120458746329E-3</v>
      </c>
      <c r="N416" s="23">
        <v>0</v>
      </c>
      <c r="O416" s="24">
        <v>0.292543023824691</v>
      </c>
      <c r="P416" s="24">
        <v>0.11089865863323201</v>
      </c>
      <c r="Q416" s="23">
        <v>0.98087954521179199</v>
      </c>
      <c r="R416" s="25">
        <v>2.676864244741874E-2</v>
      </c>
      <c r="S416" s="25">
        <v>3.8240917782026767E-3</v>
      </c>
      <c r="T416" s="25">
        <v>0.24856596558317401</v>
      </c>
    </row>
    <row r="417" spans="1:20" x14ac:dyDescent="0.25">
      <c r="A417" s="8" t="s">
        <v>900</v>
      </c>
      <c r="B417" s="8" t="s">
        <v>901</v>
      </c>
      <c r="C417" s="8" t="s">
        <v>3540</v>
      </c>
      <c r="D417" s="8">
        <v>376</v>
      </c>
      <c r="E417" s="23">
        <v>0.47872340679168701</v>
      </c>
      <c r="F417" s="23">
        <v>0.52127659320831299</v>
      </c>
      <c r="G417" s="23">
        <v>0</v>
      </c>
      <c r="H417" s="23">
        <v>5.3191487677394997E-3</v>
      </c>
      <c r="I417" s="23">
        <v>0.28989362716674799</v>
      </c>
      <c r="J417" s="24">
        <v>0.67819148302078203</v>
      </c>
      <c r="K417" s="23">
        <v>0</v>
      </c>
      <c r="L417" s="23">
        <v>7.9787233844399001E-3</v>
      </c>
      <c r="M417" s="23">
        <v>1.8617020919919E-2</v>
      </c>
      <c r="N417" s="23">
        <v>0</v>
      </c>
      <c r="O417" s="24">
        <v>0.24202127754688199</v>
      </c>
      <c r="P417" s="23">
        <v>0.125</v>
      </c>
      <c r="Q417" s="24">
        <v>0.90159577131271296</v>
      </c>
      <c r="R417" s="25">
        <v>0</v>
      </c>
      <c r="S417" s="25">
        <v>0</v>
      </c>
      <c r="T417" s="25">
        <v>0.22872340425531915</v>
      </c>
    </row>
    <row r="418" spans="1:20" x14ac:dyDescent="0.25">
      <c r="A418" s="8" t="s">
        <v>902</v>
      </c>
      <c r="B418" s="8" t="s">
        <v>903</v>
      </c>
      <c r="C418" s="8" t="s">
        <v>3540</v>
      </c>
      <c r="D418" s="8">
        <v>314</v>
      </c>
      <c r="E418" s="24">
        <v>0.44904458522796598</v>
      </c>
      <c r="F418" s="24">
        <v>0.55095541477203303</v>
      </c>
      <c r="G418" s="23">
        <v>0</v>
      </c>
      <c r="H418" s="23">
        <v>3.1847134232521001E-3</v>
      </c>
      <c r="I418" s="24">
        <v>0.292993634939193</v>
      </c>
      <c r="J418" s="24">
        <v>0.68471336364746005</v>
      </c>
      <c r="K418" s="23">
        <v>0</v>
      </c>
      <c r="L418" s="23">
        <v>9.5541402697562998E-3</v>
      </c>
      <c r="M418" s="23">
        <v>6.3694268465042002E-3</v>
      </c>
      <c r="N418" s="23">
        <v>3.1847134232521001E-3</v>
      </c>
      <c r="O418" s="24">
        <v>0.248407647013664</v>
      </c>
      <c r="P418" s="23">
        <v>6.36942684650421E-2</v>
      </c>
      <c r="Q418" s="24">
        <v>0.96178346872329701</v>
      </c>
      <c r="R418" s="25">
        <v>0</v>
      </c>
      <c r="S418" s="25">
        <v>0</v>
      </c>
      <c r="T418" s="25">
        <v>0.24203821656050956</v>
      </c>
    </row>
    <row r="419" spans="1:20" x14ac:dyDescent="0.25">
      <c r="A419" s="8" t="s">
        <v>904</v>
      </c>
      <c r="B419" s="8" t="s">
        <v>905</v>
      </c>
      <c r="C419" s="8" t="s">
        <v>3540</v>
      </c>
      <c r="D419" s="8">
        <v>383</v>
      </c>
      <c r="E419" s="24">
        <v>0.38381201028823803</v>
      </c>
      <c r="F419" s="24">
        <v>0.61618798971176103</v>
      </c>
      <c r="G419" s="23">
        <v>0</v>
      </c>
      <c r="H419" s="23">
        <v>5.7441253215074498E-2</v>
      </c>
      <c r="I419" s="24">
        <v>0.30287206172943099</v>
      </c>
      <c r="J419" s="24">
        <v>0.61618798971176103</v>
      </c>
      <c r="K419" s="23">
        <v>0</v>
      </c>
      <c r="L419" s="23">
        <v>7.8328978270292005E-3</v>
      </c>
      <c r="M419" s="23">
        <v>1.0443864390254E-2</v>
      </c>
      <c r="N419" s="23">
        <v>5.2219321951269999E-3</v>
      </c>
      <c r="O419" s="24">
        <v>0.26109659671783397</v>
      </c>
      <c r="P419" s="23">
        <v>5.2219320088625003E-2</v>
      </c>
      <c r="Q419" s="24">
        <v>0.89556133747100797</v>
      </c>
      <c r="R419" s="25">
        <v>3.3942558746736295E-2</v>
      </c>
      <c r="S419" s="25">
        <v>2.3498694516971279E-2</v>
      </c>
      <c r="T419" s="25">
        <v>0.20626631853785901</v>
      </c>
    </row>
    <row r="420" spans="1:20" x14ac:dyDescent="0.25">
      <c r="A420" s="8" t="s">
        <v>906</v>
      </c>
      <c r="B420" s="8" t="s">
        <v>907</v>
      </c>
      <c r="C420" s="8" t="s">
        <v>3540</v>
      </c>
      <c r="D420" s="8">
        <v>283</v>
      </c>
      <c r="E420" s="23">
        <v>0.47703179717063898</v>
      </c>
      <c r="F420" s="24">
        <v>0.52296817302703802</v>
      </c>
      <c r="G420" s="23">
        <v>0</v>
      </c>
      <c r="H420" s="23">
        <v>0</v>
      </c>
      <c r="I420" s="24">
        <v>0.37809187173843301</v>
      </c>
      <c r="J420" s="24">
        <v>0.60777384042739802</v>
      </c>
      <c r="K420" s="23">
        <v>0</v>
      </c>
      <c r="L420" s="23">
        <v>7.067137863487E-3</v>
      </c>
      <c r="M420" s="23">
        <v>3.5335689317435E-3</v>
      </c>
      <c r="N420" s="23">
        <v>3.5335689317435E-3</v>
      </c>
      <c r="O420" s="24">
        <v>0.32155478000640803</v>
      </c>
      <c r="P420" s="23">
        <v>0.127208486199379</v>
      </c>
      <c r="Q420" s="23">
        <v>0.97173142433166504</v>
      </c>
      <c r="R420" s="25">
        <v>0</v>
      </c>
      <c r="S420" s="25">
        <v>0</v>
      </c>
      <c r="T420" s="25">
        <v>0.33568904593639576</v>
      </c>
    </row>
    <row r="421" spans="1:20" x14ac:dyDescent="0.25">
      <c r="A421" s="8" t="s">
        <v>908</v>
      </c>
      <c r="B421" s="8" t="s">
        <v>909</v>
      </c>
      <c r="C421" s="8" t="s">
        <v>3540</v>
      </c>
      <c r="D421" s="8">
        <v>348</v>
      </c>
      <c r="E421" s="24">
        <v>0.462643682956695</v>
      </c>
      <c r="F421" s="24">
        <v>0.537356317043304</v>
      </c>
      <c r="G421" s="23">
        <v>0</v>
      </c>
      <c r="H421" s="23">
        <v>2.8735632076859001E-3</v>
      </c>
      <c r="I421" s="24">
        <v>0.356321841478347</v>
      </c>
      <c r="J421" s="24">
        <v>0.58908045291900601</v>
      </c>
      <c r="K421" s="23">
        <v>8.6206896230578006E-3</v>
      </c>
      <c r="L421" s="23">
        <v>1.14942528307438E-2</v>
      </c>
      <c r="M421" s="23">
        <v>3.1609196215868003E-2</v>
      </c>
      <c r="N421" s="23">
        <v>0</v>
      </c>
      <c r="O421" s="24">
        <v>0.31609195470809898</v>
      </c>
      <c r="P421" s="24">
        <v>0.10057470947504001</v>
      </c>
      <c r="Q421" s="23">
        <v>0.98275864124298096</v>
      </c>
      <c r="R421" s="25">
        <v>0.10919540229885058</v>
      </c>
      <c r="S421" s="25">
        <v>5.7471264367816091E-3</v>
      </c>
      <c r="T421" s="25">
        <v>0.16091954022988506</v>
      </c>
    </row>
    <row r="422" spans="1:20" x14ac:dyDescent="0.25">
      <c r="A422" s="8" t="s">
        <v>910</v>
      </c>
      <c r="B422" s="8" t="s">
        <v>911</v>
      </c>
      <c r="C422" s="8" t="s">
        <v>3540</v>
      </c>
      <c r="D422" s="8">
        <v>308</v>
      </c>
      <c r="E422" s="24">
        <v>0.46103894710540699</v>
      </c>
      <c r="F422" s="24">
        <v>0.53896105289459195</v>
      </c>
      <c r="G422" s="23">
        <v>0</v>
      </c>
      <c r="H422" s="23">
        <v>1.2987012974917901E-2</v>
      </c>
      <c r="I422" s="24">
        <v>0.16883116960525499</v>
      </c>
      <c r="J422" s="24">
        <v>0.78246754407882602</v>
      </c>
      <c r="K422" s="23">
        <v>3.2467532437294999E-3</v>
      </c>
      <c r="L422" s="23">
        <v>9.7402594983578006E-3</v>
      </c>
      <c r="M422" s="23">
        <v>2.2727273404598201E-2</v>
      </c>
      <c r="N422" s="23">
        <v>0</v>
      </c>
      <c r="O422" s="24">
        <v>0.318181812763214</v>
      </c>
      <c r="P422" s="24">
        <v>0.181818187236785</v>
      </c>
      <c r="Q422" s="24">
        <v>0.97402596473693803</v>
      </c>
      <c r="R422" s="25">
        <v>0.14285714285714285</v>
      </c>
      <c r="S422" s="25">
        <v>6.4935064935064939E-3</v>
      </c>
      <c r="T422" s="25">
        <v>0.16558441558441558</v>
      </c>
    </row>
    <row r="423" spans="1:20" x14ac:dyDescent="0.25">
      <c r="A423" s="8" t="s">
        <v>913</v>
      </c>
      <c r="B423" s="8" t="s">
        <v>914</v>
      </c>
      <c r="C423" s="8" t="s">
        <v>3540</v>
      </c>
      <c r="D423" s="8">
        <v>444</v>
      </c>
      <c r="E423" s="24">
        <v>0.45495495200157099</v>
      </c>
      <c r="F423" s="23">
        <v>0.54279279708862305</v>
      </c>
      <c r="G423" s="23">
        <v>2.2522523067892001E-3</v>
      </c>
      <c r="H423" s="23">
        <v>2.2522523067892001E-3</v>
      </c>
      <c r="I423" s="23">
        <v>0.27252250909805298</v>
      </c>
      <c r="J423" s="23">
        <v>0.70720720291137695</v>
      </c>
      <c r="K423" s="23">
        <v>4.5045046135782996E-3</v>
      </c>
      <c r="L423" s="23">
        <v>2.2522523067892001E-3</v>
      </c>
      <c r="M423" s="23">
        <v>1.1261261068284499E-2</v>
      </c>
      <c r="N423" s="23">
        <v>0</v>
      </c>
      <c r="O423" s="24">
        <v>0.33333334326744002</v>
      </c>
      <c r="P423" s="24">
        <v>0.14189189672470001</v>
      </c>
      <c r="Q423" s="24">
        <v>0.95945948362350397</v>
      </c>
      <c r="R423" s="25">
        <v>0</v>
      </c>
      <c r="S423" s="25">
        <v>9.2342342342342343E-2</v>
      </c>
      <c r="T423" s="25">
        <v>0.23423423423423423</v>
      </c>
    </row>
    <row r="424" spans="1:20" x14ac:dyDescent="0.25">
      <c r="A424" s="8" t="s">
        <v>915</v>
      </c>
      <c r="B424" s="8" t="s">
        <v>916</v>
      </c>
      <c r="C424" s="8" t="s">
        <v>3540</v>
      </c>
      <c r="D424" s="8">
        <v>295</v>
      </c>
      <c r="E424" s="24">
        <v>0.44745764136314298</v>
      </c>
      <c r="F424" s="24">
        <v>0.55254238843917802</v>
      </c>
      <c r="G424" s="23">
        <v>0</v>
      </c>
      <c r="H424" s="23">
        <v>6.7796609364450004E-3</v>
      </c>
      <c r="I424" s="24">
        <v>0.20338982343673701</v>
      </c>
      <c r="J424" s="24">
        <v>0.78305083513259799</v>
      </c>
      <c r="K424" s="23">
        <v>3.3898304682225002E-3</v>
      </c>
      <c r="L424" s="23">
        <v>3.3898304682225002E-3</v>
      </c>
      <c r="M424" s="23">
        <v>0</v>
      </c>
      <c r="N424" s="23">
        <v>0</v>
      </c>
      <c r="O424" s="24">
        <v>0.29152542352676297</v>
      </c>
      <c r="P424" s="24">
        <v>0.18644067645072901</v>
      </c>
      <c r="Q424" s="24">
        <v>0.98305082321166903</v>
      </c>
      <c r="R424" s="25">
        <v>3.3898305084745762E-3</v>
      </c>
      <c r="S424" s="25">
        <v>0.11186440677966102</v>
      </c>
      <c r="T424" s="25">
        <v>0.16949152542372881</v>
      </c>
    </row>
    <row r="425" spans="1:20" x14ac:dyDescent="0.25">
      <c r="A425" s="8" t="s">
        <v>917</v>
      </c>
      <c r="B425" s="8" t="s">
        <v>918</v>
      </c>
      <c r="C425" s="8" t="s">
        <v>3540</v>
      </c>
      <c r="D425" s="8">
        <v>294</v>
      </c>
      <c r="E425" s="24">
        <v>0.47619047760963401</v>
      </c>
      <c r="F425" s="23">
        <v>0.52380955219268799</v>
      </c>
      <c r="G425" s="23">
        <v>0</v>
      </c>
      <c r="H425" s="23">
        <v>6.8027209490537999E-3</v>
      </c>
      <c r="I425" s="23">
        <v>9.5238097012042999E-2</v>
      </c>
      <c r="J425" s="24">
        <v>0.88775509595870905</v>
      </c>
      <c r="K425" s="23">
        <v>3.4013604745269E-3</v>
      </c>
      <c r="L425" s="23">
        <v>3.4013604745269E-3</v>
      </c>
      <c r="M425" s="23">
        <v>3.4013604745269E-3</v>
      </c>
      <c r="N425" s="23">
        <v>0</v>
      </c>
      <c r="O425" s="23">
        <v>0.248299315571785</v>
      </c>
      <c r="P425" s="24">
        <v>0.53741496801376298</v>
      </c>
      <c r="Q425" s="24">
        <v>0.96938776969909601</v>
      </c>
      <c r="R425" s="25">
        <v>0.10204081632653061</v>
      </c>
      <c r="S425" s="25">
        <v>3.4013605442176869E-3</v>
      </c>
      <c r="T425" s="25">
        <v>0.12925170068027211</v>
      </c>
    </row>
    <row r="426" spans="1:20" x14ac:dyDescent="0.25">
      <c r="A426" s="8" t="s">
        <v>919</v>
      </c>
      <c r="B426" s="8" t="s">
        <v>920</v>
      </c>
      <c r="C426" s="8" t="s">
        <v>3540</v>
      </c>
      <c r="D426" s="8">
        <v>104</v>
      </c>
      <c r="E426" s="24">
        <v>0.44230768084526001</v>
      </c>
      <c r="F426" s="23">
        <v>0.55769228935241699</v>
      </c>
      <c r="G426" s="23">
        <v>0</v>
      </c>
      <c r="H426" s="23">
        <v>0</v>
      </c>
      <c r="I426" s="24">
        <v>0.33653846383094699</v>
      </c>
      <c r="J426" s="24">
        <v>0.61538463830947798</v>
      </c>
      <c r="K426" s="23">
        <v>9.6153849735856004E-3</v>
      </c>
      <c r="L426" s="23">
        <v>1.9230769947171201E-2</v>
      </c>
      <c r="M426" s="23">
        <v>1.9230769947171201E-2</v>
      </c>
      <c r="N426" s="23">
        <v>0</v>
      </c>
      <c r="O426" s="24">
        <v>0.29807692766189497</v>
      </c>
      <c r="P426" s="24">
        <v>0.32692307233810403</v>
      </c>
      <c r="Q426" s="23">
        <v>1</v>
      </c>
      <c r="R426" s="25">
        <v>0.18269230769230768</v>
      </c>
      <c r="S426" s="25">
        <v>0</v>
      </c>
      <c r="T426" s="25">
        <v>0.15384615384615385</v>
      </c>
    </row>
    <row r="427" spans="1:20" x14ac:dyDescent="0.25">
      <c r="A427" s="8" t="s">
        <v>921</v>
      </c>
      <c r="B427" s="8" t="s">
        <v>922</v>
      </c>
      <c r="C427" s="8" t="s">
        <v>3540</v>
      </c>
      <c r="D427" s="8">
        <v>188</v>
      </c>
      <c r="E427" s="24">
        <v>0.51063829660415605</v>
      </c>
      <c r="F427" s="24">
        <v>0.48936170339584301</v>
      </c>
      <c r="G427" s="23">
        <v>0</v>
      </c>
      <c r="H427" s="23">
        <v>0</v>
      </c>
      <c r="I427" s="24">
        <v>0.23404255509376501</v>
      </c>
      <c r="J427" s="23">
        <v>0.72872340679168701</v>
      </c>
      <c r="K427" s="23">
        <v>5.3191487677394997E-3</v>
      </c>
      <c r="L427" s="23">
        <v>5.3191487677394997E-3</v>
      </c>
      <c r="M427" s="23">
        <v>2.6595745235681499E-2</v>
      </c>
      <c r="N427" s="23">
        <v>0</v>
      </c>
      <c r="O427" s="24">
        <v>0.297872334718704</v>
      </c>
      <c r="P427" s="23">
        <v>0.27127659320831299</v>
      </c>
      <c r="Q427" s="24">
        <v>0.95212763547897294</v>
      </c>
      <c r="R427" s="25">
        <v>0.1702127659574468</v>
      </c>
      <c r="S427" s="25">
        <v>1.0638297872340425E-2</v>
      </c>
      <c r="T427" s="25">
        <v>0.14361702127659576</v>
      </c>
    </row>
    <row r="428" spans="1:20" x14ac:dyDescent="0.25">
      <c r="A428" s="8" t="s">
        <v>923</v>
      </c>
      <c r="B428" s="8" t="s">
        <v>924</v>
      </c>
      <c r="C428" s="8" t="s">
        <v>3540</v>
      </c>
      <c r="D428" s="8">
        <v>370</v>
      </c>
      <c r="E428" s="23">
        <v>0.5</v>
      </c>
      <c r="F428" s="23">
        <v>0.5</v>
      </c>
      <c r="G428" s="23">
        <v>0</v>
      </c>
      <c r="H428" s="23">
        <v>1.3513513840735E-2</v>
      </c>
      <c r="I428" s="24">
        <v>0.18918919563293399</v>
      </c>
      <c r="J428" s="24">
        <v>0.77027028799056996</v>
      </c>
      <c r="K428" s="23">
        <v>5.4054055362939999E-3</v>
      </c>
      <c r="L428" s="23">
        <v>1.6216216608881999E-2</v>
      </c>
      <c r="M428" s="23">
        <v>2.702702768147E-3</v>
      </c>
      <c r="N428" s="23">
        <v>2.702702768147E-3</v>
      </c>
      <c r="O428" s="24">
        <v>0.32432430982589699</v>
      </c>
      <c r="P428" s="24">
        <v>0.12432432174682601</v>
      </c>
      <c r="Q428" s="24">
        <v>0.93243241310119596</v>
      </c>
      <c r="R428" s="25">
        <v>3.5135135135135137E-2</v>
      </c>
      <c r="S428" s="25">
        <v>0</v>
      </c>
      <c r="T428" s="25">
        <v>0.24864864864864866</v>
      </c>
    </row>
    <row r="429" spans="1:20" x14ac:dyDescent="0.25">
      <c r="A429" s="8" t="s">
        <v>925</v>
      </c>
      <c r="B429" s="8" t="s">
        <v>926</v>
      </c>
      <c r="C429" s="8" t="s">
        <v>3540</v>
      </c>
      <c r="D429" s="8">
        <v>672</v>
      </c>
      <c r="E429" s="24">
        <v>0.49553570151329002</v>
      </c>
      <c r="F429" s="24">
        <v>0.50446426868438698</v>
      </c>
      <c r="G429" s="23">
        <v>0</v>
      </c>
      <c r="H429" s="23">
        <v>5.9523810632526996E-3</v>
      </c>
      <c r="I429" s="24">
        <v>0.17708332836627899</v>
      </c>
      <c r="J429" s="24">
        <v>0.80208331346511796</v>
      </c>
      <c r="K429" s="23">
        <v>2.9761905316262999E-3</v>
      </c>
      <c r="L429" s="23">
        <v>1.4880952658132001E-3</v>
      </c>
      <c r="M429" s="23">
        <v>1.0416666977107501E-2</v>
      </c>
      <c r="N429" s="23">
        <v>0</v>
      </c>
      <c r="O429" s="23">
        <v>0.255952388048172</v>
      </c>
      <c r="P429" s="24">
        <v>0.116071425378322</v>
      </c>
      <c r="Q429" s="24">
        <v>0.93154764175414995</v>
      </c>
      <c r="R429" s="25">
        <v>5.0595238095238096E-2</v>
      </c>
      <c r="S429" s="25">
        <v>6.9940476190476192E-2</v>
      </c>
      <c r="T429" s="25">
        <v>0.14434523809523808</v>
      </c>
    </row>
    <row r="430" spans="1:20" x14ac:dyDescent="0.25">
      <c r="A430" s="8" t="s">
        <v>3542</v>
      </c>
      <c r="B430" s="8"/>
      <c r="C430" s="8" t="s">
        <v>3540</v>
      </c>
      <c r="D430" s="8">
        <v>126</v>
      </c>
      <c r="E430" s="24">
        <v>0.47619047760963401</v>
      </c>
      <c r="F430" s="23">
        <v>0.52380955219268799</v>
      </c>
      <c r="G430" s="23">
        <v>0</v>
      </c>
      <c r="H430" s="23">
        <v>0</v>
      </c>
      <c r="I430" s="24">
        <v>0.35714286565780601</v>
      </c>
      <c r="J430" s="23">
        <v>0.60317462682723999</v>
      </c>
      <c r="K430" s="23">
        <v>0</v>
      </c>
      <c r="L430" s="23">
        <v>7.9365083947778008E-3</v>
      </c>
      <c r="M430" s="23">
        <v>3.1746033579111099E-2</v>
      </c>
      <c r="N430" s="23">
        <v>0</v>
      </c>
      <c r="O430" s="23">
        <v>0.341269850730896</v>
      </c>
      <c r="P430" s="24">
        <v>0.111111111938953</v>
      </c>
      <c r="Q430" s="24">
        <v>0.95238095521926802</v>
      </c>
      <c r="R430" s="25">
        <v>0.13492063492063491</v>
      </c>
      <c r="S430" s="25">
        <v>0</v>
      </c>
      <c r="T430" s="25">
        <v>0.22222222222222221</v>
      </c>
    </row>
    <row r="431" spans="1:20" x14ac:dyDescent="0.25">
      <c r="A431" s="8" t="s">
        <v>927</v>
      </c>
      <c r="B431" s="8" t="s">
        <v>928</v>
      </c>
      <c r="C431" s="8" t="s">
        <v>3540</v>
      </c>
      <c r="D431" s="8">
        <v>290</v>
      </c>
      <c r="E431" s="24">
        <v>0.54137933254241899</v>
      </c>
      <c r="F431" s="23">
        <v>0.45862069725990301</v>
      </c>
      <c r="G431" s="23">
        <v>0</v>
      </c>
      <c r="H431" s="23">
        <v>6.8965516984462998E-3</v>
      </c>
      <c r="I431" s="23">
        <v>0.27586206793785101</v>
      </c>
      <c r="J431" s="23">
        <v>0.682758629322052</v>
      </c>
      <c r="K431" s="23">
        <v>0</v>
      </c>
      <c r="L431" s="23">
        <v>6.8965516984462998E-3</v>
      </c>
      <c r="M431" s="23">
        <v>2.4137930944562E-2</v>
      </c>
      <c r="N431" s="23">
        <v>3.4482758492231E-3</v>
      </c>
      <c r="O431" s="24">
        <v>0.27931034564971902</v>
      </c>
      <c r="P431" s="23">
        <v>0.158620685338974</v>
      </c>
      <c r="Q431" s="24">
        <v>0.95862066745758001</v>
      </c>
      <c r="R431" s="25">
        <v>0</v>
      </c>
      <c r="S431" s="25">
        <v>0</v>
      </c>
      <c r="T431" s="25">
        <v>0.25517241379310346</v>
      </c>
    </row>
    <row r="432" spans="1:20" x14ac:dyDescent="0.25">
      <c r="A432" s="8" t="s">
        <v>929</v>
      </c>
      <c r="B432" s="8" t="s">
        <v>930</v>
      </c>
      <c r="C432" s="8" t="s">
        <v>3540</v>
      </c>
      <c r="D432" s="8">
        <v>172</v>
      </c>
      <c r="E432" s="24">
        <v>0.45930233597755399</v>
      </c>
      <c r="F432" s="24">
        <v>0.54069769382476796</v>
      </c>
      <c r="G432" s="23">
        <v>0</v>
      </c>
      <c r="H432" s="23">
        <v>0</v>
      </c>
      <c r="I432" s="23">
        <v>0.19767442345619199</v>
      </c>
      <c r="J432" s="24">
        <v>0.796511650085449</v>
      </c>
      <c r="K432" s="23">
        <v>5.8139534667133999E-3</v>
      </c>
      <c r="L432" s="23">
        <v>0</v>
      </c>
      <c r="M432" s="23">
        <v>0</v>
      </c>
      <c r="N432" s="23">
        <v>0</v>
      </c>
      <c r="O432" s="24">
        <v>0.23255814611911699</v>
      </c>
      <c r="P432" s="24">
        <v>0.296511620283126</v>
      </c>
      <c r="Q432" s="24">
        <v>0.93604654073715199</v>
      </c>
      <c r="R432" s="25">
        <v>0.11046511627906977</v>
      </c>
      <c r="S432" s="25">
        <v>0</v>
      </c>
      <c r="T432" s="25">
        <v>0.15116279069767441</v>
      </c>
    </row>
    <row r="433" spans="1:20" x14ac:dyDescent="0.25">
      <c r="A433" s="8" t="s">
        <v>931</v>
      </c>
      <c r="B433" s="8" t="s">
        <v>932</v>
      </c>
      <c r="C433" s="8" t="s">
        <v>3540</v>
      </c>
      <c r="D433" s="8">
        <v>135</v>
      </c>
      <c r="E433" s="24">
        <v>0.488888889551162</v>
      </c>
      <c r="F433" s="24">
        <v>0.511111140251159</v>
      </c>
      <c r="G433" s="23">
        <v>0</v>
      </c>
      <c r="H433" s="23">
        <v>0</v>
      </c>
      <c r="I433" s="24">
        <v>0.28888890147209101</v>
      </c>
      <c r="J433" s="24">
        <v>0.66666668653488104</v>
      </c>
      <c r="K433" s="23">
        <v>0</v>
      </c>
      <c r="L433" s="23">
        <v>7.4074072763324001E-3</v>
      </c>
      <c r="M433" s="23">
        <v>3.7037037312984501E-2</v>
      </c>
      <c r="N433" s="23">
        <v>0</v>
      </c>
      <c r="O433" s="24">
        <v>0.244444444775581</v>
      </c>
      <c r="P433" s="23">
        <v>0.39259257912635798</v>
      </c>
      <c r="Q433" s="24">
        <v>0.96296298503875699</v>
      </c>
      <c r="R433" s="25">
        <v>0</v>
      </c>
      <c r="S433" s="25">
        <v>7.4074074074074077E-3</v>
      </c>
      <c r="T433" s="25">
        <v>0.19259259259259259</v>
      </c>
    </row>
    <row r="434" spans="1:20" x14ac:dyDescent="0.25">
      <c r="A434" s="8" t="s">
        <v>933</v>
      </c>
      <c r="B434" s="8" t="s">
        <v>934</v>
      </c>
      <c r="C434" s="8" t="s">
        <v>3540</v>
      </c>
      <c r="D434" s="8">
        <v>393</v>
      </c>
      <c r="E434" s="24">
        <v>0.48091602325439398</v>
      </c>
      <c r="F434" s="24">
        <v>0.51908397674560502</v>
      </c>
      <c r="G434" s="23">
        <v>0</v>
      </c>
      <c r="H434" s="23">
        <v>7.6335878111422001E-3</v>
      </c>
      <c r="I434" s="24">
        <v>0.216284990310668</v>
      </c>
      <c r="J434" s="24">
        <v>0.75318068265914895</v>
      </c>
      <c r="K434" s="23">
        <v>2.5445292703806998E-3</v>
      </c>
      <c r="L434" s="23">
        <v>0</v>
      </c>
      <c r="M434" s="23">
        <v>2.0356234163045901E-2</v>
      </c>
      <c r="N434" s="23">
        <v>0</v>
      </c>
      <c r="O434" s="24">
        <v>0.28244274854660001</v>
      </c>
      <c r="P434" s="24">
        <v>0.231552168726921</v>
      </c>
      <c r="Q434" s="24">
        <v>0.99745547771453802</v>
      </c>
      <c r="R434" s="25">
        <v>0</v>
      </c>
      <c r="S434" s="25">
        <v>9.1603053435114504E-2</v>
      </c>
      <c r="T434" s="25">
        <v>0.19083969465648856</v>
      </c>
    </row>
    <row r="435" spans="1:20" x14ac:dyDescent="0.25">
      <c r="A435" s="8" t="s">
        <v>935</v>
      </c>
      <c r="B435" s="8" t="s">
        <v>936</v>
      </c>
      <c r="C435" s="8" t="s">
        <v>3540</v>
      </c>
      <c r="D435" s="8">
        <v>354</v>
      </c>
      <c r="E435" s="24">
        <v>0.44632768630981401</v>
      </c>
      <c r="F435" s="24">
        <v>0.55367231369018499</v>
      </c>
      <c r="G435" s="23">
        <v>0</v>
      </c>
      <c r="H435" s="23">
        <v>0</v>
      </c>
      <c r="I435" s="23">
        <v>0</v>
      </c>
      <c r="J435" s="24">
        <v>0.99717515707015902</v>
      </c>
      <c r="K435" s="23">
        <v>2.8248587623239002E-3</v>
      </c>
      <c r="L435" s="23">
        <v>0</v>
      </c>
      <c r="M435" s="23">
        <v>0</v>
      </c>
      <c r="N435" s="23">
        <v>0</v>
      </c>
      <c r="O435" s="23">
        <v>7.3446325957775102E-2</v>
      </c>
      <c r="P435" s="24">
        <v>0.71186441183090199</v>
      </c>
      <c r="Q435" s="23">
        <v>1</v>
      </c>
      <c r="R435" s="25">
        <v>0</v>
      </c>
      <c r="S435" s="25">
        <v>0</v>
      </c>
      <c r="T435" s="25">
        <v>7.6271186440677971E-2</v>
      </c>
    </row>
    <row r="436" spans="1:20" x14ac:dyDescent="0.25">
      <c r="A436" s="8" t="s">
        <v>937</v>
      </c>
      <c r="B436" s="8" t="s">
        <v>938</v>
      </c>
      <c r="C436" s="8" t="s">
        <v>3540</v>
      </c>
      <c r="D436" s="8">
        <v>431</v>
      </c>
      <c r="E436" s="24">
        <v>0.45243620872497498</v>
      </c>
      <c r="F436" s="24">
        <v>0.54756379127502397</v>
      </c>
      <c r="G436" s="23">
        <v>0</v>
      </c>
      <c r="H436" s="23">
        <v>1.6241298988461501E-2</v>
      </c>
      <c r="I436" s="23">
        <v>0.26450115442276001</v>
      </c>
      <c r="J436" s="23">
        <v>0.689095139503479</v>
      </c>
      <c r="K436" s="23">
        <v>0</v>
      </c>
      <c r="L436" s="23">
        <v>1.8561484292149499E-2</v>
      </c>
      <c r="M436" s="23">
        <v>9.2807421460747996E-3</v>
      </c>
      <c r="N436" s="23">
        <v>2.3201855365186999E-3</v>
      </c>
      <c r="O436" s="23">
        <v>2.0881671458482701E-2</v>
      </c>
      <c r="P436" s="24">
        <v>0.87470996379852195</v>
      </c>
      <c r="Q436" s="23">
        <v>0.94199538230895996</v>
      </c>
      <c r="R436" s="25">
        <v>0</v>
      </c>
      <c r="S436" s="25">
        <v>0</v>
      </c>
      <c r="T436" s="25">
        <v>3.7122969837587005E-2</v>
      </c>
    </row>
    <row r="437" spans="1:20" x14ac:dyDescent="0.25">
      <c r="A437" s="8" t="s">
        <v>939</v>
      </c>
      <c r="B437" s="8" t="s">
        <v>940</v>
      </c>
      <c r="C437" s="8" t="s">
        <v>3540</v>
      </c>
      <c r="D437" s="8">
        <v>292</v>
      </c>
      <c r="E437" s="23">
        <v>0.46575343608856201</v>
      </c>
      <c r="F437" s="23">
        <v>0.53424656391143799</v>
      </c>
      <c r="G437" s="23">
        <v>0</v>
      </c>
      <c r="H437" s="23">
        <v>6.8493150174618002E-3</v>
      </c>
      <c r="I437" s="24">
        <v>0.30136987566947898</v>
      </c>
      <c r="J437" s="24">
        <v>0.65753424167633001</v>
      </c>
      <c r="K437" s="23">
        <v>0</v>
      </c>
      <c r="L437" s="23">
        <v>1.02739725261927E-2</v>
      </c>
      <c r="M437" s="23">
        <v>2.0547945052385299E-2</v>
      </c>
      <c r="N437" s="23">
        <v>3.4246575087309001E-3</v>
      </c>
      <c r="O437" s="24">
        <v>0.25684931874275202</v>
      </c>
      <c r="P437" s="23">
        <v>0.24657534062862399</v>
      </c>
      <c r="Q437" s="24">
        <v>0.96917808055877597</v>
      </c>
      <c r="R437" s="25">
        <v>3.4246575342465752E-3</v>
      </c>
      <c r="S437" s="25">
        <v>3.7671232876712327E-2</v>
      </c>
      <c r="T437" s="25">
        <v>0.21232876712328766</v>
      </c>
    </row>
    <row r="438" spans="1:20" x14ac:dyDescent="0.25">
      <c r="A438" s="8" t="s">
        <v>941</v>
      </c>
      <c r="B438" s="8" t="s">
        <v>942</v>
      </c>
      <c r="C438" s="8" t="s">
        <v>3540</v>
      </c>
      <c r="D438" s="8">
        <v>388</v>
      </c>
      <c r="E438" s="24">
        <v>0.53865981101989702</v>
      </c>
      <c r="F438" s="24">
        <v>0.46134021878242398</v>
      </c>
      <c r="G438" s="23">
        <v>0</v>
      </c>
      <c r="H438" s="23">
        <v>3.6082472652196898E-2</v>
      </c>
      <c r="I438" s="24">
        <v>0.190721645951271</v>
      </c>
      <c r="J438" s="24">
        <v>0.747422695159912</v>
      </c>
      <c r="K438" s="23">
        <v>0</v>
      </c>
      <c r="L438" s="23">
        <v>7.7319587580859999E-3</v>
      </c>
      <c r="M438" s="23">
        <v>1.03092780336738E-2</v>
      </c>
      <c r="N438" s="23">
        <v>7.7319587580859999E-3</v>
      </c>
      <c r="O438" s="24">
        <v>0.27835050225257801</v>
      </c>
      <c r="P438" s="24">
        <v>0.13659793138504001</v>
      </c>
      <c r="Q438" s="24">
        <v>0.93298971652984597</v>
      </c>
      <c r="R438" s="25">
        <v>0</v>
      </c>
      <c r="S438" s="25">
        <v>4.3814432989690719E-2</v>
      </c>
      <c r="T438" s="25">
        <v>0.20103092783505155</v>
      </c>
    </row>
    <row r="439" spans="1:20" x14ac:dyDescent="0.25">
      <c r="A439" s="8" t="s">
        <v>943</v>
      </c>
      <c r="B439" s="8" t="s">
        <v>944</v>
      </c>
      <c r="C439" s="8" t="s">
        <v>3540</v>
      </c>
      <c r="D439" s="8">
        <v>402</v>
      </c>
      <c r="E439" s="24">
        <v>0.52487564086913996</v>
      </c>
      <c r="F439" s="24">
        <v>0.47512438893318099</v>
      </c>
      <c r="G439" s="23">
        <v>0</v>
      </c>
      <c r="H439" s="23">
        <v>3.48258689045906E-2</v>
      </c>
      <c r="I439" s="24">
        <v>0.26865673065185502</v>
      </c>
      <c r="J439" s="24">
        <v>0.65422886610031095</v>
      </c>
      <c r="K439" s="23">
        <v>7.4626863934100004E-3</v>
      </c>
      <c r="L439" s="23">
        <v>4.9751242622733003E-3</v>
      </c>
      <c r="M439" s="23">
        <v>2.9850745573639901E-2</v>
      </c>
      <c r="N439" s="23">
        <v>0</v>
      </c>
      <c r="O439" s="24">
        <v>0.3084577023983</v>
      </c>
      <c r="P439" s="24">
        <v>0.27363184094428999</v>
      </c>
      <c r="Q439" s="24">
        <v>0.96268653869628895</v>
      </c>
      <c r="R439" s="25">
        <v>8.2089552238805971E-2</v>
      </c>
      <c r="S439" s="25">
        <v>2.4875621890547263E-3</v>
      </c>
      <c r="T439" s="25">
        <v>0.21144278606965175</v>
      </c>
    </row>
    <row r="440" spans="1:20" x14ac:dyDescent="0.25">
      <c r="A440" s="8" t="s">
        <v>945</v>
      </c>
      <c r="B440" s="8" t="s">
        <v>946</v>
      </c>
      <c r="C440" s="8" t="s">
        <v>3540</v>
      </c>
      <c r="D440" s="8">
        <v>355</v>
      </c>
      <c r="E440" s="24">
        <v>0.49014085531234702</v>
      </c>
      <c r="F440" s="24">
        <v>0.50985914468765203</v>
      </c>
      <c r="G440" s="23">
        <v>0</v>
      </c>
      <c r="H440" s="23">
        <v>1.6901409253478099E-2</v>
      </c>
      <c r="I440" s="24">
        <v>0.21690140664577401</v>
      </c>
      <c r="J440" s="24">
        <v>0.69295775890350297</v>
      </c>
      <c r="K440" s="23">
        <v>1.4084506779909099E-2</v>
      </c>
      <c r="L440" s="23">
        <v>1.97183098644018E-2</v>
      </c>
      <c r="M440" s="23">
        <v>3.94366197288036E-2</v>
      </c>
      <c r="N440" s="23">
        <v>0</v>
      </c>
      <c r="O440" s="24">
        <v>0.357746481895446</v>
      </c>
      <c r="P440" s="24">
        <v>0.29859155416488598</v>
      </c>
      <c r="Q440" s="24">
        <v>0.96901410818099898</v>
      </c>
      <c r="R440" s="25">
        <v>0.19436619718309858</v>
      </c>
      <c r="S440" s="25">
        <v>0</v>
      </c>
      <c r="T440" s="25">
        <v>0.14929577464788732</v>
      </c>
    </row>
    <row r="441" spans="1:20" x14ac:dyDescent="0.25">
      <c r="A441" s="8" t="s">
        <v>947</v>
      </c>
      <c r="B441" s="8" t="s">
        <v>948</v>
      </c>
      <c r="C441" s="8" t="s">
        <v>3540</v>
      </c>
      <c r="D441" s="8">
        <v>346</v>
      </c>
      <c r="E441" s="24">
        <v>0.47109827399253801</v>
      </c>
      <c r="F441" s="24">
        <v>0.52890175580978305</v>
      </c>
      <c r="G441" s="23">
        <v>0</v>
      </c>
      <c r="H441" s="23">
        <v>3.7572253495454802E-2</v>
      </c>
      <c r="I441" s="23">
        <v>0.25144508481025701</v>
      </c>
      <c r="J441" s="24">
        <v>0.67919075489044101</v>
      </c>
      <c r="K441" s="23">
        <v>5.7803466916084003E-3</v>
      </c>
      <c r="L441" s="23">
        <v>8.6705200374126001E-3</v>
      </c>
      <c r="M441" s="23">
        <v>1.7341040074825301E-2</v>
      </c>
      <c r="N441" s="23">
        <v>0</v>
      </c>
      <c r="O441" s="24">
        <v>0.309248566627502</v>
      </c>
      <c r="P441" s="24">
        <v>0.187861278653144</v>
      </c>
      <c r="Q441" s="24">
        <v>0.94797688722610396</v>
      </c>
      <c r="R441" s="25">
        <v>8.3815028901734104E-2</v>
      </c>
      <c r="S441" s="25">
        <v>1.7341040462427744E-2</v>
      </c>
      <c r="T441" s="25">
        <v>0.19942196531791909</v>
      </c>
    </row>
    <row r="442" spans="1:20" x14ac:dyDescent="0.25">
      <c r="A442" s="8" t="s">
        <v>949</v>
      </c>
      <c r="B442" s="8" t="s">
        <v>950</v>
      </c>
      <c r="C442" s="8" t="s">
        <v>3540</v>
      </c>
      <c r="D442" s="8">
        <v>418</v>
      </c>
      <c r="E442" s="23">
        <v>0.54066985845565796</v>
      </c>
      <c r="F442" s="23">
        <v>0.45933014154434199</v>
      </c>
      <c r="G442" s="23">
        <v>0</v>
      </c>
      <c r="H442" s="23">
        <v>4.0669854730367702E-2</v>
      </c>
      <c r="I442" s="24">
        <v>0.227272734045982</v>
      </c>
      <c r="J442" s="24">
        <v>0.71052628755569402</v>
      </c>
      <c r="K442" s="23">
        <v>1.4354066923260699E-2</v>
      </c>
      <c r="L442" s="23">
        <v>4.7846888191997996E-3</v>
      </c>
      <c r="M442" s="23">
        <v>2.3923444095998998E-3</v>
      </c>
      <c r="N442" s="23">
        <v>0</v>
      </c>
      <c r="O442" s="24">
        <v>0.244019135832786</v>
      </c>
      <c r="P442" s="23">
        <v>0.26076555252075201</v>
      </c>
      <c r="Q442" s="24">
        <v>0.96650719642639105</v>
      </c>
      <c r="R442" s="25">
        <v>0.1076555023923445</v>
      </c>
      <c r="S442" s="25">
        <v>0</v>
      </c>
      <c r="T442" s="25">
        <v>0.11004784688995216</v>
      </c>
    </row>
    <row r="443" spans="1:20" x14ac:dyDescent="0.25">
      <c r="A443" s="8" t="s">
        <v>951</v>
      </c>
      <c r="B443" s="8" t="s">
        <v>952</v>
      </c>
      <c r="C443" s="8" t="s">
        <v>3540</v>
      </c>
      <c r="D443" s="8">
        <v>677</v>
      </c>
      <c r="E443" s="24">
        <v>0.50960117578506403</v>
      </c>
      <c r="F443" s="24">
        <v>0.49039882421493503</v>
      </c>
      <c r="G443" s="23">
        <v>0</v>
      </c>
      <c r="H443" s="23">
        <v>5.9084193781017997E-3</v>
      </c>
      <c r="I443" s="23">
        <v>0.20827178657054901</v>
      </c>
      <c r="J443" s="24">
        <v>0.76514035463333097</v>
      </c>
      <c r="K443" s="23">
        <v>0</v>
      </c>
      <c r="L443" s="23">
        <v>1.03397341445088E-2</v>
      </c>
      <c r="M443" s="23">
        <v>8.8626295328139999E-3</v>
      </c>
      <c r="N443" s="23">
        <v>1.4771048445255E-3</v>
      </c>
      <c r="O443" s="24">
        <v>0.233382567763328</v>
      </c>
      <c r="P443" s="23">
        <v>7.9763665795326205E-2</v>
      </c>
      <c r="Q443" s="24">
        <v>0.96454948186874301</v>
      </c>
      <c r="R443" s="25">
        <v>7.385524372230428E-3</v>
      </c>
      <c r="S443" s="25">
        <v>7.3855243722304287E-2</v>
      </c>
      <c r="T443" s="25">
        <v>0.14918759231905465</v>
      </c>
    </row>
    <row r="444" spans="1:20" x14ac:dyDescent="0.25">
      <c r="A444" s="8" t="s">
        <v>953</v>
      </c>
      <c r="B444" s="8" t="s">
        <v>954</v>
      </c>
      <c r="C444" s="8" t="s">
        <v>3540</v>
      </c>
      <c r="D444" s="8">
        <v>229</v>
      </c>
      <c r="E444" s="24">
        <v>0.484716147184371</v>
      </c>
      <c r="F444" s="24">
        <v>0.515283823013305</v>
      </c>
      <c r="G444" s="23">
        <v>0</v>
      </c>
      <c r="H444" s="23">
        <v>0</v>
      </c>
      <c r="I444" s="24">
        <v>0.42358079552650402</v>
      </c>
      <c r="J444" s="24">
        <v>0.55021834373474099</v>
      </c>
      <c r="K444" s="23">
        <v>8.7336245924234009E-3</v>
      </c>
      <c r="L444" s="23">
        <v>1.31004368886352E-2</v>
      </c>
      <c r="M444" s="23">
        <v>4.3668122962117004E-3</v>
      </c>
      <c r="N444" s="23">
        <v>0</v>
      </c>
      <c r="O444" s="24">
        <v>0.34061136841773898</v>
      </c>
      <c r="P444" s="24">
        <v>0.16593886911868999</v>
      </c>
      <c r="Q444" s="24">
        <v>0.95196509361267001</v>
      </c>
      <c r="R444" s="25">
        <v>8.7336244541484712E-3</v>
      </c>
      <c r="S444" s="25">
        <v>3.4934497816593885E-2</v>
      </c>
      <c r="T444" s="25">
        <v>0.27510917030567683</v>
      </c>
    </row>
    <row r="445" spans="1:20" x14ac:dyDescent="0.25">
      <c r="A445" s="8" t="s">
        <v>955</v>
      </c>
      <c r="B445" s="8" t="s">
        <v>956</v>
      </c>
      <c r="C445" s="8" t="s">
        <v>3540</v>
      </c>
      <c r="D445" s="8">
        <v>370</v>
      </c>
      <c r="E445" s="24">
        <v>0.48648649454116799</v>
      </c>
      <c r="F445" s="24">
        <v>0.51351350545883101</v>
      </c>
      <c r="G445" s="23">
        <v>0</v>
      </c>
      <c r="H445" s="23">
        <v>2.702702768147E-3</v>
      </c>
      <c r="I445" s="24">
        <v>0.316216230392456</v>
      </c>
      <c r="J445" s="24">
        <v>0.64324325323104803</v>
      </c>
      <c r="K445" s="23">
        <v>2.702702768147E-3</v>
      </c>
      <c r="L445" s="23">
        <v>1.8918918445706399E-2</v>
      </c>
      <c r="M445" s="23">
        <v>1.6216216608881999E-2</v>
      </c>
      <c r="N445" s="23">
        <v>0</v>
      </c>
      <c r="O445" s="24">
        <v>0.35945945978164601</v>
      </c>
      <c r="P445" s="24">
        <v>0.15945945680141399</v>
      </c>
      <c r="Q445" s="24">
        <v>0.98648649454116799</v>
      </c>
      <c r="R445" s="25">
        <v>0</v>
      </c>
      <c r="S445" s="25">
        <v>0</v>
      </c>
      <c r="T445" s="25">
        <v>0.33243243243243242</v>
      </c>
    </row>
    <row r="446" spans="1:20" x14ac:dyDescent="0.25">
      <c r="A446" s="8" t="s">
        <v>957</v>
      </c>
      <c r="B446" s="8" t="s">
        <v>958</v>
      </c>
      <c r="C446" s="8" t="s">
        <v>3540</v>
      </c>
      <c r="D446" s="8">
        <v>111</v>
      </c>
      <c r="E446" s="24">
        <v>0.75675678253173795</v>
      </c>
      <c r="F446" s="24">
        <v>0.243243247270584</v>
      </c>
      <c r="G446" s="23">
        <v>0</v>
      </c>
      <c r="H446" s="23">
        <v>9.0090092271565992E-3</v>
      </c>
      <c r="I446" s="24">
        <v>0.25225225090980502</v>
      </c>
      <c r="J446" s="24">
        <v>0.70270270109176602</v>
      </c>
      <c r="K446" s="23">
        <v>9.0090092271565992E-3</v>
      </c>
      <c r="L446" s="23">
        <v>9.0090092271565992E-3</v>
      </c>
      <c r="M446" s="23">
        <v>1.8018018454313299E-2</v>
      </c>
      <c r="N446" s="23">
        <v>0</v>
      </c>
      <c r="O446" s="23">
        <v>0.31531530618667603</v>
      </c>
      <c r="P446" s="24">
        <v>0.21621622145175901</v>
      </c>
      <c r="Q446" s="24">
        <v>0.96396398544311501</v>
      </c>
      <c r="R446" s="25">
        <v>9.0090090090090089E-3</v>
      </c>
      <c r="S446" s="25">
        <v>0</v>
      </c>
      <c r="T446" s="25">
        <v>0.36936936936936937</v>
      </c>
    </row>
    <row r="447" spans="1:20" x14ac:dyDescent="0.25">
      <c r="A447" s="8" t="s">
        <v>959</v>
      </c>
      <c r="B447" s="8" t="s">
        <v>960</v>
      </c>
      <c r="C447" s="8" t="s">
        <v>3540</v>
      </c>
      <c r="D447" s="8">
        <v>396</v>
      </c>
      <c r="E447" s="24">
        <v>0.52777779102325395</v>
      </c>
      <c r="F447" s="24">
        <v>0.47222220897674499</v>
      </c>
      <c r="G447" s="23">
        <v>0</v>
      </c>
      <c r="H447" s="23">
        <v>2.5252525229007001E-3</v>
      </c>
      <c r="I447" s="23">
        <v>0.18939393758773801</v>
      </c>
      <c r="J447" s="24">
        <v>0.79292929172515803</v>
      </c>
      <c r="K447" s="23">
        <v>7.5757578015327003E-3</v>
      </c>
      <c r="L447" s="23">
        <v>2.5252525229007001E-3</v>
      </c>
      <c r="M447" s="23">
        <v>5.0505050458014003E-3</v>
      </c>
      <c r="N447" s="23">
        <v>0</v>
      </c>
      <c r="O447" s="23">
        <v>0.18939393758773801</v>
      </c>
      <c r="P447" s="24">
        <v>0.21464645862579301</v>
      </c>
      <c r="Q447" s="24">
        <v>0.954545438289642</v>
      </c>
      <c r="R447" s="25">
        <v>8.8383838383838384E-2</v>
      </c>
      <c r="S447" s="25">
        <v>0</v>
      </c>
      <c r="T447" s="25">
        <v>9.8484848484848481E-2</v>
      </c>
    </row>
    <row r="448" spans="1:20" x14ac:dyDescent="0.25">
      <c r="A448" s="8" t="s">
        <v>961</v>
      </c>
      <c r="B448" s="8" t="s">
        <v>962</v>
      </c>
      <c r="C448" s="8" t="s">
        <v>3540</v>
      </c>
      <c r="D448" s="8">
        <v>395</v>
      </c>
      <c r="E448" s="24">
        <v>0.45316454768180803</v>
      </c>
      <c r="F448" s="24">
        <v>0.54683542251586903</v>
      </c>
      <c r="G448" s="23">
        <v>0</v>
      </c>
      <c r="H448" s="23">
        <v>7.5949365273118002E-3</v>
      </c>
      <c r="I448" s="24">
        <v>0.23037974536418901</v>
      </c>
      <c r="J448" s="24">
        <v>0.73417723178863503</v>
      </c>
      <c r="K448" s="23">
        <v>0</v>
      </c>
      <c r="L448" s="23">
        <v>1.51898730546236E-2</v>
      </c>
      <c r="M448" s="23">
        <v>7.5949365273118002E-3</v>
      </c>
      <c r="N448" s="23">
        <v>5.0632911734282996E-3</v>
      </c>
      <c r="O448" s="23">
        <v>5.82278482615948E-2</v>
      </c>
      <c r="P448" s="24">
        <v>0.83037972450256303</v>
      </c>
      <c r="Q448" s="24">
        <v>0.98734176158904996</v>
      </c>
      <c r="R448" s="25">
        <v>5.0632911392405064E-3</v>
      </c>
      <c r="S448" s="25">
        <v>0</v>
      </c>
      <c r="T448" s="25">
        <v>5.8227848101265821E-2</v>
      </c>
    </row>
    <row r="449" spans="1:20" x14ac:dyDescent="0.25">
      <c r="A449" s="8" t="s">
        <v>964</v>
      </c>
      <c r="B449" s="8" t="s">
        <v>965</v>
      </c>
      <c r="C449" s="8" t="s">
        <v>3540</v>
      </c>
      <c r="D449" s="8">
        <v>501</v>
      </c>
      <c r="E449" s="23">
        <v>1</v>
      </c>
      <c r="F449" s="23">
        <v>0</v>
      </c>
      <c r="G449" s="23">
        <v>0</v>
      </c>
      <c r="H449" s="23">
        <v>3.5928145051002502E-2</v>
      </c>
      <c r="I449" s="24">
        <v>0.25948104262351901</v>
      </c>
      <c r="J449" s="24">
        <v>0.67065870761871305</v>
      </c>
      <c r="K449" s="23">
        <v>1.9960079807787999E-3</v>
      </c>
      <c r="L449" s="23">
        <v>9.9800396710634006E-3</v>
      </c>
      <c r="M449" s="23">
        <v>1.79640725255013E-2</v>
      </c>
      <c r="N449" s="23">
        <v>3.9920159615575998E-3</v>
      </c>
      <c r="O449" s="24">
        <v>0.18363273143768299</v>
      </c>
      <c r="P449" s="23">
        <v>8.7824352085590404E-2</v>
      </c>
      <c r="Q449" s="24">
        <v>0.92614769935607899</v>
      </c>
      <c r="R449" s="25">
        <v>0</v>
      </c>
      <c r="S449" s="25">
        <v>1.996007984031936E-3</v>
      </c>
      <c r="T449" s="25">
        <v>0.18163672654690619</v>
      </c>
    </row>
    <row r="450" spans="1:20" x14ac:dyDescent="0.25">
      <c r="A450" s="8" t="s">
        <v>966</v>
      </c>
      <c r="B450" s="8" t="s">
        <v>967</v>
      </c>
      <c r="C450" s="8" t="s">
        <v>3540</v>
      </c>
      <c r="D450" s="8">
        <v>145</v>
      </c>
      <c r="E450" s="24">
        <v>0.455172419548034</v>
      </c>
      <c r="F450" s="24">
        <v>0.544827580451965</v>
      </c>
      <c r="G450" s="23">
        <v>0</v>
      </c>
      <c r="H450" s="23">
        <v>0</v>
      </c>
      <c r="I450" s="23">
        <v>8.96551758050919E-2</v>
      </c>
      <c r="J450" s="24">
        <v>0.89655172824859597</v>
      </c>
      <c r="K450" s="23">
        <v>0</v>
      </c>
      <c r="L450" s="23">
        <v>0</v>
      </c>
      <c r="M450" s="23">
        <v>1.3793103396892501E-2</v>
      </c>
      <c r="N450" s="23">
        <v>0</v>
      </c>
      <c r="O450" s="24">
        <v>0.20000000298023199</v>
      </c>
      <c r="P450" s="24">
        <v>0.65517240762710505</v>
      </c>
      <c r="Q450" s="24">
        <v>0.98620688915252597</v>
      </c>
      <c r="R450" s="25">
        <v>6.8965517241379309E-3</v>
      </c>
      <c r="S450" s="25">
        <v>6.8965517241379309E-2</v>
      </c>
      <c r="T450" s="25">
        <v>0.1310344827586207</v>
      </c>
    </row>
    <row r="451" spans="1:20" x14ac:dyDescent="0.25">
      <c r="A451" s="8" t="s">
        <v>968</v>
      </c>
      <c r="B451" s="8" t="s">
        <v>969</v>
      </c>
      <c r="C451" s="8" t="s">
        <v>3540</v>
      </c>
      <c r="D451" s="8">
        <v>143</v>
      </c>
      <c r="E451" s="24">
        <v>0.48951047658920199</v>
      </c>
      <c r="F451" s="24">
        <v>0.51048952341079701</v>
      </c>
      <c r="G451" s="23">
        <v>0</v>
      </c>
      <c r="H451" s="23">
        <v>0</v>
      </c>
      <c r="I451" s="24">
        <v>0.363636374473571</v>
      </c>
      <c r="J451" s="24">
        <v>0.60839158296585005</v>
      </c>
      <c r="K451" s="23">
        <v>0</v>
      </c>
      <c r="L451" s="23">
        <v>0</v>
      </c>
      <c r="M451" s="23">
        <v>1.3986013829708099E-2</v>
      </c>
      <c r="N451" s="23">
        <v>1.3986013829708099E-2</v>
      </c>
      <c r="O451" s="24">
        <v>0.30769231915473899</v>
      </c>
      <c r="P451" s="24">
        <v>0.32167831063270502</v>
      </c>
      <c r="Q451" s="24">
        <v>0.98601400852203303</v>
      </c>
      <c r="R451" s="25">
        <v>4.195804195804196E-2</v>
      </c>
      <c r="S451" s="25">
        <v>0.11888111888111888</v>
      </c>
      <c r="T451" s="25">
        <v>0.1888111888111888</v>
      </c>
    </row>
    <row r="452" spans="1:20" x14ac:dyDescent="0.25">
      <c r="A452" s="8" t="s">
        <v>970</v>
      </c>
      <c r="B452" s="8" t="s">
        <v>971</v>
      </c>
      <c r="C452" s="8" t="s">
        <v>3540</v>
      </c>
      <c r="D452" s="8">
        <v>131</v>
      </c>
      <c r="E452" s="24">
        <v>0.45038166642188998</v>
      </c>
      <c r="F452" s="24">
        <v>0.54961830377578702</v>
      </c>
      <c r="G452" s="23">
        <v>0</v>
      </c>
      <c r="H452" s="23">
        <v>7.6335878111422001E-3</v>
      </c>
      <c r="I452" s="24">
        <v>0.175572514533996</v>
      </c>
      <c r="J452" s="24">
        <v>0.78625953197479204</v>
      </c>
      <c r="K452" s="23">
        <v>0</v>
      </c>
      <c r="L452" s="23">
        <v>2.2900763899087899E-2</v>
      </c>
      <c r="M452" s="23">
        <v>7.6335878111422001E-3</v>
      </c>
      <c r="N452" s="23">
        <v>0</v>
      </c>
      <c r="O452" s="24">
        <v>0.27480915188789301</v>
      </c>
      <c r="P452" s="23">
        <v>0.152671754360199</v>
      </c>
      <c r="Q452" s="24">
        <v>0.984732806682586</v>
      </c>
      <c r="R452" s="25">
        <v>9.9236641221374045E-2</v>
      </c>
      <c r="S452" s="25">
        <v>0</v>
      </c>
      <c r="T452" s="25">
        <v>0.17557251908396945</v>
      </c>
    </row>
    <row r="453" spans="1:20" x14ac:dyDescent="0.25">
      <c r="A453" s="8" t="s">
        <v>972</v>
      </c>
      <c r="B453" s="8" t="s">
        <v>973</v>
      </c>
      <c r="C453" s="8" t="s">
        <v>3540</v>
      </c>
      <c r="D453" s="8">
        <v>317</v>
      </c>
      <c r="E453" s="24">
        <v>0.51419556140899603</v>
      </c>
      <c r="F453" s="23">
        <v>0.48580440878868097</v>
      </c>
      <c r="G453" s="23">
        <v>0</v>
      </c>
      <c r="H453" s="23">
        <v>9.4637228175997994E-3</v>
      </c>
      <c r="I453" s="24">
        <v>0.30599367618560702</v>
      </c>
      <c r="J453" s="24">
        <v>0.66876971721649103</v>
      </c>
      <c r="K453" s="23">
        <v>6.3091483898461004E-3</v>
      </c>
      <c r="L453" s="23">
        <v>0</v>
      </c>
      <c r="M453" s="23">
        <v>9.4637228175997994E-3</v>
      </c>
      <c r="N453" s="23">
        <v>0</v>
      </c>
      <c r="O453" s="24">
        <v>0.35646688938140803</v>
      </c>
      <c r="P453" s="23">
        <v>9.7791798412799794E-2</v>
      </c>
      <c r="Q453" s="24">
        <v>0.96845424175262396</v>
      </c>
      <c r="R453" s="25">
        <v>9.1482649842271294E-2</v>
      </c>
      <c r="S453" s="25">
        <v>4.7318611987381701E-2</v>
      </c>
      <c r="T453" s="25">
        <v>0.14826498422712933</v>
      </c>
    </row>
    <row r="454" spans="1:20" x14ac:dyDescent="0.25">
      <c r="A454" s="8" t="s">
        <v>974</v>
      </c>
      <c r="B454" s="8" t="s">
        <v>975</v>
      </c>
      <c r="C454" s="8" t="s">
        <v>3540</v>
      </c>
      <c r="D454" s="8">
        <v>362</v>
      </c>
      <c r="E454" s="24">
        <v>0.50828731060027998</v>
      </c>
      <c r="F454" s="24">
        <v>0.49171271920204102</v>
      </c>
      <c r="G454" s="23">
        <v>0</v>
      </c>
      <c r="H454" s="23">
        <v>5.52486181259155E-2</v>
      </c>
      <c r="I454" s="23">
        <v>8.8397793471813202E-2</v>
      </c>
      <c r="J454" s="24">
        <v>0.74309390783309903</v>
      </c>
      <c r="K454" s="23">
        <v>3.3149171620607397E-2</v>
      </c>
      <c r="L454" s="23">
        <v>2.7624310459941999E-3</v>
      </c>
      <c r="M454" s="23">
        <v>7.7348068356514005E-2</v>
      </c>
      <c r="N454" s="23">
        <v>0</v>
      </c>
      <c r="O454" s="24">
        <v>0.17955800890922499</v>
      </c>
      <c r="P454" s="24">
        <v>0.149171277880668</v>
      </c>
      <c r="Q454" s="24">
        <v>0.80110496282577504</v>
      </c>
      <c r="R454" s="25">
        <v>8.2872928176795577E-2</v>
      </c>
      <c r="S454" s="25">
        <v>5.5248618784530384E-3</v>
      </c>
      <c r="T454" s="25">
        <v>9.1160220994475141E-2</v>
      </c>
    </row>
    <row r="455" spans="1:20" x14ac:dyDescent="0.25">
      <c r="A455" s="8" t="s">
        <v>976</v>
      </c>
      <c r="B455" s="8" t="s">
        <v>977</v>
      </c>
      <c r="C455" s="8" t="s">
        <v>3540</v>
      </c>
      <c r="D455" s="8">
        <v>611</v>
      </c>
      <c r="E455" s="24">
        <v>0.48445171117782498</v>
      </c>
      <c r="F455" s="24">
        <v>0.51554828882217396</v>
      </c>
      <c r="G455" s="23">
        <v>0</v>
      </c>
      <c r="H455" s="23">
        <v>8.0196402966976194E-2</v>
      </c>
      <c r="I455" s="23">
        <v>8.0196402966976194E-2</v>
      </c>
      <c r="J455" s="24">
        <v>0.78232407569885198</v>
      </c>
      <c r="K455" s="23">
        <v>4.9099838361143996E-3</v>
      </c>
      <c r="L455" s="23">
        <v>1.1456628330051901E-2</v>
      </c>
      <c r="M455" s="23">
        <v>4.0916528552770601E-2</v>
      </c>
      <c r="N455" s="23">
        <v>0</v>
      </c>
      <c r="O455" s="24">
        <v>0.219312608242034</v>
      </c>
      <c r="P455" s="24">
        <v>0.25040915608406</v>
      </c>
      <c r="Q455" s="24">
        <v>0.92471361160278298</v>
      </c>
      <c r="R455" s="25">
        <v>0.10801963993453355</v>
      </c>
      <c r="S455" s="25">
        <v>0</v>
      </c>
      <c r="T455" s="25">
        <v>0.11620294599018004</v>
      </c>
    </row>
    <row r="456" spans="1:20" x14ac:dyDescent="0.25">
      <c r="A456" s="8" t="s">
        <v>978</v>
      </c>
      <c r="B456" s="8" t="s">
        <v>979</v>
      </c>
      <c r="C456" s="8" t="s">
        <v>3540</v>
      </c>
      <c r="D456" s="8">
        <v>477</v>
      </c>
      <c r="E456" s="24">
        <v>0.51781970262527399</v>
      </c>
      <c r="F456" s="24">
        <v>0.48218029737472501</v>
      </c>
      <c r="G456" s="23">
        <v>0</v>
      </c>
      <c r="H456" s="23">
        <v>1.04821799322963E-2</v>
      </c>
      <c r="I456" s="24">
        <v>0.15303982794284801</v>
      </c>
      <c r="J456" s="23">
        <v>0.805031418800354</v>
      </c>
      <c r="K456" s="23">
        <v>2.0964359864592999E-3</v>
      </c>
      <c r="L456" s="23">
        <v>2.0964359864592999E-3</v>
      </c>
      <c r="M456" s="23">
        <v>2.7253668755292899E-2</v>
      </c>
      <c r="N456" s="23">
        <v>0</v>
      </c>
      <c r="O456" s="23">
        <v>0.23689727485179901</v>
      </c>
      <c r="P456" s="23">
        <v>0.35010480880737299</v>
      </c>
      <c r="Q456" s="24">
        <v>0.95387840270996005</v>
      </c>
      <c r="R456" s="25">
        <v>9.853249475890985E-2</v>
      </c>
      <c r="S456" s="25">
        <v>0</v>
      </c>
      <c r="T456" s="25">
        <v>0.13417190775681342</v>
      </c>
    </row>
    <row r="457" spans="1:20" x14ac:dyDescent="0.25">
      <c r="A457" s="8" t="s">
        <v>980</v>
      </c>
      <c r="B457" s="8" t="s">
        <v>981</v>
      </c>
      <c r="C457" s="8" t="s">
        <v>3540</v>
      </c>
      <c r="D457" s="8">
        <v>377</v>
      </c>
      <c r="E457" s="24">
        <v>0.51989388465881303</v>
      </c>
      <c r="F457" s="24">
        <v>0.48010611534118602</v>
      </c>
      <c r="G457" s="23">
        <v>0</v>
      </c>
      <c r="H457" s="23">
        <v>5.3050396963953998E-3</v>
      </c>
      <c r="I457" s="23">
        <v>8.2228116691112504E-2</v>
      </c>
      <c r="J457" s="24">
        <v>0.90185678005218495</v>
      </c>
      <c r="K457" s="23">
        <v>0</v>
      </c>
      <c r="L457" s="23">
        <v>1.06100793927908E-2</v>
      </c>
      <c r="M457" s="23">
        <v>0</v>
      </c>
      <c r="N457" s="23">
        <v>0</v>
      </c>
      <c r="O457" s="24">
        <v>0.28381961584091098</v>
      </c>
      <c r="P457" s="24">
        <v>0.172413796186447</v>
      </c>
      <c r="Q457" s="24">
        <v>0.88063663244247403</v>
      </c>
      <c r="R457" s="25">
        <v>4.5092838196286469E-2</v>
      </c>
      <c r="S457" s="25">
        <v>0</v>
      </c>
      <c r="T457" s="25">
        <v>0.24668435013262599</v>
      </c>
    </row>
    <row r="458" spans="1:20" x14ac:dyDescent="0.25">
      <c r="A458" s="8" t="s">
        <v>982</v>
      </c>
      <c r="B458" s="8" t="s">
        <v>983</v>
      </c>
      <c r="C458" s="8" t="s">
        <v>3540</v>
      </c>
      <c r="D458" s="8">
        <v>801</v>
      </c>
      <c r="E458" s="24">
        <v>0.47565543651580799</v>
      </c>
      <c r="F458" s="24">
        <v>0.52434456348419101</v>
      </c>
      <c r="G458" s="23">
        <v>0</v>
      </c>
      <c r="H458" s="23">
        <v>6.9912612438201904E-2</v>
      </c>
      <c r="I458" s="24">
        <v>0.116104871034622</v>
      </c>
      <c r="J458" s="24">
        <v>0.75530588626861495</v>
      </c>
      <c r="K458" s="23">
        <v>6.2421974726021004E-3</v>
      </c>
      <c r="L458" s="23">
        <v>1.24843949452043E-2</v>
      </c>
      <c r="M458" s="23">
        <v>3.9950061589479398E-2</v>
      </c>
      <c r="N458" s="23">
        <v>0</v>
      </c>
      <c r="O458" s="24">
        <v>0.259675413370132</v>
      </c>
      <c r="P458" s="24">
        <v>0.272159814834594</v>
      </c>
      <c r="Q458" s="24">
        <v>0.94631707668304399</v>
      </c>
      <c r="R458" s="25">
        <v>8.6142322097378279E-2</v>
      </c>
      <c r="S458" s="25">
        <v>4.9937578027465668E-3</v>
      </c>
      <c r="T458" s="25">
        <v>0.16729088639200998</v>
      </c>
    </row>
    <row r="459" spans="1:20" x14ac:dyDescent="0.25">
      <c r="A459" s="8" t="s">
        <v>984</v>
      </c>
      <c r="B459" s="8" t="s">
        <v>985</v>
      </c>
      <c r="C459" s="8" t="s">
        <v>3540</v>
      </c>
      <c r="D459" s="8">
        <v>335</v>
      </c>
      <c r="E459" s="24">
        <v>0.456716418266296</v>
      </c>
      <c r="F459" s="24">
        <v>0.54328358173370295</v>
      </c>
      <c r="G459" s="23">
        <v>0</v>
      </c>
      <c r="H459" s="23">
        <v>5.9701493009925001E-3</v>
      </c>
      <c r="I459" s="24">
        <v>0.25671643018722501</v>
      </c>
      <c r="J459" s="24">
        <v>0.71044778823852495</v>
      </c>
      <c r="K459" s="23">
        <v>5.9701493009925001E-3</v>
      </c>
      <c r="L459" s="23">
        <v>1.49253727868199E-2</v>
      </c>
      <c r="M459" s="23">
        <v>5.9701493009925001E-3</v>
      </c>
      <c r="N459" s="23">
        <v>0</v>
      </c>
      <c r="O459" s="24">
        <v>0.29552239179611201</v>
      </c>
      <c r="P459" s="24">
        <v>0.23283581435680301</v>
      </c>
      <c r="Q459" s="24">
        <v>0.92835819721221902</v>
      </c>
      <c r="R459" s="25">
        <v>0.16417910447761194</v>
      </c>
      <c r="S459" s="25">
        <v>0</v>
      </c>
      <c r="T459" s="25">
        <v>0.10149253731343283</v>
      </c>
    </row>
    <row r="460" spans="1:20" x14ac:dyDescent="0.25">
      <c r="A460" s="8" t="s">
        <v>986</v>
      </c>
      <c r="B460" s="8" t="s">
        <v>987</v>
      </c>
      <c r="C460" s="8" t="s">
        <v>3540</v>
      </c>
      <c r="D460" s="8">
        <v>742</v>
      </c>
      <c r="E460" s="24">
        <v>0.47708895802497803</v>
      </c>
      <c r="F460" s="24">
        <v>0.52291107177734297</v>
      </c>
      <c r="G460" s="23">
        <v>0</v>
      </c>
      <c r="H460" s="23">
        <v>6.0646899044513702E-2</v>
      </c>
      <c r="I460" s="23">
        <v>7.6819404959678594E-2</v>
      </c>
      <c r="J460" s="24">
        <v>0.46226415038108798</v>
      </c>
      <c r="K460" s="23">
        <v>5.5256064981222201E-2</v>
      </c>
      <c r="L460" s="23">
        <v>4.0431264787911996E-3</v>
      </c>
      <c r="M460" s="24">
        <v>0.34097033739089899</v>
      </c>
      <c r="N460" s="23">
        <v>0</v>
      </c>
      <c r="O460" s="24">
        <v>0.19541779160499501</v>
      </c>
      <c r="P460" s="23">
        <v>4.1778974235057803E-2</v>
      </c>
      <c r="Q460" s="24">
        <v>0.37331536412239003</v>
      </c>
      <c r="R460" s="25">
        <v>6.1994609164420483E-2</v>
      </c>
      <c r="S460" s="25">
        <v>0</v>
      </c>
      <c r="T460" s="25">
        <v>0.14016172506738545</v>
      </c>
    </row>
    <row r="461" spans="1:20" x14ac:dyDescent="0.25">
      <c r="A461" s="8" t="s">
        <v>988</v>
      </c>
      <c r="B461" s="8" t="s">
        <v>989</v>
      </c>
      <c r="C461" s="8" t="s">
        <v>3540</v>
      </c>
      <c r="D461" s="8">
        <v>531</v>
      </c>
      <c r="E461" s="24">
        <v>0.489642173051834</v>
      </c>
      <c r="F461" s="24">
        <v>0.51035779714584295</v>
      </c>
      <c r="G461" s="23">
        <v>0</v>
      </c>
      <c r="H461" s="23">
        <v>5.6497175246476997E-3</v>
      </c>
      <c r="I461" s="24">
        <v>0.18455743789672799</v>
      </c>
      <c r="J461" s="23">
        <v>0.76459509134292603</v>
      </c>
      <c r="K461" s="23">
        <v>5.6497175246476997E-3</v>
      </c>
      <c r="L461" s="23">
        <v>1.31826745346189E-2</v>
      </c>
      <c r="M461" s="23">
        <v>2.6365349069237699E-2</v>
      </c>
      <c r="N461" s="23">
        <v>0</v>
      </c>
      <c r="O461" s="24">
        <v>0.27871939539909302</v>
      </c>
      <c r="P461" s="24">
        <v>0.18267419934272699</v>
      </c>
      <c r="Q461" s="24">
        <v>0.96421843767166104</v>
      </c>
      <c r="R461" s="25">
        <v>0.10357815442561205</v>
      </c>
      <c r="S461" s="25">
        <v>1.8832391713747645E-3</v>
      </c>
      <c r="T461" s="25">
        <v>0.19774011299435029</v>
      </c>
    </row>
    <row r="462" spans="1:20" x14ac:dyDescent="0.25">
      <c r="A462" s="8" t="s">
        <v>990</v>
      </c>
      <c r="B462" s="8" t="s">
        <v>991</v>
      </c>
      <c r="C462" s="8" t="s">
        <v>3540</v>
      </c>
      <c r="D462" s="8">
        <v>801</v>
      </c>
      <c r="E462" s="24">
        <v>0.493133574724197</v>
      </c>
      <c r="F462" s="24">
        <v>0.50686639547348</v>
      </c>
      <c r="G462" s="23">
        <v>0</v>
      </c>
      <c r="H462" s="23">
        <v>1.12359551712871E-2</v>
      </c>
      <c r="I462" s="24">
        <v>0.104868911206722</v>
      </c>
      <c r="J462" s="23">
        <v>0.84644192457199097</v>
      </c>
      <c r="K462" s="23">
        <v>3.745318390429E-3</v>
      </c>
      <c r="L462" s="23">
        <v>1.8726591020822501E-2</v>
      </c>
      <c r="M462" s="23">
        <v>1.3732833787798901E-2</v>
      </c>
      <c r="N462" s="23">
        <v>1.2484394246712E-3</v>
      </c>
      <c r="O462" s="24">
        <v>0.20599250495433799</v>
      </c>
      <c r="P462" s="24">
        <v>0.32084894180297802</v>
      </c>
      <c r="Q462" s="24">
        <v>0.990012466907501</v>
      </c>
      <c r="R462" s="25">
        <v>7.990012484394507E-2</v>
      </c>
      <c r="S462" s="25">
        <v>1.2484394506866417E-3</v>
      </c>
      <c r="T462" s="25">
        <v>0.12609238451935081</v>
      </c>
    </row>
    <row r="463" spans="1:20" x14ac:dyDescent="0.25">
      <c r="A463" s="8" t="s">
        <v>992</v>
      </c>
      <c r="B463" s="8" t="s">
        <v>993</v>
      </c>
      <c r="C463" s="8" t="s">
        <v>3540</v>
      </c>
      <c r="D463" s="8">
        <v>446</v>
      </c>
      <c r="E463" s="24">
        <v>0.437219738960266</v>
      </c>
      <c r="F463" s="24">
        <v>0.562780261039733</v>
      </c>
      <c r="G463" s="23">
        <v>0</v>
      </c>
      <c r="H463" s="23">
        <v>6.7264572717249003E-3</v>
      </c>
      <c r="I463" s="24">
        <v>0.17040358483791301</v>
      </c>
      <c r="J463" s="24">
        <v>0.80941706895828203</v>
      </c>
      <c r="K463" s="23">
        <v>2.2421525791287002E-3</v>
      </c>
      <c r="L463" s="23">
        <v>2.2421525791287002E-3</v>
      </c>
      <c r="M463" s="23">
        <v>8.9686103165150001E-3</v>
      </c>
      <c r="N463" s="23">
        <v>0</v>
      </c>
      <c r="O463" s="24">
        <v>0.325112104415893</v>
      </c>
      <c r="P463" s="24">
        <v>0.143497765064239</v>
      </c>
      <c r="Q463" s="24">
        <v>0.90358746051788297</v>
      </c>
      <c r="R463" s="25">
        <v>0.11883408071748879</v>
      </c>
      <c r="S463" s="25">
        <v>0</v>
      </c>
      <c r="T463" s="25">
        <v>0.18609865470852019</v>
      </c>
    </row>
    <row r="464" spans="1:20" x14ac:dyDescent="0.25">
      <c r="A464" s="8" t="s">
        <v>994</v>
      </c>
      <c r="B464" s="8" t="s">
        <v>995</v>
      </c>
      <c r="C464" s="8" t="s">
        <v>3540</v>
      </c>
      <c r="D464" s="8">
        <v>447</v>
      </c>
      <c r="E464" s="24">
        <v>0.51006710529327304</v>
      </c>
      <c r="F464" s="24">
        <v>0.48993289470672602</v>
      </c>
      <c r="G464" s="23">
        <v>0</v>
      </c>
      <c r="H464" s="23">
        <v>1.7897091805934899E-2</v>
      </c>
      <c r="I464" s="24">
        <v>0.147651001811027</v>
      </c>
      <c r="J464" s="24">
        <v>0.80313199758529596</v>
      </c>
      <c r="K464" s="23">
        <v>6.7114094272256002E-3</v>
      </c>
      <c r="L464" s="23">
        <v>1.1185682378709301E-2</v>
      </c>
      <c r="M464" s="23">
        <v>1.34228188544512E-2</v>
      </c>
      <c r="N464" s="23">
        <v>0</v>
      </c>
      <c r="O464" s="24">
        <v>0.28411632776260298</v>
      </c>
      <c r="P464" s="24">
        <v>0.22818791866302399</v>
      </c>
      <c r="Q464" s="24">
        <v>0.96196866035461404</v>
      </c>
      <c r="R464" s="25">
        <v>0.10738255033557047</v>
      </c>
      <c r="S464" s="25">
        <v>0</v>
      </c>
      <c r="T464" s="25">
        <v>0.15883668903803133</v>
      </c>
    </row>
    <row r="465" spans="1:20" x14ac:dyDescent="0.25">
      <c r="A465" s="8" t="s">
        <v>996</v>
      </c>
      <c r="B465" s="8" t="s">
        <v>997</v>
      </c>
      <c r="C465" s="8" t="s">
        <v>3540</v>
      </c>
      <c r="D465" s="8">
        <v>624</v>
      </c>
      <c r="E465" s="24">
        <v>0.50320512056350697</v>
      </c>
      <c r="F465" s="24">
        <v>0.49679487943649198</v>
      </c>
      <c r="G465" s="23">
        <v>0</v>
      </c>
      <c r="H465" s="23">
        <v>1.76282059401274E-2</v>
      </c>
      <c r="I465" s="24">
        <v>0.150641024112701</v>
      </c>
      <c r="J465" s="24">
        <v>0.79807692766189497</v>
      </c>
      <c r="K465" s="23">
        <v>6.4102564938365997E-3</v>
      </c>
      <c r="L465" s="23">
        <v>9.6153849735856004E-3</v>
      </c>
      <c r="M465" s="23">
        <v>1.76282059401274E-2</v>
      </c>
      <c r="N465" s="23">
        <v>0</v>
      </c>
      <c r="O465" s="24">
        <v>0.267628192901611</v>
      </c>
      <c r="P465" s="24">
        <v>0.35576921701431202</v>
      </c>
      <c r="Q465" s="24">
        <v>0.94070512056350697</v>
      </c>
      <c r="R465" s="25">
        <v>0.10897435897435898</v>
      </c>
      <c r="S465" s="25">
        <v>0</v>
      </c>
      <c r="T465" s="25">
        <v>0.15064102564102563</v>
      </c>
    </row>
    <row r="466" spans="1:20" x14ac:dyDescent="0.25">
      <c r="A466" s="8" t="s">
        <v>998</v>
      </c>
      <c r="B466" s="8" t="s">
        <v>999</v>
      </c>
      <c r="C466" s="8" t="s">
        <v>3540</v>
      </c>
      <c r="D466" s="8">
        <v>146</v>
      </c>
      <c r="E466" s="24">
        <v>0.49315068125724698</v>
      </c>
      <c r="F466" s="24">
        <v>0.50684928894042902</v>
      </c>
      <c r="G466" s="23">
        <v>0</v>
      </c>
      <c r="H466" s="23">
        <v>0</v>
      </c>
      <c r="I466" s="24">
        <v>0.28082191944122298</v>
      </c>
      <c r="J466" s="23">
        <v>0.66438359022140503</v>
      </c>
      <c r="K466" s="23">
        <v>0</v>
      </c>
      <c r="L466" s="23">
        <v>2.0547945052385299E-2</v>
      </c>
      <c r="M466" s="23">
        <v>3.4246575087308898E-2</v>
      </c>
      <c r="N466" s="23">
        <v>0</v>
      </c>
      <c r="O466" s="24">
        <v>0.15753424167633001</v>
      </c>
      <c r="P466" s="24">
        <v>0.10273972898721601</v>
      </c>
      <c r="Q466" s="24">
        <v>0.98630136251449496</v>
      </c>
      <c r="R466" s="25">
        <v>0</v>
      </c>
      <c r="S466" s="25">
        <v>0</v>
      </c>
      <c r="T466" s="25">
        <v>0.15753424657534246</v>
      </c>
    </row>
    <row r="467" spans="1:20" x14ac:dyDescent="0.25">
      <c r="A467" s="8" t="s">
        <v>1001</v>
      </c>
      <c r="B467" s="8" t="s">
        <v>1002</v>
      </c>
      <c r="C467" s="8" t="s">
        <v>3540</v>
      </c>
      <c r="D467" s="8">
        <v>336</v>
      </c>
      <c r="E467" s="24">
        <v>0.47916665673255898</v>
      </c>
      <c r="F467" s="24">
        <v>0.52083331346511796</v>
      </c>
      <c r="G467" s="23">
        <v>0</v>
      </c>
      <c r="H467" s="23">
        <v>1.7857143655419301E-2</v>
      </c>
      <c r="I467" s="23">
        <v>0.1875</v>
      </c>
      <c r="J467" s="24">
        <v>0.77083331346511796</v>
      </c>
      <c r="K467" s="23">
        <v>2.9761905316262999E-3</v>
      </c>
      <c r="L467" s="23">
        <v>8.9285718277097009E-3</v>
      </c>
      <c r="M467" s="23">
        <v>1.1904762126505399E-2</v>
      </c>
      <c r="N467" s="23">
        <v>0</v>
      </c>
      <c r="O467" s="24">
        <v>0.23809523880481701</v>
      </c>
      <c r="P467" s="24">
        <v>0.22619047760963401</v>
      </c>
      <c r="Q467" s="23">
        <v>0.96130955219268799</v>
      </c>
      <c r="R467" s="25">
        <v>7.1428571428571425E-2</v>
      </c>
      <c r="S467" s="25">
        <v>2.976190476190476E-3</v>
      </c>
      <c r="T467" s="25">
        <v>0.15178571428571427</v>
      </c>
    </row>
    <row r="468" spans="1:20" x14ac:dyDescent="0.25">
      <c r="A468" s="8" t="s">
        <v>1003</v>
      </c>
      <c r="B468" s="8" t="s">
        <v>1004</v>
      </c>
      <c r="C468" s="8" t="s">
        <v>3540</v>
      </c>
      <c r="D468" s="8">
        <v>614</v>
      </c>
      <c r="E468" s="24">
        <v>0.449511408805847</v>
      </c>
      <c r="F468" s="24">
        <v>0.55048859119415205</v>
      </c>
      <c r="G468" s="23">
        <v>0</v>
      </c>
      <c r="H468" s="24">
        <v>0.20358306169509799</v>
      </c>
      <c r="I468" s="23">
        <v>7.9804562032222706E-2</v>
      </c>
      <c r="J468" s="24">
        <v>0.61237782239913896</v>
      </c>
      <c r="K468" s="23">
        <v>2.1172638982534402E-2</v>
      </c>
      <c r="L468" s="23">
        <v>1.1400651186704599E-2</v>
      </c>
      <c r="M468" s="23">
        <v>7.1661241352558094E-2</v>
      </c>
      <c r="N468" s="23">
        <v>0</v>
      </c>
      <c r="O468" s="24">
        <v>0.26058632135391202</v>
      </c>
      <c r="P468" s="24">
        <v>0.21986970305442799</v>
      </c>
      <c r="Q468" s="24">
        <v>0.899022817611694</v>
      </c>
      <c r="R468" s="25">
        <v>7.9804560260586313E-2</v>
      </c>
      <c r="S468" s="25">
        <v>0</v>
      </c>
      <c r="T468" s="25">
        <v>0.19543973941368079</v>
      </c>
    </row>
    <row r="469" spans="1:20" x14ac:dyDescent="0.25">
      <c r="A469" s="8" t="s">
        <v>1005</v>
      </c>
      <c r="B469" s="8" t="s">
        <v>1006</v>
      </c>
      <c r="C469" s="8" t="s">
        <v>3540</v>
      </c>
      <c r="D469" s="8">
        <v>360</v>
      </c>
      <c r="E469" s="24">
        <v>0.47222220897674499</v>
      </c>
      <c r="F469" s="24">
        <v>0.52777779102325395</v>
      </c>
      <c r="G469" s="23">
        <v>0</v>
      </c>
      <c r="H469" s="23">
        <v>0</v>
      </c>
      <c r="I469" s="24">
        <v>0.30277776718139598</v>
      </c>
      <c r="J469" s="24">
        <v>0.66944444179534901</v>
      </c>
      <c r="K469" s="23">
        <v>5.5555556900798997E-3</v>
      </c>
      <c r="L469" s="23">
        <v>8.3333337679505001E-3</v>
      </c>
      <c r="M469" s="23">
        <v>1.3888888992369199E-2</v>
      </c>
      <c r="N469" s="23">
        <v>0</v>
      </c>
      <c r="O469" s="24">
        <v>0.32222223281860302</v>
      </c>
      <c r="P469" s="24">
        <v>0.230555549263954</v>
      </c>
      <c r="Q469" s="23">
        <v>0.98055553436279297</v>
      </c>
      <c r="R469" s="25">
        <v>0.16666666666666666</v>
      </c>
      <c r="S469" s="25">
        <v>2.7777777777777779E-3</v>
      </c>
      <c r="T469" s="25">
        <v>0.13333333333333333</v>
      </c>
    </row>
    <row r="470" spans="1:20" x14ac:dyDescent="0.25">
      <c r="A470" s="8" t="s">
        <v>1007</v>
      </c>
      <c r="B470" s="8" t="s">
        <v>1008</v>
      </c>
      <c r="C470" s="8" t="s">
        <v>3540</v>
      </c>
      <c r="D470" s="8">
        <v>437</v>
      </c>
      <c r="E470" s="24">
        <v>0.50343251228332497</v>
      </c>
      <c r="F470" s="24">
        <v>0.49656751751899703</v>
      </c>
      <c r="G470" s="23">
        <v>0</v>
      </c>
      <c r="H470" s="24">
        <v>0.17620137333869901</v>
      </c>
      <c r="I470" s="23">
        <v>4.8054918646812397E-2</v>
      </c>
      <c r="J470" s="24">
        <v>0.68649888038635198</v>
      </c>
      <c r="K470" s="23">
        <v>4.5766588300466997E-3</v>
      </c>
      <c r="L470" s="23">
        <v>1.6018306836485901E-2</v>
      </c>
      <c r="M470" s="23">
        <v>6.8649888038635296E-2</v>
      </c>
      <c r="N470" s="23">
        <v>0</v>
      </c>
      <c r="O470" s="24">
        <v>0.21967963874339999</v>
      </c>
      <c r="P470" s="24">
        <v>0.33180779218673701</v>
      </c>
      <c r="Q470" s="24">
        <v>0.883295178413391</v>
      </c>
      <c r="R470" s="25">
        <v>6.4073226544622428E-2</v>
      </c>
      <c r="S470" s="25">
        <v>1.3729977116704805E-2</v>
      </c>
      <c r="T470" s="25">
        <v>0.13043478260869565</v>
      </c>
    </row>
    <row r="471" spans="1:20" x14ac:dyDescent="0.25">
      <c r="A471" s="8" t="s">
        <v>1009</v>
      </c>
      <c r="B471" s="8" t="s">
        <v>1010</v>
      </c>
      <c r="C471" s="8" t="s">
        <v>3540</v>
      </c>
      <c r="D471" s="8">
        <v>570</v>
      </c>
      <c r="E471" s="24">
        <v>0.43859648704528797</v>
      </c>
      <c r="F471" s="24">
        <v>0.56140351295471103</v>
      </c>
      <c r="G471" s="23">
        <v>0</v>
      </c>
      <c r="H471" s="23">
        <v>5.4385963827371597E-2</v>
      </c>
      <c r="I471" s="24">
        <v>0.11754386126995001</v>
      </c>
      <c r="J471" s="24">
        <v>0.79122805595397905</v>
      </c>
      <c r="K471" s="23">
        <v>0</v>
      </c>
      <c r="L471" s="23">
        <v>8.7719298899173997E-3</v>
      </c>
      <c r="M471" s="23">
        <v>2.8070176020264601E-2</v>
      </c>
      <c r="N471" s="23">
        <v>0</v>
      </c>
      <c r="O471" s="24">
        <v>0.221052631735801</v>
      </c>
      <c r="P471" s="23">
        <v>0.34035086631774902</v>
      </c>
      <c r="Q471" s="24">
        <v>0.94912278652191095</v>
      </c>
      <c r="R471" s="25">
        <v>5.263157894736842E-3</v>
      </c>
      <c r="S471" s="25">
        <v>9.8245614035087719E-2</v>
      </c>
      <c r="T471" s="25">
        <v>0.12456140350877193</v>
      </c>
    </row>
    <row r="472" spans="1:20" x14ac:dyDescent="0.25">
      <c r="A472" s="8" t="s">
        <v>1011</v>
      </c>
      <c r="B472" s="8" t="s">
        <v>1012</v>
      </c>
      <c r="C472" s="8" t="s">
        <v>3540</v>
      </c>
      <c r="D472" s="8">
        <v>716</v>
      </c>
      <c r="E472" s="24">
        <v>0.473463684320449</v>
      </c>
      <c r="F472" s="24">
        <v>0.52653628587722701</v>
      </c>
      <c r="G472" s="23">
        <v>0</v>
      </c>
      <c r="H472" s="23">
        <v>5.8659218251705197E-2</v>
      </c>
      <c r="I472" s="23">
        <v>7.5418993830680806E-2</v>
      </c>
      <c r="J472" s="24">
        <v>0.47625699639320301</v>
      </c>
      <c r="K472" s="23">
        <v>5.1675979048013701E-2</v>
      </c>
      <c r="L472" s="23">
        <v>4.1899443604051997E-3</v>
      </c>
      <c r="M472" s="23">
        <v>0.33240222930908198</v>
      </c>
      <c r="N472" s="23">
        <v>1.3966480037197E-3</v>
      </c>
      <c r="O472" s="24">
        <v>0.21787708997726399</v>
      </c>
      <c r="P472" s="23">
        <v>6.4245812594890594E-2</v>
      </c>
      <c r="Q472" s="24">
        <v>0.43156424164772</v>
      </c>
      <c r="R472" s="25">
        <v>6.5642458100558659E-2</v>
      </c>
      <c r="S472" s="25">
        <v>0</v>
      </c>
      <c r="T472" s="25">
        <v>0.15642458100558659</v>
      </c>
    </row>
    <row r="473" spans="1:20" x14ac:dyDescent="0.25">
      <c r="A473" s="8" t="s">
        <v>1013</v>
      </c>
      <c r="B473" s="8" t="s">
        <v>1014</v>
      </c>
      <c r="C473" s="8" t="s">
        <v>3540</v>
      </c>
      <c r="D473" s="8">
        <v>688</v>
      </c>
      <c r="E473" s="24">
        <v>0.49127906560897799</v>
      </c>
      <c r="F473" s="24">
        <v>0.50872093439102095</v>
      </c>
      <c r="G473" s="23">
        <v>0</v>
      </c>
      <c r="H473" s="23">
        <v>8.7209306657314006E-3</v>
      </c>
      <c r="I473" s="24">
        <v>0.28779068589210499</v>
      </c>
      <c r="J473" s="24">
        <v>0.68604654073715199</v>
      </c>
      <c r="K473" s="23">
        <v>5.8139534667133999E-3</v>
      </c>
      <c r="L473" s="23">
        <v>5.8139534667133999E-3</v>
      </c>
      <c r="M473" s="23">
        <v>5.8139534667133999E-3</v>
      </c>
      <c r="N473" s="23">
        <v>0</v>
      </c>
      <c r="O473" s="24">
        <v>0.20058140158653201</v>
      </c>
      <c r="P473" s="24">
        <v>0.26889535784721302</v>
      </c>
      <c r="Q473" s="24">
        <v>0.96366280317306496</v>
      </c>
      <c r="R473" s="25">
        <v>8.1395348837209308E-2</v>
      </c>
      <c r="S473" s="25">
        <v>1.4534883720930232E-3</v>
      </c>
      <c r="T473" s="25">
        <v>0.12209302325581395</v>
      </c>
    </row>
    <row r="474" spans="1:20" x14ac:dyDescent="0.25">
      <c r="A474" s="8" t="s">
        <v>1015</v>
      </c>
      <c r="B474" s="8" t="s">
        <v>1016</v>
      </c>
      <c r="C474" s="8" t="s">
        <v>3540</v>
      </c>
      <c r="D474" s="8">
        <v>1107</v>
      </c>
      <c r="E474" s="23">
        <v>0.48419150710105902</v>
      </c>
      <c r="F474" s="24">
        <v>0.51580846309661799</v>
      </c>
      <c r="G474" s="23">
        <v>0</v>
      </c>
      <c r="H474" s="23">
        <v>2.6196928694844201E-2</v>
      </c>
      <c r="I474" s="23">
        <v>6.4137309789657607E-2</v>
      </c>
      <c r="J474" s="24">
        <v>0.87804877758026101</v>
      </c>
      <c r="K474" s="23">
        <v>8.1300809979439007E-3</v>
      </c>
      <c r="L474" s="23">
        <v>5.4200543090700999E-3</v>
      </c>
      <c r="M474" s="23">
        <v>1.8066847696900399E-2</v>
      </c>
      <c r="N474" s="23">
        <v>0</v>
      </c>
      <c r="O474" s="24">
        <v>0.276422768831253</v>
      </c>
      <c r="P474" s="24">
        <v>0.355916887521743</v>
      </c>
      <c r="Q474" s="24">
        <v>0.95031619071960405</v>
      </c>
      <c r="R474" s="25">
        <v>0.12285456187895212</v>
      </c>
      <c r="S474" s="25">
        <v>1.8066847335140017E-3</v>
      </c>
      <c r="T474" s="25">
        <v>0.14724480578139115</v>
      </c>
    </row>
    <row r="475" spans="1:20" x14ac:dyDescent="0.25">
      <c r="A475" s="8" t="s">
        <v>1017</v>
      </c>
      <c r="B475" s="8" t="s">
        <v>1018</v>
      </c>
      <c r="C475" s="8" t="s">
        <v>3540</v>
      </c>
      <c r="D475" s="8">
        <v>354</v>
      </c>
      <c r="E475" s="24">
        <v>0.49717512726783702</v>
      </c>
      <c r="F475" s="24">
        <v>0.50282484292983998</v>
      </c>
      <c r="G475" s="23">
        <v>0</v>
      </c>
      <c r="H475" s="23">
        <v>3.3898305147886297E-2</v>
      </c>
      <c r="I475" s="24">
        <v>0.10451977699995001</v>
      </c>
      <c r="J475" s="24">
        <v>0.80790960788726796</v>
      </c>
      <c r="K475" s="23">
        <v>2.8248587623239002E-3</v>
      </c>
      <c r="L475" s="23">
        <v>2.2598870098590899E-2</v>
      </c>
      <c r="M475" s="23">
        <v>2.8248587623238602E-2</v>
      </c>
      <c r="N475" s="23">
        <v>0</v>
      </c>
      <c r="O475" s="24">
        <v>0.322033911943435</v>
      </c>
      <c r="P475" s="23">
        <v>0.40395480394363398</v>
      </c>
      <c r="Q475" s="24">
        <v>0.97740113735198897</v>
      </c>
      <c r="R475" s="25">
        <v>0.14971751412429379</v>
      </c>
      <c r="S475" s="25">
        <v>0</v>
      </c>
      <c r="T475" s="25">
        <v>0.1807909604519774</v>
      </c>
    </row>
    <row r="476" spans="1:20" x14ac:dyDescent="0.25">
      <c r="A476" s="8" t="s">
        <v>1019</v>
      </c>
      <c r="B476" s="8" t="s">
        <v>1020</v>
      </c>
      <c r="C476" s="8" t="s">
        <v>3540</v>
      </c>
      <c r="D476" s="8">
        <v>753</v>
      </c>
      <c r="E476" s="24">
        <v>0.50597608089446999</v>
      </c>
      <c r="F476" s="24">
        <v>0.49402391910552901</v>
      </c>
      <c r="G476" s="23">
        <v>0</v>
      </c>
      <c r="H476" s="24">
        <v>0.110225766897201</v>
      </c>
      <c r="I476" s="24">
        <v>0.128818064928054</v>
      </c>
      <c r="J476" s="24">
        <v>0.723771572113037</v>
      </c>
      <c r="K476" s="23">
        <v>9.2961490154265993E-3</v>
      </c>
      <c r="L476" s="23">
        <v>1.32802128791809E-2</v>
      </c>
      <c r="M476" s="23">
        <v>1.4608234167099001E-2</v>
      </c>
      <c r="N476" s="23">
        <v>0</v>
      </c>
      <c r="O476" s="24">
        <v>0.25232404470443698</v>
      </c>
      <c r="P476" s="24">
        <v>0.290836662054061</v>
      </c>
      <c r="Q476" s="24">
        <v>0.95617532730102495</v>
      </c>
      <c r="R476" s="25">
        <v>8.3665338645418322E-2</v>
      </c>
      <c r="S476" s="25">
        <v>1.3280212483399733E-3</v>
      </c>
      <c r="T476" s="25">
        <v>0.1646746347941567</v>
      </c>
    </row>
    <row r="477" spans="1:20" x14ac:dyDescent="0.25">
      <c r="A477" s="8" t="s">
        <v>1021</v>
      </c>
      <c r="B477" s="8" t="s">
        <v>1022</v>
      </c>
      <c r="C477" s="8" t="s">
        <v>3540</v>
      </c>
      <c r="D477" s="8">
        <v>856</v>
      </c>
      <c r="E477" s="24">
        <v>0.47429907321929898</v>
      </c>
      <c r="F477" s="24">
        <v>0.52570092678070002</v>
      </c>
      <c r="G477" s="23">
        <v>0</v>
      </c>
      <c r="H477" s="23">
        <v>4.9065422266721698E-2</v>
      </c>
      <c r="I477" s="23">
        <v>0.15537382662296301</v>
      </c>
      <c r="J477" s="24">
        <v>0.75116825103759699</v>
      </c>
      <c r="K477" s="23">
        <v>9.3457940965891006E-3</v>
      </c>
      <c r="L477" s="23">
        <v>7.0093455724417999E-3</v>
      </c>
      <c r="M477" s="23">
        <v>2.5700934231281301E-2</v>
      </c>
      <c r="N477" s="23">
        <v>2.3364485241472999E-3</v>
      </c>
      <c r="O477" s="24">
        <v>0.23364485800266199</v>
      </c>
      <c r="P477" s="24">
        <v>0.24415887892246199</v>
      </c>
      <c r="Q477" s="24">
        <v>0.93925231695175104</v>
      </c>
      <c r="R477" s="25">
        <v>9.4626168224299062E-2</v>
      </c>
      <c r="S477" s="25">
        <v>1.1682242990654205E-3</v>
      </c>
      <c r="T477" s="25">
        <v>0.14369158878504673</v>
      </c>
    </row>
    <row r="478" spans="1:20" x14ac:dyDescent="0.25">
      <c r="A478" s="8" t="s">
        <v>1023</v>
      </c>
      <c r="B478" s="8" t="s">
        <v>1024</v>
      </c>
      <c r="C478" s="8" t="s">
        <v>3540</v>
      </c>
      <c r="D478" s="8">
        <v>470</v>
      </c>
      <c r="E478" s="24">
        <v>0.52553188800811701</v>
      </c>
      <c r="F478" s="24">
        <v>0.47446808218955899</v>
      </c>
      <c r="G478" s="23">
        <v>0</v>
      </c>
      <c r="H478" s="24">
        <v>0.155319154262542</v>
      </c>
      <c r="I478" s="24">
        <v>0.21276596188545199</v>
      </c>
      <c r="J478" s="24">
        <v>0.56808513402938798</v>
      </c>
      <c r="K478" s="23">
        <v>8.5106380283833001E-3</v>
      </c>
      <c r="L478" s="23">
        <v>2.7659574523568198E-2</v>
      </c>
      <c r="M478" s="23">
        <v>2.7659574523568198E-2</v>
      </c>
      <c r="N478" s="23">
        <v>0</v>
      </c>
      <c r="O478" s="24">
        <v>0.191489368677139</v>
      </c>
      <c r="P478" s="24">
        <v>0.20638297498226099</v>
      </c>
      <c r="Q478" s="23">
        <v>0.93617022037506104</v>
      </c>
      <c r="R478" s="25">
        <v>0</v>
      </c>
      <c r="S478" s="25">
        <v>7.4468085106382975E-2</v>
      </c>
      <c r="T478" s="25">
        <v>0.12127659574468085</v>
      </c>
    </row>
    <row r="479" spans="1:20" x14ac:dyDescent="0.25">
      <c r="A479" s="8" t="s">
        <v>1025</v>
      </c>
      <c r="B479" s="8" t="s">
        <v>1026</v>
      </c>
      <c r="C479" s="8" t="s">
        <v>3540</v>
      </c>
      <c r="D479" s="8">
        <v>1377</v>
      </c>
      <c r="E479" s="24">
        <v>0.46332606673240601</v>
      </c>
      <c r="F479" s="23">
        <v>0.536673903465271</v>
      </c>
      <c r="G479" s="23">
        <v>0</v>
      </c>
      <c r="H479" s="23">
        <v>6.2454611063003498E-2</v>
      </c>
      <c r="I479" s="23">
        <v>9.1503269970416995E-2</v>
      </c>
      <c r="J479" s="24">
        <v>0.61002177000045699</v>
      </c>
      <c r="K479" s="23">
        <v>2.8322439640760401E-2</v>
      </c>
      <c r="L479" s="23">
        <v>5.8097313158213997E-3</v>
      </c>
      <c r="M479" s="24">
        <v>0.20116195082664401</v>
      </c>
      <c r="N479" s="23">
        <v>7.2621641447770001E-4</v>
      </c>
      <c r="O479" s="24">
        <v>0.18591140210628501</v>
      </c>
      <c r="P479" s="23">
        <v>6.3180826604366302E-2</v>
      </c>
      <c r="Q479" s="24">
        <v>0.57225853204727095</v>
      </c>
      <c r="R479" s="25">
        <v>9.44081336238199E-3</v>
      </c>
      <c r="S479" s="25">
        <v>4.6477850399419027E-2</v>
      </c>
      <c r="T479" s="25">
        <v>0.12854030501089325</v>
      </c>
    </row>
    <row r="480" spans="1:20" x14ac:dyDescent="0.25">
      <c r="A480" s="8" t="s">
        <v>1027</v>
      </c>
      <c r="B480" s="8" t="s">
        <v>1028</v>
      </c>
      <c r="C480" s="8" t="s">
        <v>3540</v>
      </c>
      <c r="D480" s="8">
        <v>138</v>
      </c>
      <c r="E480" s="24">
        <v>0.52898550033569303</v>
      </c>
      <c r="F480" s="24">
        <v>0.47101449966430597</v>
      </c>
      <c r="G480" s="23">
        <v>0</v>
      </c>
      <c r="H480" s="23">
        <v>0</v>
      </c>
      <c r="I480" s="24">
        <v>0.123188406229019</v>
      </c>
      <c r="J480" s="24">
        <v>0.869565188884735</v>
      </c>
      <c r="K480" s="23">
        <v>0</v>
      </c>
      <c r="L480" s="23">
        <v>7.2463769465685004E-3</v>
      </c>
      <c r="M480" s="23">
        <v>0</v>
      </c>
      <c r="N480" s="23">
        <v>0</v>
      </c>
      <c r="O480" s="24">
        <v>0.246376812458038</v>
      </c>
      <c r="P480" s="24">
        <v>0.31884059309959401</v>
      </c>
      <c r="Q480" s="24">
        <v>0.97101449966430597</v>
      </c>
      <c r="R480" s="25">
        <v>0</v>
      </c>
      <c r="S480" s="25">
        <v>0</v>
      </c>
      <c r="T480" s="25">
        <v>0.25362318840579712</v>
      </c>
    </row>
    <row r="481" spans="1:20" x14ac:dyDescent="0.25">
      <c r="A481" s="8" t="s">
        <v>1029</v>
      </c>
      <c r="B481" s="8" t="s">
        <v>1030</v>
      </c>
      <c r="C481" s="8" t="s">
        <v>3540</v>
      </c>
      <c r="D481" s="8">
        <v>508</v>
      </c>
      <c r="E481" s="24">
        <v>0.49606299400329501</v>
      </c>
      <c r="F481" s="24">
        <v>0.50393700599670399</v>
      </c>
      <c r="G481" s="23">
        <v>0</v>
      </c>
      <c r="H481" s="23">
        <v>1.37795275077224E-2</v>
      </c>
      <c r="I481" s="24">
        <v>0.137795269489288</v>
      </c>
      <c r="J481" s="24">
        <v>0.79133856296539296</v>
      </c>
      <c r="K481" s="23">
        <v>5.9055117890238996E-3</v>
      </c>
      <c r="L481" s="23">
        <v>7.8740157186984999E-3</v>
      </c>
      <c r="M481" s="23">
        <v>4.3307088315486901E-2</v>
      </c>
      <c r="N481" s="23">
        <v>0</v>
      </c>
      <c r="O481" s="24">
        <v>0.28346458077430697</v>
      </c>
      <c r="P481" s="24">
        <v>0.30511811375617898</v>
      </c>
      <c r="Q481" s="24">
        <v>0.95669293403625399</v>
      </c>
      <c r="R481" s="25">
        <v>0.14173228346456693</v>
      </c>
      <c r="S481" s="25">
        <v>0</v>
      </c>
      <c r="T481" s="25">
        <v>0.15748031496062992</v>
      </c>
    </row>
    <row r="482" spans="1:20" x14ac:dyDescent="0.25">
      <c r="A482" s="8" t="s">
        <v>1031</v>
      </c>
      <c r="B482" s="8" t="s">
        <v>1032</v>
      </c>
      <c r="C482" s="8" t="s">
        <v>3540</v>
      </c>
      <c r="D482" s="8">
        <v>235</v>
      </c>
      <c r="E482" s="24">
        <v>0.47234043478965698</v>
      </c>
      <c r="F482" s="24">
        <v>0.52765959501266402</v>
      </c>
      <c r="G482" s="23">
        <v>0</v>
      </c>
      <c r="H482" s="23">
        <v>0</v>
      </c>
      <c r="I482" s="24">
        <v>0.110638298094272</v>
      </c>
      <c r="J482" s="24">
        <v>0.87234044075012196</v>
      </c>
      <c r="K482" s="23">
        <v>4.2553190141915997E-3</v>
      </c>
      <c r="L482" s="23">
        <v>4.2553190141915997E-3</v>
      </c>
      <c r="M482" s="23">
        <v>8.5106380283833001E-3</v>
      </c>
      <c r="N482" s="23">
        <v>0</v>
      </c>
      <c r="O482" s="24">
        <v>0.32340425252914401</v>
      </c>
      <c r="P482" s="24">
        <v>0.38723403215408297</v>
      </c>
      <c r="Q482" s="23">
        <v>0.97872340679168701</v>
      </c>
      <c r="R482" s="25">
        <v>0</v>
      </c>
      <c r="S482" s="25">
        <v>0.17872340425531916</v>
      </c>
      <c r="T482" s="25">
        <v>0.14893617021276595</v>
      </c>
    </row>
    <row r="483" spans="1:20" x14ac:dyDescent="0.25">
      <c r="A483" s="8" t="s">
        <v>1033</v>
      </c>
      <c r="B483" s="8" t="s">
        <v>1034</v>
      </c>
      <c r="C483" s="8" t="s">
        <v>3540</v>
      </c>
      <c r="D483" s="8">
        <v>378</v>
      </c>
      <c r="E483" s="24">
        <v>0.48677247762679998</v>
      </c>
      <c r="F483" s="24">
        <v>0.51322752237319902</v>
      </c>
      <c r="G483" s="23">
        <v>0</v>
      </c>
      <c r="H483" s="23">
        <v>2.3809524253010701E-2</v>
      </c>
      <c r="I483" s="24">
        <v>0.111111111938953</v>
      </c>
      <c r="J483" s="24">
        <v>0.79365080595016402</v>
      </c>
      <c r="K483" s="23">
        <v>7.9365083947778008E-3</v>
      </c>
      <c r="L483" s="23">
        <v>2.6455025654285999E-3</v>
      </c>
      <c r="M483" s="23">
        <v>6.0846559703350102E-2</v>
      </c>
      <c r="N483" s="23">
        <v>0</v>
      </c>
      <c r="O483" s="24">
        <v>0.21693122386932301</v>
      </c>
      <c r="P483" s="24">
        <v>0.22486773133277799</v>
      </c>
      <c r="Q483" s="24">
        <v>0.95767194032669001</v>
      </c>
      <c r="R483" s="25">
        <v>7.9365079365079361E-3</v>
      </c>
      <c r="S483" s="25">
        <v>0</v>
      </c>
      <c r="T483" s="25">
        <v>0.1984126984126984</v>
      </c>
    </row>
    <row r="484" spans="1:20" x14ac:dyDescent="0.25">
      <c r="A484" s="8" t="s">
        <v>1035</v>
      </c>
      <c r="B484" s="8" t="s">
        <v>1036</v>
      </c>
      <c r="C484" s="8" t="s">
        <v>3540</v>
      </c>
      <c r="D484" s="8">
        <v>166</v>
      </c>
      <c r="E484" s="24">
        <v>0.55421686172485296</v>
      </c>
      <c r="F484" s="24">
        <v>0.44578313827514598</v>
      </c>
      <c r="G484" s="23">
        <v>0</v>
      </c>
      <c r="H484" s="23">
        <v>1.20481923222542E-2</v>
      </c>
      <c r="I484" s="24">
        <v>0.15060241520404799</v>
      </c>
      <c r="J484" s="24">
        <v>0.77108430862426702</v>
      </c>
      <c r="K484" s="23">
        <v>1.8072288483381299E-2</v>
      </c>
      <c r="L484" s="23">
        <v>6.0240961611271E-3</v>
      </c>
      <c r="M484" s="23">
        <v>4.2168673127889598E-2</v>
      </c>
      <c r="N484" s="23">
        <v>0</v>
      </c>
      <c r="O484" s="24">
        <v>0.21686747670173601</v>
      </c>
      <c r="P484" s="24">
        <v>0.21686747670173601</v>
      </c>
      <c r="Q484" s="24">
        <v>0.99397587776184004</v>
      </c>
      <c r="R484" s="25">
        <v>6.024096385542169E-3</v>
      </c>
      <c r="S484" s="25">
        <v>6.6265060240963861E-2</v>
      </c>
      <c r="T484" s="25">
        <v>0.10843373493975904</v>
      </c>
    </row>
    <row r="485" spans="1:20" x14ac:dyDescent="0.25">
      <c r="A485" s="8" t="s">
        <v>1037</v>
      </c>
      <c r="B485" s="8" t="s">
        <v>1038</v>
      </c>
      <c r="C485" s="8" t="s">
        <v>3540</v>
      </c>
      <c r="D485" s="8">
        <v>341</v>
      </c>
      <c r="E485" s="24">
        <v>0.20821113884449</v>
      </c>
      <c r="F485" s="24">
        <v>0.79178887605667103</v>
      </c>
      <c r="G485" s="23">
        <v>0</v>
      </c>
      <c r="H485" s="23">
        <v>4.9853373318910599E-2</v>
      </c>
      <c r="I485" s="24">
        <v>0.25513195991516102</v>
      </c>
      <c r="J485" s="24">
        <v>0.64516127109527499</v>
      </c>
      <c r="K485" s="23">
        <v>0</v>
      </c>
      <c r="L485" s="23">
        <v>1.17302052676678E-2</v>
      </c>
      <c r="M485" s="23">
        <v>3.2258063554763801E-2</v>
      </c>
      <c r="N485" s="23">
        <v>5.8651026338338999E-3</v>
      </c>
      <c r="O485" s="24">
        <v>0.35483869910240101</v>
      </c>
      <c r="P485" s="24">
        <v>0.12023460119962601</v>
      </c>
      <c r="Q485" s="24">
        <v>0.97653961181640603</v>
      </c>
      <c r="R485" s="25">
        <v>0</v>
      </c>
      <c r="S485" s="25">
        <v>0</v>
      </c>
      <c r="T485" s="25">
        <v>0.3255131964809384</v>
      </c>
    </row>
    <row r="486" spans="1:20" x14ac:dyDescent="0.25">
      <c r="A486" s="8" t="s">
        <v>1039</v>
      </c>
      <c r="B486" s="8" t="s">
        <v>1040</v>
      </c>
      <c r="C486" s="8" t="s">
        <v>3540</v>
      </c>
      <c r="D486" s="8">
        <v>428</v>
      </c>
      <c r="E486" s="24">
        <v>0.69158875942230202</v>
      </c>
      <c r="F486" s="24">
        <v>0.30841121077537498</v>
      </c>
      <c r="G486" s="23">
        <v>0</v>
      </c>
      <c r="H486" s="23">
        <v>4.6728970482945E-3</v>
      </c>
      <c r="I486" s="24">
        <v>0.24766355752944899</v>
      </c>
      <c r="J486" s="24">
        <v>0.71028035879135099</v>
      </c>
      <c r="K486" s="23">
        <v>2.3364485241472999E-3</v>
      </c>
      <c r="L486" s="23">
        <v>4.6728970482945E-3</v>
      </c>
      <c r="M486" s="23">
        <v>9.3457940965891006E-3</v>
      </c>
      <c r="N486" s="23">
        <v>2.1028038114309301E-2</v>
      </c>
      <c r="O486" s="24">
        <v>0.28037384152412398</v>
      </c>
      <c r="P486" s="23">
        <v>7.2429902851581601E-2</v>
      </c>
      <c r="Q486" s="24">
        <v>0.95327103137969904</v>
      </c>
      <c r="R486" s="25">
        <v>7.0093457943925233E-3</v>
      </c>
      <c r="S486" s="25">
        <v>2.336448598130841E-2</v>
      </c>
      <c r="T486" s="25">
        <v>0.2219626168224299</v>
      </c>
    </row>
    <row r="487" spans="1:20" x14ac:dyDescent="0.25">
      <c r="A487" s="8" t="s">
        <v>1041</v>
      </c>
      <c r="B487" s="8" t="s">
        <v>1042</v>
      </c>
      <c r="C487" s="8" t="s">
        <v>3540</v>
      </c>
      <c r="D487" s="8">
        <v>314</v>
      </c>
      <c r="E487" s="24">
        <v>0.47452229261398299</v>
      </c>
      <c r="F487" s="24">
        <v>0.52547770738601596</v>
      </c>
      <c r="G487" s="23">
        <v>0</v>
      </c>
      <c r="H487" s="23">
        <v>9.5541402697562998E-3</v>
      </c>
      <c r="I487" s="24">
        <v>0.165605098009109</v>
      </c>
      <c r="J487" s="23">
        <v>0.80891722440719604</v>
      </c>
      <c r="K487" s="23">
        <v>0</v>
      </c>
      <c r="L487" s="23">
        <v>6.3694268465042002E-3</v>
      </c>
      <c r="M487" s="23">
        <v>9.5541402697562998E-3</v>
      </c>
      <c r="N487" s="23">
        <v>0</v>
      </c>
      <c r="O487" s="23">
        <v>0.16878980398178101</v>
      </c>
      <c r="P487" s="24">
        <v>0.32802549004554699</v>
      </c>
      <c r="Q487" s="24">
        <v>0.96178346872329701</v>
      </c>
      <c r="R487" s="25">
        <v>3.1847133757961783E-2</v>
      </c>
      <c r="S487" s="25">
        <v>5.4140127388535034E-2</v>
      </c>
      <c r="T487" s="25">
        <v>8.598726114649681E-2</v>
      </c>
    </row>
    <row r="488" spans="1:20" x14ac:dyDescent="0.25">
      <c r="A488" s="8" t="s">
        <v>1043</v>
      </c>
      <c r="B488" s="8" t="s">
        <v>1044</v>
      </c>
      <c r="C488" s="8" t="s">
        <v>3540</v>
      </c>
      <c r="D488" s="8">
        <v>396</v>
      </c>
      <c r="E488" s="24">
        <v>0.53282827138900701</v>
      </c>
      <c r="F488" s="24">
        <v>0.46717172861099199</v>
      </c>
      <c r="G488" s="23">
        <v>0</v>
      </c>
      <c r="H488" s="23">
        <v>7.3232322931289701E-2</v>
      </c>
      <c r="I488" s="24">
        <v>0.14141413569450301</v>
      </c>
      <c r="J488" s="24">
        <v>0.73737370967864901</v>
      </c>
      <c r="K488" s="23">
        <v>2.5252525229007001E-3</v>
      </c>
      <c r="L488" s="23">
        <v>1.2626262381672901E-2</v>
      </c>
      <c r="M488" s="23">
        <v>3.2828282564878498E-2</v>
      </c>
      <c r="N488" s="23">
        <v>0</v>
      </c>
      <c r="O488" s="24">
        <v>0.19191919267177501</v>
      </c>
      <c r="P488" s="23">
        <v>5.0505049526691402E-2</v>
      </c>
      <c r="Q488" s="24">
        <v>0.92676764726638705</v>
      </c>
      <c r="R488" s="25">
        <v>1.7676767676767676E-2</v>
      </c>
      <c r="S488" s="25">
        <v>0</v>
      </c>
      <c r="T488" s="25">
        <v>0.16666666666666666</v>
      </c>
    </row>
    <row r="489" spans="1:20" x14ac:dyDescent="0.25">
      <c r="A489" s="8" t="s">
        <v>1045</v>
      </c>
      <c r="B489" s="8" t="s">
        <v>1046</v>
      </c>
      <c r="C489" s="8" t="s">
        <v>3540</v>
      </c>
      <c r="D489" s="8">
        <v>266</v>
      </c>
      <c r="E489" s="24">
        <v>0.75563907623291005</v>
      </c>
      <c r="F489" s="24">
        <v>0.24436090886592801</v>
      </c>
      <c r="G489" s="23">
        <v>0</v>
      </c>
      <c r="H489" s="23">
        <v>3.7593985907732998E-3</v>
      </c>
      <c r="I489" s="24">
        <v>0.26315790414810097</v>
      </c>
      <c r="J489" s="24">
        <v>0.68796992301940896</v>
      </c>
      <c r="K489" s="23">
        <v>7.5187971815467002E-3</v>
      </c>
      <c r="L489" s="23">
        <v>7.5187971815467002E-3</v>
      </c>
      <c r="M489" s="23">
        <v>3.0075188726186801E-2</v>
      </c>
      <c r="N489" s="23">
        <v>0</v>
      </c>
      <c r="O489" s="24">
        <v>0.27443608641624401</v>
      </c>
      <c r="P489" s="23">
        <v>0.169172927737236</v>
      </c>
      <c r="Q489" s="24">
        <v>0.943608999252319</v>
      </c>
      <c r="R489" s="25">
        <v>0</v>
      </c>
      <c r="S489" s="25">
        <v>1.8796992481203006E-2</v>
      </c>
      <c r="T489" s="25">
        <v>0.26315789473684209</v>
      </c>
    </row>
    <row r="490" spans="1:20" x14ac:dyDescent="0.25">
      <c r="A490" s="8" t="s">
        <v>1047</v>
      </c>
      <c r="B490" s="8" t="s">
        <v>1048</v>
      </c>
      <c r="C490" s="8" t="s">
        <v>3540</v>
      </c>
      <c r="D490" s="8">
        <v>573</v>
      </c>
      <c r="E490" s="24">
        <v>0.52530539035797097</v>
      </c>
      <c r="F490" s="24">
        <v>0.47469457983970598</v>
      </c>
      <c r="G490" s="23">
        <v>0</v>
      </c>
      <c r="H490" s="23">
        <v>6.9808028638362997E-3</v>
      </c>
      <c r="I490" s="24">
        <v>0.153577655553817</v>
      </c>
      <c r="J490" s="24">
        <v>0.82198953628539995</v>
      </c>
      <c r="K490" s="23">
        <v>3.4904014319181E-3</v>
      </c>
      <c r="L490" s="23">
        <v>1.7452007159591001E-3</v>
      </c>
      <c r="M490" s="23">
        <v>1.04712042957544E-2</v>
      </c>
      <c r="N490" s="23">
        <v>1.7452007159591001E-3</v>
      </c>
      <c r="O490" s="24">
        <v>0.27050611376762301</v>
      </c>
      <c r="P490" s="24">
        <v>0.18324607610702501</v>
      </c>
      <c r="Q490" s="24">
        <v>0.94764399528503396</v>
      </c>
      <c r="R490" s="25">
        <v>4.3630017452006981E-2</v>
      </c>
      <c r="S490" s="25">
        <v>5.7591623036649213E-2</v>
      </c>
      <c r="T490" s="25">
        <v>0.17626527050610821</v>
      </c>
    </row>
    <row r="491" spans="1:20" x14ac:dyDescent="0.25">
      <c r="A491" s="8" t="s">
        <v>1049</v>
      </c>
      <c r="B491" s="8" t="s">
        <v>1050</v>
      </c>
      <c r="C491" s="8" t="s">
        <v>3540</v>
      </c>
      <c r="D491" s="8">
        <v>563</v>
      </c>
      <c r="E491" s="24">
        <v>0.49555951356887801</v>
      </c>
      <c r="F491" s="24">
        <v>0.50444048643112105</v>
      </c>
      <c r="G491" s="23">
        <v>0</v>
      </c>
      <c r="H491" s="23">
        <v>1.9538188353180899E-2</v>
      </c>
      <c r="I491" s="23">
        <v>7.1047954261302906E-2</v>
      </c>
      <c r="J491" s="23">
        <v>0.87566608190536499</v>
      </c>
      <c r="K491" s="23">
        <v>7.1047958917916003E-3</v>
      </c>
      <c r="L491" s="23">
        <v>1.7761989729479001E-3</v>
      </c>
      <c r="M491" s="23">
        <v>2.4866785854101198E-2</v>
      </c>
      <c r="N491" s="23">
        <v>0</v>
      </c>
      <c r="O491" s="24">
        <v>0.25577265024185097</v>
      </c>
      <c r="P491" s="24">
        <v>0.24866785109043099</v>
      </c>
      <c r="Q491" s="24">
        <v>0.99289518594741799</v>
      </c>
      <c r="R491" s="25">
        <v>0.10124333925399645</v>
      </c>
      <c r="S491" s="25">
        <v>0</v>
      </c>
      <c r="T491" s="25">
        <v>0.16873889875666073</v>
      </c>
    </row>
    <row r="492" spans="1:20" x14ac:dyDescent="0.25">
      <c r="A492" s="8" t="s">
        <v>1051</v>
      </c>
      <c r="B492" s="8" t="s">
        <v>1052</v>
      </c>
      <c r="C492" s="8" t="s">
        <v>3540</v>
      </c>
      <c r="D492" s="8">
        <v>468</v>
      </c>
      <c r="E492" s="24">
        <v>0.45940169692039401</v>
      </c>
      <c r="F492" s="24">
        <v>0.54059827327728205</v>
      </c>
      <c r="G492" s="23">
        <v>0</v>
      </c>
      <c r="H492" s="23">
        <v>2.3504273965954801E-2</v>
      </c>
      <c r="I492" s="24">
        <v>0.100427351891994</v>
      </c>
      <c r="J492" s="24">
        <v>0.83333331346511796</v>
      </c>
      <c r="K492" s="23">
        <v>6.4102564938365997E-3</v>
      </c>
      <c r="L492" s="23">
        <v>0</v>
      </c>
      <c r="M492" s="23">
        <v>3.6324787884950603E-2</v>
      </c>
      <c r="N492" s="23">
        <v>0</v>
      </c>
      <c r="O492" s="23">
        <v>0.22008547186851499</v>
      </c>
      <c r="P492" s="24">
        <v>0.38888889551162698</v>
      </c>
      <c r="Q492" s="24">
        <v>0.97863245010375899</v>
      </c>
      <c r="R492" s="25">
        <v>7.0512820512820512E-2</v>
      </c>
      <c r="S492" s="25">
        <v>0</v>
      </c>
      <c r="T492" s="25">
        <v>0.14743589743589744</v>
      </c>
    </row>
    <row r="493" spans="1:20" x14ac:dyDescent="0.25">
      <c r="A493" s="8" t="s">
        <v>1053</v>
      </c>
      <c r="B493" s="8" t="s">
        <v>1054</v>
      </c>
      <c r="C493" s="8" t="s">
        <v>3540</v>
      </c>
      <c r="D493" s="8">
        <v>414</v>
      </c>
      <c r="E493" s="23">
        <v>0.483091801404953</v>
      </c>
      <c r="F493" s="24">
        <v>0.51690822839736905</v>
      </c>
      <c r="G493" s="23">
        <v>0</v>
      </c>
      <c r="H493" s="23">
        <v>1.4492753893137001E-2</v>
      </c>
      <c r="I493" s="24">
        <v>0.14251208305358801</v>
      </c>
      <c r="J493" s="24">
        <v>0.80193239450454701</v>
      </c>
      <c r="K493" s="23">
        <v>7.2463769465685004E-3</v>
      </c>
      <c r="L493" s="23">
        <v>7.2463769465685004E-3</v>
      </c>
      <c r="M493" s="23">
        <v>2.6570048183202698E-2</v>
      </c>
      <c r="N493" s="23">
        <v>0</v>
      </c>
      <c r="O493" s="24">
        <v>0.26328501105308499</v>
      </c>
      <c r="P493" s="24">
        <v>0.241545900702476</v>
      </c>
      <c r="Q493" s="24">
        <v>0.98550724983215299</v>
      </c>
      <c r="R493" s="25">
        <v>2.4154589371980675E-3</v>
      </c>
      <c r="S493" s="25">
        <v>0.10386473429951691</v>
      </c>
      <c r="T493" s="25">
        <v>0.16425120772946861</v>
      </c>
    </row>
    <row r="494" spans="1:20" x14ac:dyDescent="0.25">
      <c r="A494" s="8" t="s">
        <v>1055</v>
      </c>
      <c r="B494" s="8" t="s">
        <v>1056</v>
      </c>
      <c r="C494" s="8" t="s">
        <v>3540</v>
      </c>
      <c r="D494" s="8">
        <v>371</v>
      </c>
      <c r="E494" s="24">
        <v>0.175202161073684</v>
      </c>
      <c r="F494" s="23">
        <v>0.82210242748260498</v>
      </c>
      <c r="G494" s="23">
        <v>2.6954177301377002E-3</v>
      </c>
      <c r="H494" s="23">
        <v>3.2345011830329902E-2</v>
      </c>
      <c r="I494" s="24">
        <v>0.24797843396663599</v>
      </c>
      <c r="J494" s="24">
        <v>0.66307276487350397</v>
      </c>
      <c r="K494" s="23">
        <v>8.0862529575824998E-3</v>
      </c>
      <c r="L494" s="23">
        <v>8.0862529575824998E-3</v>
      </c>
      <c r="M494" s="23">
        <v>3.2345011830329902E-2</v>
      </c>
      <c r="N494" s="23">
        <v>8.0862529575824998E-3</v>
      </c>
      <c r="O494" s="24">
        <v>0.29649594426155002</v>
      </c>
      <c r="P494" s="23">
        <v>7.2776280343532604E-2</v>
      </c>
      <c r="Q494" s="24">
        <v>0.90296494960784901</v>
      </c>
      <c r="R494" s="25">
        <v>0</v>
      </c>
      <c r="S494" s="25">
        <v>0</v>
      </c>
      <c r="T494" s="25">
        <v>0.28032345013477089</v>
      </c>
    </row>
    <row r="495" spans="1:20" x14ac:dyDescent="0.25">
      <c r="A495" s="8" t="s">
        <v>1057</v>
      </c>
      <c r="B495" s="8" t="s">
        <v>1058</v>
      </c>
      <c r="C495" s="8" t="s">
        <v>3540</v>
      </c>
      <c r="D495" s="8">
        <v>206</v>
      </c>
      <c r="E495" s="24">
        <v>0.43689319491386402</v>
      </c>
      <c r="F495" s="24">
        <v>0.56310677528381303</v>
      </c>
      <c r="G495" s="23">
        <v>0</v>
      </c>
      <c r="H495" s="23">
        <v>1.9417475908994699E-2</v>
      </c>
      <c r="I495" s="23">
        <v>3.3980581909418099E-2</v>
      </c>
      <c r="J495" s="24">
        <v>0.91262137889862005</v>
      </c>
      <c r="K495" s="23">
        <v>0</v>
      </c>
      <c r="L495" s="23">
        <v>9.7087379544972992E-3</v>
      </c>
      <c r="M495" s="23">
        <v>2.42718439549208E-2</v>
      </c>
      <c r="N495" s="23">
        <v>0</v>
      </c>
      <c r="O495" s="23">
        <v>1.4563106931746001E-2</v>
      </c>
      <c r="P495" s="23">
        <v>0.91747570037841797</v>
      </c>
      <c r="Q495" s="24">
        <v>0.99029123783111495</v>
      </c>
      <c r="R495" s="25">
        <v>0</v>
      </c>
      <c r="S495" s="25">
        <v>0</v>
      </c>
      <c r="T495" s="25">
        <v>1.9417475728155338E-2</v>
      </c>
    </row>
    <row r="496" spans="1:20" x14ac:dyDescent="0.25">
      <c r="A496" s="8" t="s">
        <v>1059</v>
      </c>
      <c r="B496" s="8" t="s">
        <v>1060</v>
      </c>
      <c r="C496" s="8" t="s">
        <v>3540</v>
      </c>
      <c r="D496" s="8">
        <v>650</v>
      </c>
      <c r="E496" s="23">
        <v>0.5</v>
      </c>
      <c r="F496" s="23">
        <v>0.5</v>
      </c>
      <c r="G496" s="23">
        <v>0</v>
      </c>
      <c r="H496" s="23">
        <v>1.9999999552965199E-2</v>
      </c>
      <c r="I496" s="24">
        <v>0.16153846681118</v>
      </c>
      <c r="J496" s="24">
        <v>0.80307692289352395</v>
      </c>
      <c r="K496" s="23">
        <v>4.6153846196830004E-3</v>
      </c>
      <c r="L496" s="23">
        <v>3.0769230797887E-3</v>
      </c>
      <c r="M496" s="23">
        <v>7.6923076994717E-3</v>
      </c>
      <c r="N496" s="23">
        <v>0</v>
      </c>
      <c r="O496" s="24">
        <v>0.238461539149284</v>
      </c>
      <c r="P496" s="24">
        <v>0.18769231438636699</v>
      </c>
      <c r="Q496" s="24">
        <v>0.97384613752365101</v>
      </c>
      <c r="R496" s="25">
        <v>1.5384615384615385E-3</v>
      </c>
      <c r="S496" s="25">
        <v>0.10615384615384615</v>
      </c>
      <c r="T496" s="25">
        <v>0.12923076923076923</v>
      </c>
    </row>
    <row r="497" spans="1:20" x14ac:dyDescent="0.25">
      <c r="A497" s="8" t="s">
        <v>1061</v>
      </c>
      <c r="B497" s="8" t="s">
        <v>1062</v>
      </c>
      <c r="C497" s="8" t="s">
        <v>3540</v>
      </c>
      <c r="D497" s="8">
        <v>674</v>
      </c>
      <c r="E497" s="24">
        <v>0.46884274482727001</v>
      </c>
      <c r="F497" s="24">
        <v>0.53115725517272905</v>
      </c>
      <c r="G497" s="23">
        <v>0</v>
      </c>
      <c r="H497" s="23">
        <v>9.0504452586173997E-2</v>
      </c>
      <c r="I497" s="23">
        <v>9.34718102216721E-2</v>
      </c>
      <c r="J497" s="24">
        <v>0.774480700492858</v>
      </c>
      <c r="K497" s="23">
        <v>5.9347180649638002E-3</v>
      </c>
      <c r="L497" s="23">
        <v>4.4510387815534999E-3</v>
      </c>
      <c r="M497" s="23">
        <v>3.11572700738907E-2</v>
      </c>
      <c r="N497" s="23">
        <v>0</v>
      </c>
      <c r="O497" s="24">
        <v>0.27744805812835599</v>
      </c>
      <c r="P497" s="23">
        <v>0.22848664224147799</v>
      </c>
      <c r="Q497" s="24">
        <v>0.94658756256103505</v>
      </c>
      <c r="R497" s="25">
        <v>7.1216617210682495E-2</v>
      </c>
      <c r="S497" s="25">
        <v>1.3353115727002967E-2</v>
      </c>
      <c r="T497" s="25">
        <v>0.19881305637982197</v>
      </c>
    </row>
    <row r="498" spans="1:20" x14ac:dyDescent="0.25">
      <c r="A498" s="8" t="s">
        <v>1063</v>
      </c>
      <c r="B498" s="8" t="s">
        <v>1064</v>
      </c>
      <c r="C498" s="8" t="s">
        <v>3540</v>
      </c>
      <c r="D498" s="8">
        <v>332</v>
      </c>
      <c r="E498" s="24">
        <v>0.48795181512832603</v>
      </c>
      <c r="F498" s="24">
        <v>0.51204818487167303</v>
      </c>
      <c r="G498" s="23">
        <v>0</v>
      </c>
      <c r="H498" s="23">
        <v>2.40963846445084E-2</v>
      </c>
      <c r="I498" s="24">
        <v>0.21987952291965401</v>
      </c>
      <c r="J498" s="24">
        <v>0.72289156913757302</v>
      </c>
      <c r="K498" s="23">
        <v>3.0120480805635001E-3</v>
      </c>
      <c r="L498" s="23">
        <v>3.0120480805635001E-3</v>
      </c>
      <c r="M498" s="23">
        <v>2.1084336563944799E-2</v>
      </c>
      <c r="N498" s="23">
        <v>6.0240961611271E-3</v>
      </c>
      <c r="O498" s="24">
        <v>0.16867469251155801</v>
      </c>
      <c r="P498" s="24">
        <v>0.16265060007572099</v>
      </c>
      <c r="Q498" s="24">
        <v>0.93373495340347201</v>
      </c>
      <c r="R498" s="25">
        <v>3.0120481927710845E-3</v>
      </c>
      <c r="S498" s="25">
        <v>2.1084337349397589E-2</v>
      </c>
      <c r="T498" s="25">
        <v>0.1536144578313253</v>
      </c>
    </row>
    <row r="499" spans="1:20" x14ac:dyDescent="0.25">
      <c r="A499" s="8" t="s">
        <v>1065</v>
      </c>
      <c r="B499" s="8" t="s">
        <v>1066</v>
      </c>
      <c r="C499" s="8" t="s">
        <v>3540</v>
      </c>
      <c r="D499" s="8">
        <v>313</v>
      </c>
      <c r="E499" s="24">
        <v>0.45367410778999301</v>
      </c>
      <c r="F499" s="24">
        <v>0.54632586240768399</v>
      </c>
      <c r="G499" s="23">
        <v>0</v>
      </c>
      <c r="H499" s="23">
        <v>0</v>
      </c>
      <c r="I499" s="23">
        <v>6.7092649638652802E-2</v>
      </c>
      <c r="J499" s="24">
        <v>0.90734821557998602</v>
      </c>
      <c r="K499" s="23">
        <v>3.1948881223798002E-3</v>
      </c>
      <c r="L499" s="23">
        <v>3.1948881223798002E-3</v>
      </c>
      <c r="M499" s="23">
        <v>1.91693287342787E-2</v>
      </c>
      <c r="N499" s="23">
        <v>0</v>
      </c>
      <c r="O499" s="23">
        <v>0.30031949281692499</v>
      </c>
      <c r="P499" s="24">
        <v>0.24281150102615301</v>
      </c>
      <c r="Q499" s="24">
        <v>0.99680513143539395</v>
      </c>
      <c r="R499" s="25">
        <v>0.18210862619808307</v>
      </c>
      <c r="S499" s="25">
        <v>0</v>
      </c>
      <c r="T499" s="25">
        <v>0.13099041533546327</v>
      </c>
    </row>
    <row r="500" spans="1:20" x14ac:dyDescent="0.25">
      <c r="A500" s="8" t="s">
        <v>1067</v>
      </c>
      <c r="B500" s="8" t="s">
        <v>1068</v>
      </c>
      <c r="C500" s="8" t="s">
        <v>3540</v>
      </c>
      <c r="D500" s="8">
        <v>382</v>
      </c>
      <c r="E500" s="24">
        <v>0.49738219380378701</v>
      </c>
      <c r="F500" s="24">
        <v>0.50261777639389005</v>
      </c>
      <c r="G500" s="23">
        <v>0</v>
      </c>
      <c r="H500" s="23">
        <v>0</v>
      </c>
      <c r="I500" s="24">
        <v>0.26178011298179599</v>
      </c>
      <c r="J500" s="23">
        <v>0.71727746725082397</v>
      </c>
      <c r="K500" s="23">
        <v>2.6178010739385999E-3</v>
      </c>
      <c r="L500" s="23">
        <v>5.2356021478771999E-3</v>
      </c>
      <c r="M500" s="23">
        <v>1.30890049040318E-2</v>
      </c>
      <c r="N500" s="23">
        <v>0</v>
      </c>
      <c r="O500" s="24">
        <v>0.18324607610702501</v>
      </c>
      <c r="P500" s="24">
        <v>0.21204188466071999</v>
      </c>
      <c r="Q500" s="24">
        <v>0.968586385250091</v>
      </c>
      <c r="R500" s="25">
        <v>5.4973821989528798E-2</v>
      </c>
      <c r="S500" s="25">
        <v>5.235602094240838E-3</v>
      </c>
      <c r="T500" s="25">
        <v>0.11780104712041885</v>
      </c>
    </row>
    <row r="501" spans="1:20" x14ac:dyDescent="0.25">
      <c r="A501" s="8" t="s">
        <v>1069</v>
      </c>
      <c r="B501" s="8" t="s">
        <v>1070</v>
      </c>
      <c r="C501" s="8" t="s">
        <v>3540</v>
      </c>
      <c r="D501" s="8">
        <v>270</v>
      </c>
      <c r="E501" s="24">
        <v>0.71481484174728305</v>
      </c>
      <c r="F501" s="24">
        <v>0.28518518805503801</v>
      </c>
      <c r="G501" s="23">
        <v>0</v>
      </c>
      <c r="H501" s="23">
        <v>1.11111113801599E-2</v>
      </c>
      <c r="I501" s="24">
        <v>0.125925928354263</v>
      </c>
      <c r="J501" s="24">
        <v>0.82962960004806496</v>
      </c>
      <c r="K501" s="23">
        <v>7.4074072763324001E-3</v>
      </c>
      <c r="L501" s="23">
        <v>1.11111113801599E-2</v>
      </c>
      <c r="M501" s="23">
        <v>1.48148145526648E-2</v>
      </c>
      <c r="N501" s="23">
        <v>0</v>
      </c>
      <c r="O501" s="24">
        <v>0.17037037014961201</v>
      </c>
      <c r="P501" s="24">
        <v>0.125925928354263</v>
      </c>
      <c r="Q501" s="24">
        <v>0.91851854324340798</v>
      </c>
      <c r="R501" s="25">
        <v>4.8148148148148148E-2</v>
      </c>
      <c r="S501" s="25">
        <v>0</v>
      </c>
      <c r="T501" s="25">
        <v>0.11851851851851852</v>
      </c>
    </row>
    <row r="502" spans="1:20" x14ac:dyDescent="0.25">
      <c r="A502" s="8" t="s">
        <v>1071</v>
      </c>
      <c r="B502" s="8" t="s">
        <v>1072</v>
      </c>
      <c r="C502" s="8" t="s">
        <v>3540</v>
      </c>
      <c r="D502" s="8">
        <v>414</v>
      </c>
      <c r="E502" s="23">
        <v>0.483091801404953</v>
      </c>
      <c r="F502" s="24">
        <v>0.51449275016784601</v>
      </c>
      <c r="G502" s="23">
        <v>2.4154589045793E-3</v>
      </c>
      <c r="H502" s="23">
        <v>0</v>
      </c>
      <c r="I502" s="23">
        <v>9.6618354320526095E-2</v>
      </c>
      <c r="J502" s="24">
        <v>0.88164252042770297</v>
      </c>
      <c r="K502" s="23">
        <v>1.6908211633563E-2</v>
      </c>
      <c r="L502" s="23">
        <v>4.8309178091586E-3</v>
      </c>
      <c r="M502" s="23">
        <v>0</v>
      </c>
      <c r="N502" s="23">
        <v>0</v>
      </c>
      <c r="O502" s="24">
        <v>0.25120773911476102</v>
      </c>
      <c r="P502" s="24">
        <v>0.20289854705333699</v>
      </c>
      <c r="Q502" s="24">
        <v>0.96135264635086004</v>
      </c>
      <c r="R502" s="25">
        <v>7.4879227053140096E-2</v>
      </c>
      <c r="S502" s="25">
        <v>2.4154589371980675E-3</v>
      </c>
      <c r="T502" s="25">
        <v>0.18357487922705315</v>
      </c>
    </row>
    <row r="503" spans="1:20" x14ac:dyDescent="0.25">
      <c r="A503" s="8" t="s">
        <v>1073</v>
      </c>
      <c r="B503" s="8" t="s">
        <v>1074</v>
      </c>
      <c r="C503" s="8" t="s">
        <v>3540</v>
      </c>
      <c r="D503" s="8">
        <v>207</v>
      </c>
      <c r="E503" s="24">
        <v>0.541062772274017</v>
      </c>
      <c r="F503" s="24">
        <v>0.45893719792366</v>
      </c>
      <c r="G503" s="23">
        <v>0</v>
      </c>
      <c r="H503" s="23">
        <v>2.41545885801315E-2</v>
      </c>
      <c r="I503" s="23">
        <v>0.106280192732811</v>
      </c>
      <c r="J503" s="24">
        <v>0.84541064500808705</v>
      </c>
      <c r="K503" s="23">
        <v>0</v>
      </c>
      <c r="L503" s="23">
        <v>0</v>
      </c>
      <c r="M503" s="23">
        <v>2.41545885801315E-2</v>
      </c>
      <c r="N503" s="23">
        <v>0</v>
      </c>
      <c r="O503" s="24">
        <v>0.135265693068504</v>
      </c>
      <c r="P503" s="24">
        <v>0.294685989618301</v>
      </c>
      <c r="Q503" s="23">
        <v>0.96618360280990601</v>
      </c>
      <c r="R503" s="25">
        <v>0</v>
      </c>
      <c r="S503" s="25">
        <v>0</v>
      </c>
      <c r="T503" s="25">
        <v>0.15458937198067632</v>
      </c>
    </row>
    <row r="504" spans="1:20" x14ac:dyDescent="0.25">
      <c r="A504" s="8" t="s">
        <v>1075</v>
      </c>
      <c r="B504" s="8" t="s">
        <v>1076</v>
      </c>
      <c r="C504" s="8" t="s">
        <v>3540</v>
      </c>
      <c r="D504" s="8">
        <v>191</v>
      </c>
      <c r="E504" s="24">
        <v>0.43455496430397</v>
      </c>
      <c r="F504" s="24">
        <v>0.56544500589370705</v>
      </c>
      <c r="G504" s="23">
        <v>0</v>
      </c>
      <c r="H504" s="23">
        <v>0</v>
      </c>
      <c r="I504" s="24">
        <v>0.29319372773170399</v>
      </c>
      <c r="J504" s="24">
        <v>0.65968585014343195</v>
      </c>
      <c r="K504" s="23">
        <v>0</v>
      </c>
      <c r="L504" s="23">
        <v>1.04712042957544E-2</v>
      </c>
      <c r="M504" s="23">
        <v>3.6649215966463103E-2</v>
      </c>
      <c r="N504" s="23">
        <v>0</v>
      </c>
      <c r="O504" s="24">
        <v>0.26701569557189903</v>
      </c>
      <c r="P504" s="24">
        <v>0.136125653982162</v>
      </c>
      <c r="Q504" s="24">
        <v>0.95811516046524003</v>
      </c>
      <c r="R504" s="25">
        <v>0</v>
      </c>
      <c r="S504" s="25">
        <v>0</v>
      </c>
      <c r="T504" s="25">
        <v>0.18324607329842932</v>
      </c>
    </row>
    <row r="505" spans="1:20" x14ac:dyDescent="0.25">
      <c r="A505" s="8" t="s">
        <v>1077</v>
      </c>
      <c r="B505" s="8" t="s">
        <v>1078</v>
      </c>
      <c r="C505" s="8" t="s">
        <v>3540</v>
      </c>
      <c r="D505" s="8">
        <v>349</v>
      </c>
      <c r="E505" s="24">
        <v>0.47564470767974798</v>
      </c>
      <c r="F505" s="24">
        <v>0.52435529232025102</v>
      </c>
      <c r="G505" s="23">
        <v>0</v>
      </c>
      <c r="H505" s="23">
        <v>5.7306592352688E-3</v>
      </c>
      <c r="I505" s="24">
        <v>0.18911175429821001</v>
      </c>
      <c r="J505" s="24">
        <v>0.79083096981048495</v>
      </c>
      <c r="K505" s="23">
        <v>5.7306592352688E-3</v>
      </c>
      <c r="L505" s="23">
        <v>2.8653296176344E-3</v>
      </c>
      <c r="M505" s="23">
        <v>5.7306592352688E-3</v>
      </c>
      <c r="N505" s="23">
        <v>0</v>
      </c>
      <c r="O505" s="23">
        <v>0.22922636568546301</v>
      </c>
      <c r="P505" s="24">
        <v>0.14040113985538399</v>
      </c>
      <c r="Q505" s="24">
        <v>0.91977077722549405</v>
      </c>
      <c r="R505" s="25">
        <v>0.10601719197707736</v>
      </c>
      <c r="S505" s="25">
        <v>2.5787965616045846E-2</v>
      </c>
      <c r="T505" s="25">
        <v>0.10315186246418338</v>
      </c>
    </row>
    <row r="506" spans="1:20" x14ac:dyDescent="0.25">
      <c r="A506" s="8" t="s">
        <v>1080</v>
      </c>
      <c r="B506" s="8" t="s">
        <v>1081</v>
      </c>
      <c r="C506" s="8" t="s">
        <v>3540</v>
      </c>
      <c r="D506" s="8">
        <v>560</v>
      </c>
      <c r="E506" s="24">
        <v>0.47321429848670898</v>
      </c>
      <c r="F506" s="24">
        <v>0.52678573131561202</v>
      </c>
      <c r="G506" s="23">
        <v>0</v>
      </c>
      <c r="H506" s="23">
        <v>3.39285731315613E-2</v>
      </c>
      <c r="I506" s="23">
        <v>9.1071426868438707E-2</v>
      </c>
      <c r="J506" s="24">
        <v>0.83571428060531605</v>
      </c>
      <c r="K506" s="23">
        <v>7.1428571827709996E-3</v>
      </c>
      <c r="L506" s="23">
        <v>1.7857142956927E-3</v>
      </c>
      <c r="M506" s="23">
        <v>2.8571428731083901E-2</v>
      </c>
      <c r="N506" s="23">
        <v>1.7857142956927E-3</v>
      </c>
      <c r="O506" s="24">
        <v>0.31607142090797402</v>
      </c>
      <c r="P506" s="24">
        <v>0.317857146263122</v>
      </c>
      <c r="Q506" s="24">
        <v>0.94107145071029596</v>
      </c>
      <c r="R506" s="25">
        <v>0.13928571428571429</v>
      </c>
      <c r="S506" s="25">
        <v>5.3571428571428572E-3</v>
      </c>
      <c r="T506" s="25">
        <v>0.1767857142857143</v>
      </c>
    </row>
    <row r="507" spans="1:20" x14ac:dyDescent="0.25">
      <c r="A507" s="8" t="s">
        <v>1082</v>
      </c>
      <c r="B507" s="8" t="s">
        <v>1083</v>
      </c>
      <c r="C507" s="8" t="s">
        <v>3540</v>
      </c>
      <c r="D507" s="8">
        <v>493</v>
      </c>
      <c r="E507" s="24">
        <v>0.45233264565467801</v>
      </c>
      <c r="F507" s="24">
        <v>0.54766732454299905</v>
      </c>
      <c r="G507" s="23">
        <v>0</v>
      </c>
      <c r="H507" s="23">
        <v>0</v>
      </c>
      <c r="I507" s="23">
        <v>0</v>
      </c>
      <c r="J507" s="24">
        <v>0.99797159433364802</v>
      </c>
      <c r="K507" s="23">
        <v>0</v>
      </c>
      <c r="L507" s="23">
        <v>0</v>
      </c>
      <c r="M507" s="23">
        <v>2.0283975172788E-3</v>
      </c>
      <c r="N507" s="23">
        <v>0</v>
      </c>
      <c r="O507" s="23">
        <v>7.7079109847545596E-2</v>
      </c>
      <c r="P507" s="24">
        <v>0.61257606744766202</v>
      </c>
      <c r="Q507" s="23">
        <v>0.99391478300094604</v>
      </c>
      <c r="R507" s="25">
        <v>0</v>
      </c>
      <c r="S507" s="25">
        <v>0</v>
      </c>
      <c r="T507" s="25">
        <v>7.099391480730223E-2</v>
      </c>
    </row>
    <row r="508" spans="1:20" x14ac:dyDescent="0.25">
      <c r="A508" s="8" t="s">
        <v>1084</v>
      </c>
      <c r="B508" s="8" t="s">
        <v>1085</v>
      </c>
      <c r="C508" s="8" t="s">
        <v>3540</v>
      </c>
      <c r="D508" s="8">
        <v>305</v>
      </c>
      <c r="E508" s="24">
        <v>0.51803278923034601</v>
      </c>
      <c r="F508" s="24">
        <v>0.48196721076965299</v>
      </c>
      <c r="G508" s="23">
        <v>0</v>
      </c>
      <c r="H508" s="23">
        <v>4.2622949928045301E-2</v>
      </c>
      <c r="I508" s="24">
        <v>0.121311478316783</v>
      </c>
      <c r="J508" s="24">
        <v>0.629508197307586</v>
      </c>
      <c r="K508" s="23">
        <v>6.8852461874485002E-2</v>
      </c>
      <c r="L508" s="23">
        <v>1.31147541105747E-2</v>
      </c>
      <c r="M508" s="23">
        <v>0.124590165913105</v>
      </c>
      <c r="N508" s="23">
        <v>0</v>
      </c>
      <c r="O508" s="24">
        <v>0.29180327057838401</v>
      </c>
      <c r="P508" s="23">
        <v>3.9344262331724202E-2</v>
      </c>
      <c r="Q508" s="24">
        <v>0.65901637077331499</v>
      </c>
      <c r="R508" s="25">
        <v>2.9508196721311476E-2</v>
      </c>
      <c r="S508" s="25">
        <v>4.9180327868852458E-2</v>
      </c>
      <c r="T508" s="25">
        <v>0.21967213114754097</v>
      </c>
    </row>
    <row r="509" spans="1:20" x14ac:dyDescent="0.25">
      <c r="A509" s="8" t="s">
        <v>1086</v>
      </c>
      <c r="B509" s="8" t="s">
        <v>1087</v>
      </c>
      <c r="C509" s="8" t="s">
        <v>3540</v>
      </c>
      <c r="D509" s="8">
        <v>435</v>
      </c>
      <c r="E509" s="24">
        <v>0.49885058403015098</v>
      </c>
      <c r="F509" s="24">
        <v>0.50114941596984797</v>
      </c>
      <c r="G509" s="23">
        <v>0</v>
      </c>
      <c r="H509" s="23">
        <v>2.7586206793785099E-2</v>
      </c>
      <c r="I509" s="24">
        <v>0.133333340287208</v>
      </c>
      <c r="J509" s="24">
        <v>0.71954023838043202</v>
      </c>
      <c r="K509" s="23">
        <v>0</v>
      </c>
      <c r="L509" s="23">
        <v>1.3793103396892501E-2</v>
      </c>
      <c r="M509" s="23">
        <v>2.0689655095338801E-2</v>
      </c>
      <c r="N509" s="23">
        <v>8.50574746727943E-2</v>
      </c>
      <c r="O509" s="24">
        <v>0.28965517878532399</v>
      </c>
      <c r="P509" s="24">
        <v>0.222988501191139</v>
      </c>
      <c r="Q509" s="24">
        <v>0.910344839096069</v>
      </c>
      <c r="R509" s="25">
        <v>0</v>
      </c>
      <c r="S509" s="25">
        <v>4.5977011494252873E-3</v>
      </c>
      <c r="T509" s="25">
        <v>0.27586206896551724</v>
      </c>
    </row>
    <row r="510" spans="1:20" x14ac:dyDescent="0.25">
      <c r="A510" s="8" t="s">
        <v>1088</v>
      </c>
      <c r="B510" s="8" t="s">
        <v>1089</v>
      </c>
      <c r="C510" s="8" t="s">
        <v>3540</v>
      </c>
      <c r="D510" s="8">
        <v>627</v>
      </c>
      <c r="E510" s="24">
        <v>0.48803827166557301</v>
      </c>
      <c r="F510" s="24">
        <v>0.51196169853210405</v>
      </c>
      <c r="G510" s="23">
        <v>0</v>
      </c>
      <c r="H510" s="23">
        <v>3.5087719559669502E-2</v>
      </c>
      <c r="I510" s="24">
        <v>0.156299844384193</v>
      </c>
      <c r="J510" s="23">
        <v>0.76076555252075195</v>
      </c>
      <c r="K510" s="23">
        <v>3.1897926237434001E-3</v>
      </c>
      <c r="L510" s="23">
        <v>6.3795852474868003E-3</v>
      </c>
      <c r="M510" s="23">
        <v>1.7543859779834699E-2</v>
      </c>
      <c r="N510" s="23">
        <v>2.0733652636408799E-2</v>
      </c>
      <c r="O510" s="24">
        <v>0.16108453273773099</v>
      </c>
      <c r="P510" s="24">
        <v>0.244019135832786</v>
      </c>
      <c r="Q510" s="24">
        <v>0.86602872610092096</v>
      </c>
      <c r="R510" s="25">
        <v>0</v>
      </c>
      <c r="S510" s="25">
        <v>1.9138755980861243E-2</v>
      </c>
      <c r="T510" s="25">
        <v>0.13078149920255183</v>
      </c>
    </row>
    <row r="511" spans="1:20" x14ac:dyDescent="0.25">
      <c r="A511" s="8" t="s">
        <v>1090</v>
      </c>
      <c r="B511" s="8" t="s">
        <v>1091</v>
      </c>
      <c r="C511" s="8" t="s">
        <v>3540</v>
      </c>
      <c r="D511" s="8">
        <v>282</v>
      </c>
      <c r="E511" s="24">
        <v>0.48581561446189803</v>
      </c>
      <c r="F511" s="24">
        <v>0.51418441534042303</v>
      </c>
      <c r="G511" s="23">
        <v>0</v>
      </c>
      <c r="H511" s="23">
        <v>2.1276595070958099E-2</v>
      </c>
      <c r="I511" s="23">
        <v>7.8014187514781994E-2</v>
      </c>
      <c r="J511" s="24">
        <v>0.87588649988174405</v>
      </c>
      <c r="K511" s="23">
        <v>3.5460991784929999E-3</v>
      </c>
      <c r="L511" s="23">
        <v>0</v>
      </c>
      <c r="M511" s="23">
        <v>2.1276595070958099E-2</v>
      </c>
      <c r="N511" s="23">
        <v>0</v>
      </c>
      <c r="O511" s="23">
        <v>0.216312050819397</v>
      </c>
      <c r="P511" s="24">
        <v>0.25886523723602201</v>
      </c>
      <c r="Q511" s="24">
        <v>0.96453899145126298</v>
      </c>
      <c r="R511" s="25">
        <v>8.1560283687943269E-2</v>
      </c>
      <c r="S511" s="25">
        <v>0</v>
      </c>
      <c r="T511" s="25">
        <v>0.13475177304964539</v>
      </c>
    </row>
    <row r="512" spans="1:20" x14ac:dyDescent="0.25">
      <c r="A512" s="8" t="s">
        <v>1092</v>
      </c>
      <c r="B512" s="8" t="s">
        <v>1093</v>
      </c>
      <c r="C512" s="8" t="s">
        <v>3540</v>
      </c>
      <c r="D512" s="8">
        <v>801</v>
      </c>
      <c r="E512" s="24">
        <v>0.46441948413848799</v>
      </c>
      <c r="F512" s="24">
        <v>0.53558051586151101</v>
      </c>
      <c r="G512" s="23">
        <v>0</v>
      </c>
      <c r="H512" s="23">
        <v>1.4981273561716101E-2</v>
      </c>
      <c r="I512" s="24">
        <v>0.129837706685066</v>
      </c>
      <c r="J512" s="24">
        <v>0.83021223545074396</v>
      </c>
      <c r="K512" s="23">
        <v>3.745318390429E-3</v>
      </c>
      <c r="L512" s="23">
        <v>6.2421974726021004E-3</v>
      </c>
      <c r="M512" s="23">
        <v>1.4981273561716101E-2</v>
      </c>
      <c r="N512" s="23">
        <v>0</v>
      </c>
      <c r="O512" s="24">
        <v>0.25343319773674</v>
      </c>
      <c r="P512" s="24">
        <v>0.27590513229370101</v>
      </c>
      <c r="Q512" s="24">
        <v>0.93508112430572499</v>
      </c>
      <c r="R512" s="25">
        <v>9.4881398252184765E-2</v>
      </c>
      <c r="S512" s="25">
        <v>1.2484394506866417E-3</v>
      </c>
      <c r="T512" s="25">
        <v>0.15355805243445692</v>
      </c>
    </row>
    <row r="513" spans="1:20" x14ac:dyDescent="0.25">
      <c r="A513" s="8" t="s">
        <v>1094</v>
      </c>
      <c r="B513" s="8" t="s">
        <v>1095</v>
      </c>
      <c r="C513" s="8" t="s">
        <v>3540</v>
      </c>
      <c r="D513" s="8">
        <v>958</v>
      </c>
      <c r="E513" s="24">
        <v>0.445720255374908</v>
      </c>
      <c r="F513" s="24">
        <v>0.554279744625091</v>
      </c>
      <c r="G513" s="23">
        <v>0</v>
      </c>
      <c r="H513" s="23">
        <v>2.08768267184496E-2</v>
      </c>
      <c r="I513" s="23">
        <v>7.2025053203105899E-2</v>
      </c>
      <c r="J513" s="24">
        <v>0.86534446477890004</v>
      </c>
      <c r="K513" s="23">
        <v>4.1753654368222003E-3</v>
      </c>
      <c r="L513" s="23">
        <v>8.3507308736444005E-3</v>
      </c>
      <c r="M513" s="23">
        <v>2.8183715417981099E-2</v>
      </c>
      <c r="N513" s="23">
        <v>1.0438413592055E-3</v>
      </c>
      <c r="O513" s="24">
        <v>0.23068892955779999</v>
      </c>
      <c r="P513" s="24">
        <v>0.12212943285703599</v>
      </c>
      <c r="Q513" s="24">
        <v>0.89770352840423495</v>
      </c>
      <c r="R513" s="25">
        <v>0</v>
      </c>
      <c r="S513" s="25">
        <v>4.07098121085595E-2</v>
      </c>
      <c r="T513" s="25">
        <v>0.17745302713987474</v>
      </c>
    </row>
    <row r="514" spans="1:20" x14ac:dyDescent="0.25">
      <c r="A514" s="8" t="s">
        <v>1096</v>
      </c>
      <c r="B514" s="8" t="s">
        <v>1097</v>
      </c>
      <c r="C514" s="8" t="s">
        <v>3540</v>
      </c>
      <c r="D514" s="8">
        <v>458</v>
      </c>
      <c r="E514" s="24">
        <v>0.54803490638732899</v>
      </c>
      <c r="F514" s="24">
        <v>0.45196506381034801</v>
      </c>
      <c r="G514" s="23">
        <v>0</v>
      </c>
      <c r="H514" s="23">
        <v>2.1834060549735999E-2</v>
      </c>
      <c r="I514" s="23">
        <v>0.22052401304245001</v>
      </c>
      <c r="J514" s="23">
        <v>0.69213974475860596</v>
      </c>
      <c r="K514" s="23">
        <v>6.5502184443176001E-3</v>
      </c>
      <c r="L514" s="23">
        <v>1.0917030274867999E-2</v>
      </c>
      <c r="M514" s="23">
        <v>4.8034936189651503E-2</v>
      </c>
      <c r="N514" s="23">
        <v>0</v>
      </c>
      <c r="O514" s="24">
        <v>0.240174666047096</v>
      </c>
      <c r="P514" s="24">
        <v>0.120087333023548</v>
      </c>
      <c r="Q514" s="24">
        <v>0.93449783325195301</v>
      </c>
      <c r="R514" s="25">
        <v>2.1834061135371178E-3</v>
      </c>
      <c r="S514" s="25">
        <v>1.0917030567685589E-2</v>
      </c>
      <c r="T514" s="25">
        <v>0.20524017467248909</v>
      </c>
    </row>
    <row r="515" spans="1:20" x14ac:dyDescent="0.25">
      <c r="A515" s="8" t="s">
        <v>1098</v>
      </c>
      <c r="B515" s="8" t="s">
        <v>1099</v>
      </c>
      <c r="C515" s="8" t="s">
        <v>3540</v>
      </c>
      <c r="D515" s="8">
        <v>567</v>
      </c>
      <c r="E515" s="24">
        <v>0.54850089550018299</v>
      </c>
      <c r="F515" s="24">
        <v>0.45149910449981601</v>
      </c>
      <c r="G515" s="23">
        <v>0</v>
      </c>
      <c r="H515" s="23">
        <v>1.4109347015619301E-2</v>
      </c>
      <c r="I515" s="23">
        <v>0.144620805978775</v>
      </c>
      <c r="J515" s="24">
        <v>0.81834214925765902</v>
      </c>
      <c r="K515" s="23">
        <v>5.2910051308571997E-3</v>
      </c>
      <c r="L515" s="23">
        <v>5.2910051308571997E-3</v>
      </c>
      <c r="M515" s="23">
        <v>1.2345679104328201E-2</v>
      </c>
      <c r="N515" s="23">
        <v>0</v>
      </c>
      <c r="O515" s="24">
        <v>0.215167552232742</v>
      </c>
      <c r="P515" s="24">
        <v>0.202821865677833</v>
      </c>
      <c r="Q515" s="24">
        <v>0.95590829849243097</v>
      </c>
      <c r="R515" s="25">
        <v>5.114638447971781E-2</v>
      </c>
      <c r="S515" s="25">
        <v>0</v>
      </c>
      <c r="T515" s="25">
        <v>0.14638447971781304</v>
      </c>
    </row>
    <row r="516" spans="1:20" x14ac:dyDescent="0.25">
      <c r="A516" s="8" t="s">
        <v>1100</v>
      </c>
      <c r="B516" s="8" t="s">
        <v>1101</v>
      </c>
      <c r="C516" s="8" t="s">
        <v>3540</v>
      </c>
      <c r="D516" s="8">
        <v>320</v>
      </c>
      <c r="E516" s="23">
        <v>0.51875001192092896</v>
      </c>
      <c r="F516" s="23">
        <v>0.48124998807907099</v>
      </c>
      <c r="G516" s="23">
        <v>0</v>
      </c>
      <c r="H516" s="23">
        <v>3.1250000465661001E-3</v>
      </c>
      <c r="I516" s="24">
        <v>0.17499999701976701</v>
      </c>
      <c r="J516" s="24">
        <v>0.80312502384185702</v>
      </c>
      <c r="K516" s="23">
        <v>6.2500000931323E-3</v>
      </c>
      <c r="L516" s="23">
        <v>3.1250000465661001E-3</v>
      </c>
      <c r="M516" s="23">
        <v>9.3750003725290004E-3</v>
      </c>
      <c r="N516" s="23">
        <v>0</v>
      </c>
      <c r="O516" s="23">
        <v>0.28437501192092901</v>
      </c>
      <c r="P516" s="23">
        <v>0.27812498807907099</v>
      </c>
      <c r="Q516" s="23">
        <v>0.97187501192092896</v>
      </c>
      <c r="R516" s="25">
        <v>8.4375000000000006E-2</v>
      </c>
      <c r="S516" s="25">
        <v>3.1250000000000002E-3</v>
      </c>
      <c r="T516" s="25">
        <v>0.19687499999999999</v>
      </c>
    </row>
    <row r="517" spans="1:20" x14ac:dyDescent="0.25">
      <c r="A517" s="8" t="s">
        <v>1102</v>
      </c>
      <c r="B517" s="8" t="s">
        <v>1103</v>
      </c>
      <c r="C517" s="8" t="s">
        <v>3540</v>
      </c>
      <c r="D517" s="8">
        <v>340</v>
      </c>
      <c r="E517" s="23">
        <v>0.45588234066963201</v>
      </c>
      <c r="F517" s="24">
        <v>0.54411762952804499</v>
      </c>
      <c r="G517" s="23">
        <v>0</v>
      </c>
      <c r="H517" s="23">
        <v>2.9411765281111002E-3</v>
      </c>
      <c r="I517" s="24">
        <v>0.208823531866073</v>
      </c>
      <c r="J517" s="23">
        <v>0.770588219165802</v>
      </c>
      <c r="K517" s="23">
        <v>0</v>
      </c>
      <c r="L517" s="23">
        <v>8.8235298171638991E-3</v>
      </c>
      <c r="M517" s="23">
        <v>8.8235298171638991E-3</v>
      </c>
      <c r="N517" s="23">
        <v>0</v>
      </c>
      <c r="O517" s="24">
        <v>0.25294119119644098</v>
      </c>
      <c r="P517" s="24">
        <v>0.39705881476402199</v>
      </c>
      <c r="Q517" s="24">
        <v>0.97647058963775601</v>
      </c>
      <c r="R517" s="25">
        <v>7.6470588235294124E-2</v>
      </c>
      <c r="S517" s="25">
        <v>2.9411764705882353E-3</v>
      </c>
      <c r="T517" s="25">
        <v>0.1676470588235294</v>
      </c>
    </row>
    <row r="518" spans="1:20" x14ac:dyDescent="0.25">
      <c r="A518" s="8" t="s">
        <v>1104</v>
      </c>
      <c r="B518" s="8" t="s">
        <v>1105</v>
      </c>
      <c r="C518" s="8" t="s">
        <v>3540</v>
      </c>
      <c r="D518" s="8">
        <v>216</v>
      </c>
      <c r="E518" s="24">
        <v>0.47685185074806202</v>
      </c>
      <c r="F518" s="24">
        <v>0.52314811944961503</v>
      </c>
      <c r="G518" s="23">
        <v>0</v>
      </c>
      <c r="H518" s="23">
        <v>1.8518518656492199E-2</v>
      </c>
      <c r="I518" s="24">
        <v>0.18981482088565799</v>
      </c>
      <c r="J518" s="24">
        <v>0.768518507480621</v>
      </c>
      <c r="K518" s="23">
        <v>4.6296296641231E-3</v>
      </c>
      <c r="L518" s="23">
        <v>9.2592593282460993E-3</v>
      </c>
      <c r="M518" s="23">
        <v>9.2592593282460993E-3</v>
      </c>
      <c r="N518" s="23">
        <v>0</v>
      </c>
      <c r="O518" s="23">
        <v>0.375</v>
      </c>
      <c r="P518" s="24">
        <v>0.27777779102325401</v>
      </c>
      <c r="Q518" s="24">
        <v>0.93055558204650801</v>
      </c>
      <c r="R518" s="25">
        <v>6.4814814814814811E-2</v>
      </c>
      <c r="S518" s="25">
        <v>9.2592592592592587E-3</v>
      </c>
      <c r="T518" s="25">
        <v>0.28703703703703703</v>
      </c>
    </row>
    <row r="519" spans="1:20" x14ac:dyDescent="0.25">
      <c r="A519" s="8" t="s">
        <v>1106</v>
      </c>
      <c r="B519" s="8" t="s">
        <v>1107</v>
      </c>
      <c r="C519" s="8" t="s">
        <v>3540</v>
      </c>
      <c r="D519" s="8">
        <v>276</v>
      </c>
      <c r="E519" s="24">
        <v>0.45289856195449801</v>
      </c>
      <c r="F519" s="24">
        <v>0.54710143804550104</v>
      </c>
      <c r="G519" s="23">
        <v>0</v>
      </c>
      <c r="H519" s="23">
        <v>7.2463769465685004E-3</v>
      </c>
      <c r="I519" s="24">
        <v>0.27898550033569303</v>
      </c>
      <c r="J519" s="24">
        <v>0.69202899932861295</v>
      </c>
      <c r="K519" s="23">
        <v>0</v>
      </c>
      <c r="L519" s="23">
        <v>1.4492753893137001E-2</v>
      </c>
      <c r="M519" s="23">
        <v>7.2463769465685004E-3</v>
      </c>
      <c r="N519" s="23">
        <v>0</v>
      </c>
      <c r="O519" s="23">
        <v>1.4492753893137001E-2</v>
      </c>
      <c r="P519" s="24">
        <v>0.880434811115264</v>
      </c>
      <c r="Q519" s="24">
        <v>0.98188406229019098</v>
      </c>
      <c r="R519" s="25">
        <v>0</v>
      </c>
      <c r="S519" s="25">
        <v>0</v>
      </c>
      <c r="T519" s="25">
        <v>1.0869565217391304E-2</v>
      </c>
    </row>
    <row r="520" spans="1:20" x14ac:dyDescent="0.25">
      <c r="A520" s="8" t="s">
        <v>1108</v>
      </c>
      <c r="B520" s="8" t="s">
        <v>1109</v>
      </c>
      <c r="C520" s="8" t="s">
        <v>3540</v>
      </c>
      <c r="D520" s="8">
        <v>327</v>
      </c>
      <c r="E520" s="24">
        <v>0.49541285634040799</v>
      </c>
      <c r="F520" s="24">
        <v>0.50458717346191395</v>
      </c>
      <c r="G520" s="23">
        <v>0</v>
      </c>
      <c r="H520" s="23">
        <v>2.1406726911663999E-2</v>
      </c>
      <c r="I520" s="24">
        <v>0.14984709024429299</v>
      </c>
      <c r="J520" s="24">
        <v>0.81039756536483698</v>
      </c>
      <c r="K520" s="23">
        <v>3.0581040773541E-3</v>
      </c>
      <c r="L520" s="23">
        <v>3.0581040773541E-3</v>
      </c>
      <c r="M520" s="23">
        <v>9.1743115335703E-3</v>
      </c>
      <c r="N520" s="23">
        <v>3.0581040773541E-3</v>
      </c>
      <c r="O520" s="24">
        <v>0.29357796907424899</v>
      </c>
      <c r="P520" s="24">
        <v>0.244648322463035</v>
      </c>
      <c r="Q520" s="24">
        <v>0.95412844419479304</v>
      </c>
      <c r="R520" s="25">
        <v>0</v>
      </c>
      <c r="S520" s="25">
        <v>0</v>
      </c>
      <c r="T520" s="25">
        <v>0.30275229357798167</v>
      </c>
    </row>
    <row r="521" spans="1:20" x14ac:dyDescent="0.25">
      <c r="A521" s="8" t="s">
        <v>1110</v>
      </c>
      <c r="B521" s="8" t="s">
        <v>1111</v>
      </c>
      <c r="C521" s="8" t="s">
        <v>3540</v>
      </c>
      <c r="D521" s="8">
        <v>329</v>
      </c>
      <c r="E521" s="24">
        <v>0.49848023056983898</v>
      </c>
      <c r="F521" s="24">
        <v>0.50151973962783802</v>
      </c>
      <c r="G521" s="23">
        <v>0</v>
      </c>
      <c r="H521" s="23">
        <v>9.1185411438345996E-3</v>
      </c>
      <c r="I521" s="24">
        <v>0.22188450396060899</v>
      </c>
      <c r="J521" s="24">
        <v>0.73252278566360396</v>
      </c>
      <c r="K521" s="23">
        <v>6.0790274292230996E-3</v>
      </c>
      <c r="L521" s="23">
        <v>1.21580548584461E-2</v>
      </c>
      <c r="M521" s="23">
        <v>1.8237082287669199E-2</v>
      </c>
      <c r="N521" s="23">
        <v>0</v>
      </c>
      <c r="O521" s="24">
        <v>0.22188450396060899</v>
      </c>
      <c r="P521" s="24">
        <v>0.158054709434509</v>
      </c>
      <c r="Q521" s="24">
        <v>0.92705166339874201</v>
      </c>
      <c r="R521" s="25">
        <v>0</v>
      </c>
      <c r="S521" s="25">
        <v>5.4711246200607903E-2</v>
      </c>
      <c r="T521" s="25">
        <v>0.1702127659574468</v>
      </c>
    </row>
    <row r="522" spans="1:20" x14ac:dyDescent="0.25">
      <c r="A522" s="8" t="s">
        <v>1112</v>
      </c>
      <c r="B522" s="8" t="s">
        <v>1113</v>
      </c>
      <c r="C522" s="8" t="s">
        <v>3540</v>
      </c>
      <c r="D522" s="8">
        <v>351</v>
      </c>
      <c r="E522" s="24">
        <v>0.76923078298568703</v>
      </c>
      <c r="F522" s="24">
        <v>0.23076923191547299</v>
      </c>
      <c r="G522" s="23">
        <v>0</v>
      </c>
      <c r="H522" s="23">
        <v>3.7037037312984501E-2</v>
      </c>
      <c r="I522" s="24">
        <v>0.27350428700446999</v>
      </c>
      <c r="J522" s="24">
        <v>0.65811967849731401</v>
      </c>
      <c r="K522" s="23">
        <v>5.6980056688190001E-3</v>
      </c>
      <c r="L522" s="23">
        <v>1.13960113376379E-2</v>
      </c>
      <c r="M522" s="23">
        <v>1.13960113376379E-2</v>
      </c>
      <c r="N522" s="23">
        <v>2.8490028344095E-3</v>
      </c>
      <c r="O522" s="24">
        <v>0.17663817107677399</v>
      </c>
      <c r="P522" s="23">
        <v>1.9943019375204998E-2</v>
      </c>
      <c r="Q522" s="24">
        <v>0.87749290466308505</v>
      </c>
      <c r="R522" s="25">
        <v>0</v>
      </c>
      <c r="S522" s="25">
        <v>0</v>
      </c>
      <c r="T522" s="25">
        <v>0.16809116809116809</v>
      </c>
    </row>
    <row r="523" spans="1:20" x14ac:dyDescent="0.25">
      <c r="A523" s="8" t="s">
        <v>1114</v>
      </c>
      <c r="B523" s="8" t="s">
        <v>1115</v>
      </c>
      <c r="C523" s="8" t="s">
        <v>3540</v>
      </c>
      <c r="D523" s="8">
        <v>365</v>
      </c>
      <c r="E523" s="24">
        <v>0.53698629140853804</v>
      </c>
      <c r="F523" s="24">
        <v>0.46301370859146102</v>
      </c>
      <c r="G523" s="23">
        <v>0</v>
      </c>
      <c r="H523" s="23">
        <v>1.09589044004679E-2</v>
      </c>
      <c r="I523" s="24">
        <v>0.238356158137321</v>
      </c>
      <c r="J523" s="23">
        <v>0.69863015413284302</v>
      </c>
      <c r="K523" s="23">
        <v>0</v>
      </c>
      <c r="L523" s="23">
        <v>1.9178081303834901E-2</v>
      </c>
      <c r="M523" s="23">
        <v>3.0136985704302802E-2</v>
      </c>
      <c r="N523" s="23">
        <v>2.7397261001169998E-3</v>
      </c>
      <c r="O523" s="24">
        <v>0.22465753555297799</v>
      </c>
      <c r="P523" s="23">
        <v>9.04109552502632E-2</v>
      </c>
      <c r="Q523" s="24">
        <v>0.93972605466842596</v>
      </c>
      <c r="R523" s="25">
        <v>0</v>
      </c>
      <c r="S523" s="25">
        <v>0</v>
      </c>
      <c r="T523" s="25">
        <v>0.19726027397260273</v>
      </c>
    </row>
    <row r="524" spans="1:20" x14ac:dyDescent="0.25">
      <c r="A524" s="8" t="s">
        <v>1116</v>
      </c>
      <c r="B524" s="8" t="s">
        <v>1117</v>
      </c>
      <c r="C524" s="8" t="s">
        <v>3540</v>
      </c>
      <c r="D524" s="8">
        <v>360</v>
      </c>
      <c r="E524" s="24">
        <v>0.56666666269302302</v>
      </c>
      <c r="F524" s="24">
        <v>0.43333333730697599</v>
      </c>
      <c r="G524" s="23">
        <v>0</v>
      </c>
      <c r="H524" s="23">
        <v>2.7777777984738301E-2</v>
      </c>
      <c r="I524" s="24">
        <v>0.18333333730697601</v>
      </c>
      <c r="J524" s="24">
        <v>0.73888885974884</v>
      </c>
      <c r="K524" s="23">
        <v>2.7777778450400002E-3</v>
      </c>
      <c r="L524" s="23">
        <v>1.11111113801599E-2</v>
      </c>
      <c r="M524" s="23">
        <v>3.6111112684011501E-2</v>
      </c>
      <c r="N524" s="23">
        <v>0</v>
      </c>
      <c r="O524" s="23">
        <v>0.25</v>
      </c>
      <c r="P524" s="23">
        <v>8.3333335816860199E-2</v>
      </c>
      <c r="Q524" s="24">
        <v>0.886111140251159</v>
      </c>
      <c r="R524" s="25">
        <v>0</v>
      </c>
      <c r="S524" s="25">
        <v>3.0555555555555555E-2</v>
      </c>
      <c r="T524" s="25">
        <v>0.21666666666666667</v>
      </c>
    </row>
    <row r="525" spans="1:20" x14ac:dyDescent="0.25">
      <c r="A525" s="8" t="s">
        <v>1118</v>
      </c>
      <c r="B525" s="8" t="s">
        <v>1119</v>
      </c>
      <c r="C525" s="8" t="s">
        <v>3540</v>
      </c>
      <c r="D525" s="8">
        <v>1219</v>
      </c>
      <c r="E525" s="24">
        <v>0.473338812589645</v>
      </c>
      <c r="F525" s="23">
        <v>0.526661217212677</v>
      </c>
      <c r="G525" s="23">
        <v>0</v>
      </c>
      <c r="H525" s="23">
        <v>6.8088598549365997E-2</v>
      </c>
      <c r="I525" s="23">
        <v>0.26086956262588501</v>
      </c>
      <c r="J525" s="23">
        <v>0.61115670204162598</v>
      </c>
      <c r="K525" s="23">
        <v>4.9220672808588002E-3</v>
      </c>
      <c r="L525" s="23">
        <v>1.8867924809455899E-2</v>
      </c>
      <c r="M525" s="23">
        <v>2.87120584398508E-2</v>
      </c>
      <c r="N525" s="23">
        <v>7.3831006884575003E-3</v>
      </c>
      <c r="O525" s="24">
        <v>0.21164889633655501</v>
      </c>
      <c r="P525" s="23">
        <v>9.0237900614738506E-2</v>
      </c>
      <c r="Q525" s="24">
        <v>0.87694829702377297</v>
      </c>
      <c r="R525" s="25">
        <v>8.2034454470877774E-4</v>
      </c>
      <c r="S525" s="25">
        <v>4.6759639048400331E-2</v>
      </c>
      <c r="T525" s="25">
        <v>0.16652994257588188</v>
      </c>
    </row>
    <row r="526" spans="1:20" x14ac:dyDescent="0.25">
      <c r="A526" s="8" t="s">
        <v>1121</v>
      </c>
      <c r="B526" s="8" t="s">
        <v>1122</v>
      </c>
      <c r="C526" s="8" t="s">
        <v>3540</v>
      </c>
      <c r="D526" s="8">
        <v>407</v>
      </c>
      <c r="E526" s="24">
        <v>0.60442262887954701</v>
      </c>
      <c r="F526" s="24">
        <v>0.39557740092277499</v>
      </c>
      <c r="G526" s="23">
        <v>0</v>
      </c>
      <c r="H526" s="23">
        <v>2.4570023640990299E-2</v>
      </c>
      <c r="I526" s="24">
        <v>0.26781326532363797</v>
      </c>
      <c r="J526" s="24">
        <v>0.67321866750717096</v>
      </c>
      <c r="K526" s="23">
        <v>1.47420149296522E-2</v>
      </c>
      <c r="L526" s="23">
        <v>0</v>
      </c>
      <c r="M526" s="23">
        <v>9.8280096426606005E-3</v>
      </c>
      <c r="N526" s="23">
        <v>9.8280096426606005E-3</v>
      </c>
      <c r="O526" s="24">
        <v>0.191646188497543</v>
      </c>
      <c r="P526" s="23">
        <v>2.70270276814699E-2</v>
      </c>
      <c r="Q526" s="23">
        <v>0.85012286901473999</v>
      </c>
      <c r="R526" s="25">
        <v>0</v>
      </c>
      <c r="S526" s="25">
        <v>0</v>
      </c>
      <c r="T526" s="25">
        <v>0.1891891891891892</v>
      </c>
    </row>
    <row r="527" spans="1:20" x14ac:dyDescent="0.25">
      <c r="A527" s="8" t="s">
        <v>1123</v>
      </c>
      <c r="B527" s="8" t="s">
        <v>1124</v>
      </c>
      <c r="C527" s="8" t="s">
        <v>3540</v>
      </c>
      <c r="D527" s="8">
        <v>2953</v>
      </c>
      <c r="E527" s="23">
        <v>0.46054860949516302</v>
      </c>
      <c r="F527" s="24">
        <v>0.53911274671554499</v>
      </c>
      <c r="G527" s="23">
        <v>3.3863866701719998E-4</v>
      </c>
      <c r="H527" s="24">
        <v>0.60751777887344305</v>
      </c>
      <c r="I527" s="23">
        <v>5.4182186722755397E-2</v>
      </c>
      <c r="J527" s="24">
        <v>0.100914321839809</v>
      </c>
      <c r="K527" s="23">
        <v>3.3525228500366197E-2</v>
      </c>
      <c r="L527" s="23">
        <v>5.7568573392928002E-3</v>
      </c>
      <c r="M527" s="24">
        <v>0.19810362160205799</v>
      </c>
      <c r="N527" s="23">
        <v>0</v>
      </c>
      <c r="O527" s="23">
        <v>1.6254656016826598E-2</v>
      </c>
      <c r="P527" s="23">
        <v>0</v>
      </c>
      <c r="Q527" s="24">
        <v>0.494412451982498</v>
      </c>
      <c r="R527" s="25">
        <v>0</v>
      </c>
      <c r="S527" s="25">
        <v>0</v>
      </c>
      <c r="T527" s="25">
        <v>1.3545546901456146E-2</v>
      </c>
    </row>
    <row r="528" spans="1:20" x14ac:dyDescent="0.25">
      <c r="A528" s="8" t="s">
        <v>1125</v>
      </c>
      <c r="B528" s="8" t="s">
        <v>1126</v>
      </c>
      <c r="C528" s="8" t="s">
        <v>3540</v>
      </c>
      <c r="D528" s="8">
        <v>419</v>
      </c>
      <c r="E528" s="23">
        <v>0.48210024833679199</v>
      </c>
      <c r="F528" s="23">
        <v>0.51789975166320801</v>
      </c>
      <c r="G528" s="23">
        <v>0</v>
      </c>
      <c r="H528" s="23">
        <v>4.7732698731124002E-3</v>
      </c>
      <c r="I528" s="24">
        <v>0.12649165093898701</v>
      </c>
      <c r="J528" s="23">
        <v>0.86157518625259399</v>
      </c>
      <c r="K528" s="23">
        <v>0</v>
      </c>
      <c r="L528" s="23">
        <v>4.7732698731124002E-3</v>
      </c>
      <c r="M528" s="23">
        <v>2.3866349365562001E-3</v>
      </c>
      <c r="N528" s="23">
        <v>0</v>
      </c>
      <c r="O528" s="24">
        <v>0.19809068739414201</v>
      </c>
      <c r="P528" s="24">
        <v>0.26014319062232899</v>
      </c>
      <c r="Q528" s="23">
        <v>0.95704054832458496</v>
      </c>
      <c r="R528" s="25">
        <v>2.8639618138424822E-2</v>
      </c>
      <c r="S528" s="25">
        <v>0</v>
      </c>
      <c r="T528" s="25">
        <v>0.15990453460620524</v>
      </c>
    </row>
    <row r="529" spans="1:20" x14ac:dyDescent="0.25">
      <c r="A529" s="8" t="s">
        <v>1127</v>
      </c>
      <c r="B529" s="8" t="s">
        <v>1128</v>
      </c>
      <c r="C529" s="8" t="s">
        <v>3540</v>
      </c>
      <c r="D529" s="8">
        <v>399</v>
      </c>
      <c r="E529" s="24">
        <v>0.49874687194824202</v>
      </c>
      <c r="F529" s="24">
        <v>0.49874687194824202</v>
      </c>
      <c r="G529" s="23">
        <v>2.5062656495720001E-3</v>
      </c>
      <c r="H529" s="23">
        <v>7.5187966227531405E-2</v>
      </c>
      <c r="I529" s="23">
        <v>0.115288220345974</v>
      </c>
      <c r="J529" s="23">
        <v>0.76190477609634399</v>
      </c>
      <c r="K529" s="23">
        <v>2.5062656495720001E-3</v>
      </c>
      <c r="L529" s="23">
        <v>5.0125312991440001E-3</v>
      </c>
      <c r="M529" s="23">
        <v>3.7593983113765703E-2</v>
      </c>
      <c r="N529" s="23">
        <v>2.5062656495720001E-3</v>
      </c>
      <c r="O529" s="24">
        <v>0.17794486880302399</v>
      </c>
      <c r="P529" s="24">
        <v>0.30576440691947898</v>
      </c>
      <c r="Q529" s="23">
        <v>0.927318274974823</v>
      </c>
      <c r="R529" s="25">
        <v>2.5062656641604009E-3</v>
      </c>
      <c r="S529" s="25">
        <v>0</v>
      </c>
      <c r="T529" s="25">
        <v>0.15538847117794485</v>
      </c>
    </row>
    <row r="530" spans="1:20" x14ac:dyDescent="0.25">
      <c r="A530" s="8" t="s">
        <v>1129</v>
      </c>
      <c r="B530" s="8" t="s">
        <v>1130</v>
      </c>
      <c r="C530" s="8" t="s">
        <v>3540</v>
      </c>
      <c r="D530" s="8">
        <v>357</v>
      </c>
      <c r="E530" s="24">
        <v>0.45938375592231701</v>
      </c>
      <c r="F530" s="24">
        <v>0.54061627388000399</v>
      </c>
      <c r="G530" s="23">
        <v>0</v>
      </c>
      <c r="H530" s="23">
        <v>8.4033617749809993E-3</v>
      </c>
      <c r="I530" s="23">
        <v>9.2436976730823503E-2</v>
      </c>
      <c r="J530" s="24">
        <v>0.885154068470001</v>
      </c>
      <c r="K530" s="23">
        <v>0</v>
      </c>
      <c r="L530" s="23">
        <v>2.8011205140501001E-3</v>
      </c>
      <c r="M530" s="23">
        <v>1.1204482056200501E-2</v>
      </c>
      <c r="N530" s="23">
        <v>0</v>
      </c>
      <c r="O530" s="23">
        <v>2.8011204674840001E-2</v>
      </c>
      <c r="P530" s="24">
        <v>0.95518207550048795</v>
      </c>
      <c r="Q530" s="24">
        <v>0.95518207550048795</v>
      </c>
      <c r="R530" s="25">
        <v>0</v>
      </c>
      <c r="S530" s="25">
        <v>0</v>
      </c>
      <c r="T530" s="25">
        <v>1.9607843137254902E-2</v>
      </c>
    </row>
    <row r="531" spans="1:20" x14ac:dyDescent="0.25">
      <c r="A531" s="8" t="s">
        <v>1131</v>
      </c>
      <c r="B531" s="8" t="s">
        <v>1132</v>
      </c>
      <c r="C531" s="8" t="s">
        <v>3540</v>
      </c>
      <c r="D531" s="8">
        <v>219</v>
      </c>
      <c r="E531" s="24">
        <v>0.57534247636795</v>
      </c>
      <c r="F531" s="24">
        <v>0.42009133100509599</v>
      </c>
      <c r="G531" s="23">
        <v>4.5662098564207996E-3</v>
      </c>
      <c r="H531" s="23">
        <v>0</v>
      </c>
      <c r="I531" s="24">
        <v>0.27853882312774603</v>
      </c>
      <c r="J531" s="24">
        <v>0.67579907178878695</v>
      </c>
      <c r="K531" s="23">
        <v>0</v>
      </c>
      <c r="L531" s="23">
        <v>9.1324197128415004E-3</v>
      </c>
      <c r="M531" s="23">
        <v>2.2831050679087601E-2</v>
      </c>
      <c r="N531" s="23">
        <v>1.36986300349236E-2</v>
      </c>
      <c r="O531" s="24">
        <v>0.32876712083816501</v>
      </c>
      <c r="P531" s="24">
        <v>0.109589040279388</v>
      </c>
      <c r="Q531" s="23">
        <v>0.922374427318573</v>
      </c>
      <c r="R531" s="25">
        <v>0</v>
      </c>
      <c r="S531" s="25">
        <v>5.9360730593607303E-2</v>
      </c>
      <c r="T531" s="25">
        <v>0.27853881278538811</v>
      </c>
    </row>
    <row r="532" spans="1:20" x14ac:dyDescent="0.25">
      <c r="A532" s="8" t="s">
        <v>1133</v>
      </c>
      <c r="B532" s="8" t="s">
        <v>1134</v>
      </c>
      <c r="C532" s="8" t="s">
        <v>3540</v>
      </c>
      <c r="D532" s="8">
        <v>383</v>
      </c>
      <c r="E532" s="24">
        <v>0.42036554217338501</v>
      </c>
      <c r="F532" s="24">
        <v>0.57963448762893599</v>
      </c>
      <c r="G532" s="23">
        <v>0</v>
      </c>
      <c r="H532" s="23">
        <v>2.3498695343732799E-2</v>
      </c>
      <c r="I532" s="24">
        <v>0.14882506430149001</v>
      </c>
      <c r="J532" s="24">
        <v>0.79373365640640203</v>
      </c>
      <c r="K532" s="23">
        <v>0</v>
      </c>
      <c r="L532" s="23">
        <v>5.2219321951269999E-3</v>
      </c>
      <c r="M532" s="23">
        <v>2.6109660044312501E-2</v>
      </c>
      <c r="N532" s="23">
        <v>2.6109660975635E-3</v>
      </c>
      <c r="O532" s="24">
        <v>0.25848564505576999</v>
      </c>
      <c r="P532" s="24">
        <v>0.22454307973384799</v>
      </c>
      <c r="Q532" s="24">
        <v>0.91383814811706499</v>
      </c>
      <c r="R532" s="25">
        <v>0</v>
      </c>
      <c r="S532" s="25">
        <v>5.2219321148825066E-3</v>
      </c>
      <c r="T532" s="25">
        <v>0.24543080939947781</v>
      </c>
    </row>
    <row r="533" spans="1:20" x14ac:dyDescent="0.25">
      <c r="A533" s="8" t="s">
        <v>1135</v>
      </c>
      <c r="B533" s="8" t="s">
        <v>1136</v>
      </c>
      <c r="C533" s="8" t="s">
        <v>3540</v>
      </c>
      <c r="D533" s="8">
        <v>325</v>
      </c>
      <c r="E533" s="24">
        <v>0.34461537003517101</v>
      </c>
      <c r="F533" s="24">
        <v>0.65538460016250599</v>
      </c>
      <c r="G533" s="23">
        <v>0</v>
      </c>
      <c r="H533" s="23">
        <v>1.8461538478732099E-2</v>
      </c>
      <c r="I533" s="24">
        <v>0.26769229769706698</v>
      </c>
      <c r="J533" s="24">
        <v>0.67692309617996205</v>
      </c>
      <c r="K533" s="23">
        <v>6.1538461595774E-3</v>
      </c>
      <c r="L533" s="23">
        <v>9.2307692393660996E-3</v>
      </c>
      <c r="M533" s="23">
        <v>1.8461538478732099E-2</v>
      </c>
      <c r="N533" s="23">
        <v>3.0769230797887E-3</v>
      </c>
      <c r="O533" s="24">
        <v>0.249230772256851</v>
      </c>
      <c r="P533" s="24">
        <v>0.12615384161472301</v>
      </c>
      <c r="Q533" s="24">
        <v>0.92000001668929998</v>
      </c>
      <c r="R533" s="25">
        <v>0</v>
      </c>
      <c r="S533" s="25">
        <v>3.0769230769230769E-3</v>
      </c>
      <c r="T533" s="25">
        <v>0.23384615384615384</v>
      </c>
    </row>
    <row r="534" spans="1:20" x14ac:dyDescent="0.25">
      <c r="A534" s="8" t="s">
        <v>1137</v>
      </c>
      <c r="B534" s="8" t="s">
        <v>1138</v>
      </c>
      <c r="C534" s="8" t="s">
        <v>3540</v>
      </c>
      <c r="D534" s="8">
        <v>393</v>
      </c>
      <c r="E534" s="24">
        <v>0.54452925920486395</v>
      </c>
      <c r="F534" s="24">
        <v>0.455470740795135</v>
      </c>
      <c r="G534" s="23">
        <v>0</v>
      </c>
      <c r="H534" s="23">
        <v>0.22646310925483701</v>
      </c>
      <c r="I534" s="23">
        <v>7.6335877180099501E-2</v>
      </c>
      <c r="J534" s="23">
        <v>0.22137404978275299</v>
      </c>
      <c r="K534" s="23">
        <v>4.3256998062133803E-2</v>
      </c>
      <c r="L534" s="23">
        <v>1.27226458862424E-2</v>
      </c>
      <c r="M534" s="24">
        <v>0.40203562378883301</v>
      </c>
      <c r="N534" s="23">
        <v>1.7811704427003899E-2</v>
      </c>
      <c r="O534" s="23">
        <v>4.0712468326091801E-2</v>
      </c>
      <c r="P534" s="23">
        <v>2.5445292703806998E-3</v>
      </c>
      <c r="Q534" s="24">
        <v>0.37404578924178999</v>
      </c>
      <c r="R534" s="25">
        <v>0</v>
      </c>
      <c r="S534" s="25">
        <v>0</v>
      </c>
      <c r="T534" s="25">
        <v>3.3078880407124679E-2</v>
      </c>
    </row>
    <row r="535" spans="1:20" x14ac:dyDescent="0.25">
      <c r="A535" s="8" t="s">
        <v>1139</v>
      </c>
      <c r="B535" s="8" t="s">
        <v>1140</v>
      </c>
      <c r="C535" s="8" t="s">
        <v>3540</v>
      </c>
      <c r="D535" s="8">
        <v>345</v>
      </c>
      <c r="E535" s="24">
        <v>0.50144928693771296</v>
      </c>
      <c r="F535" s="24">
        <v>0.49855071306228599</v>
      </c>
      <c r="G535" s="23">
        <v>0</v>
      </c>
      <c r="H535" s="23">
        <v>5.2173912525177002E-2</v>
      </c>
      <c r="I535" s="24">
        <v>0.298550724983215</v>
      </c>
      <c r="J535" s="23">
        <v>0.58260869979858398</v>
      </c>
      <c r="K535" s="23">
        <v>8.6956517770886005E-3</v>
      </c>
      <c r="L535" s="23">
        <v>4.05797101557255E-2</v>
      </c>
      <c r="M535" s="23">
        <v>1.7391303554177302E-2</v>
      </c>
      <c r="N535" s="23">
        <v>0</v>
      </c>
      <c r="O535" s="24">
        <v>0.15362319350242601</v>
      </c>
      <c r="P535" s="24">
        <v>0.23478260636329601</v>
      </c>
      <c r="Q535" s="24">
        <v>0.93623191118240301</v>
      </c>
      <c r="R535" s="25">
        <v>2.318840579710145E-2</v>
      </c>
      <c r="S535" s="25">
        <v>2.8985507246376812E-3</v>
      </c>
      <c r="T535" s="25">
        <v>0.11014492753623188</v>
      </c>
    </row>
    <row r="536" spans="1:20" x14ac:dyDescent="0.25">
      <c r="A536" s="8" t="s">
        <v>1141</v>
      </c>
      <c r="B536" s="8" t="s">
        <v>1142</v>
      </c>
      <c r="C536" s="8" t="s">
        <v>3540</v>
      </c>
      <c r="D536" s="8">
        <v>677</v>
      </c>
      <c r="E536" s="24">
        <v>0.47119644284248302</v>
      </c>
      <c r="F536" s="24">
        <v>0.52880352735519398</v>
      </c>
      <c r="G536" s="23">
        <v>0</v>
      </c>
      <c r="H536" s="23">
        <v>3.8404725492000601E-2</v>
      </c>
      <c r="I536" s="23">
        <v>8.12407657504082E-2</v>
      </c>
      <c r="J536" s="24">
        <v>0.35598227381706199</v>
      </c>
      <c r="K536" s="23">
        <v>3.69276218116283E-2</v>
      </c>
      <c r="L536" s="23">
        <v>2.0679468289017702E-2</v>
      </c>
      <c r="M536" s="24">
        <v>0.46676513552665699</v>
      </c>
      <c r="N536" s="23">
        <v>0</v>
      </c>
      <c r="O536" s="24">
        <v>0.15361890196800199</v>
      </c>
      <c r="P536" s="23">
        <v>7.5332351028919206E-2</v>
      </c>
      <c r="Q536" s="24">
        <v>0.62924665212631203</v>
      </c>
      <c r="R536" s="25">
        <v>0</v>
      </c>
      <c r="S536" s="25">
        <v>0</v>
      </c>
      <c r="T536" s="25">
        <v>0.15214180206794684</v>
      </c>
    </row>
    <row r="537" spans="1:20" x14ac:dyDescent="0.25">
      <c r="A537" s="8" t="s">
        <v>1143</v>
      </c>
      <c r="B537" s="8" t="s">
        <v>1144</v>
      </c>
      <c r="C537" s="8" t="s">
        <v>3540</v>
      </c>
      <c r="D537" s="8">
        <v>408</v>
      </c>
      <c r="E537" s="24">
        <v>0.46323528885841297</v>
      </c>
      <c r="F537" s="24">
        <v>0.53676468133926303</v>
      </c>
      <c r="G537" s="23">
        <v>0</v>
      </c>
      <c r="H537" s="23">
        <v>5.39215691387653E-2</v>
      </c>
      <c r="I537" s="24">
        <v>0.50980395078659002</v>
      </c>
      <c r="J537" s="23">
        <v>0.375</v>
      </c>
      <c r="K537" s="23">
        <v>9.8039219155907995E-3</v>
      </c>
      <c r="L537" s="23">
        <v>1.4705882407724901E-2</v>
      </c>
      <c r="M537" s="23">
        <v>3.6764707416295998E-2</v>
      </c>
      <c r="N537" s="23">
        <v>0</v>
      </c>
      <c r="O537" s="24">
        <v>0.276960790157318</v>
      </c>
      <c r="P537" s="24">
        <v>0.14460784196853599</v>
      </c>
      <c r="Q537" s="24">
        <v>0.94362747669219904</v>
      </c>
      <c r="R537" s="25">
        <v>0.11764705882352941</v>
      </c>
      <c r="S537" s="25">
        <v>2.4509803921568627E-3</v>
      </c>
      <c r="T537" s="25">
        <v>0.17892156862745098</v>
      </c>
    </row>
    <row r="538" spans="1:20" x14ac:dyDescent="0.25">
      <c r="A538" s="8" t="s">
        <v>1145</v>
      </c>
      <c r="B538" s="8" t="s">
        <v>1146</v>
      </c>
      <c r="C538" s="8" t="s">
        <v>3540</v>
      </c>
      <c r="D538" s="8">
        <v>611</v>
      </c>
      <c r="E538" s="24">
        <v>0.50409168004989602</v>
      </c>
      <c r="F538" s="24">
        <v>0.49590834975242598</v>
      </c>
      <c r="G538" s="23">
        <v>0</v>
      </c>
      <c r="H538" s="23">
        <v>2.2913256660103801E-2</v>
      </c>
      <c r="I538" s="24">
        <v>0.42716857790946899</v>
      </c>
      <c r="J538" s="23">
        <v>0.50900161266326904</v>
      </c>
      <c r="K538" s="23">
        <v>3.2733224797993998E-3</v>
      </c>
      <c r="L538" s="23">
        <v>2.1276595070958099E-2</v>
      </c>
      <c r="M538" s="23">
        <v>1.6366612166166299E-2</v>
      </c>
      <c r="N538" s="23">
        <v>0</v>
      </c>
      <c r="O538" s="23">
        <v>0.2209492623806</v>
      </c>
      <c r="P538" s="24">
        <v>0.153846159577369</v>
      </c>
      <c r="Q538" s="23">
        <v>0.95090013742446899</v>
      </c>
      <c r="R538" s="25">
        <v>4.9099836333878887E-3</v>
      </c>
      <c r="S538" s="25">
        <v>7.0376432078559745E-2</v>
      </c>
      <c r="T538" s="25">
        <v>0.14729950900163666</v>
      </c>
    </row>
    <row r="539" spans="1:20" x14ac:dyDescent="0.25">
      <c r="A539" s="8" t="s">
        <v>1147</v>
      </c>
      <c r="B539" s="8" t="s">
        <v>1148</v>
      </c>
      <c r="C539" s="8" t="s">
        <v>3540</v>
      </c>
      <c r="D539" s="8">
        <v>498</v>
      </c>
      <c r="E539" s="24">
        <v>0.46787148714065502</v>
      </c>
      <c r="F539" s="24">
        <v>0.53212851285934404</v>
      </c>
      <c r="G539" s="23">
        <v>0</v>
      </c>
      <c r="H539" s="23">
        <v>2.0080320537090302E-2</v>
      </c>
      <c r="I539" s="24">
        <v>0.62248998880386297</v>
      </c>
      <c r="J539" s="24">
        <v>0.29518070816993702</v>
      </c>
      <c r="K539" s="23">
        <v>1.8072288483381299E-2</v>
      </c>
      <c r="L539" s="23">
        <v>1.20481923222542E-2</v>
      </c>
      <c r="M539" s="23">
        <v>3.2128512859344503E-2</v>
      </c>
      <c r="N539" s="23">
        <v>0</v>
      </c>
      <c r="O539" s="24">
        <v>0.34337350726127602</v>
      </c>
      <c r="P539" s="23">
        <v>5.8232933282852201E-2</v>
      </c>
      <c r="Q539" s="24">
        <v>0.80321288108825595</v>
      </c>
      <c r="R539" s="25">
        <v>0.18072289156626506</v>
      </c>
      <c r="S539" s="25">
        <v>0</v>
      </c>
      <c r="T539" s="25">
        <v>0.17871485943775101</v>
      </c>
    </row>
    <row r="540" spans="1:20" x14ac:dyDescent="0.25">
      <c r="A540" s="8" t="s">
        <v>1149</v>
      </c>
      <c r="B540" s="8" t="s">
        <v>1150</v>
      </c>
      <c r="C540" s="8" t="s">
        <v>3540</v>
      </c>
      <c r="D540" s="8">
        <v>587</v>
      </c>
      <c r="E540" s="24">
        <v>0.45315161347389199</v>
      </c>
      <c r="F540" s="24">
        <v>0.54684835672378496</v>
      </c>
      <c r="G540" s="23">
        <v>0</v>
      </c>
      <c r="H540" s="23">
        <v>5.6218057870864903E-2</v>
      </c>
      <c r="I540" s="23">
        <v>0.29301533102989202</v>
      </c>
      <c r="J540" s="23">
        <v>0.53662693500518799</v>
      </c>
      <c r="K540" s="23">
        <v>1.53321977704763E-2</v>
      </c>
      <c r="L540" s="23">
        <v>6.8143098615109999E-3</v>
      </c>
      <c r="M540" s="23">
        <v>9.1993182897567694E-2</v>
      </c>
      <c r="N540" s="23">
        <v>0</v>
      </c>
      <c r="O540" s="24">
        <v>0.241908013820648</v>
      </c>
      <c r="P540" s="24">
        <v>0.26916524767875599</v>
      </c>
      <c r="Q540" s="24">
        <v>0.86712098121643</v>
      </c>
      <c r="R540" s="25">
        <v>8.1771720613287899E-2</v>
      </c>
      <c r="S540" s="25">
        <v>0</v>
      </c>
      <c r="T540" s="25">
        <v>0.15843270868824533</v>
      </c>
    </row>
    <row r="541" spans="1:20" x14ac:dyDescent="0.25">
      <c r="A541" s="8" t="s">
        <v>1151</v>
      </c>
      <c r="B541" s="8" t="s">
        <v>1152</v>
      </c>
      <c r="C541" s="8" t="s">
        <v>3540</v>
      </c>
      <c r="D541" s="8">
        <v>630</v>
      </c>
      <c r="E541" s="24">
        <v>0.477777779102325</v>
      </c>
      <c r="F541" s="24">
        <v>0.52222222089767401</v>
      </c>
      <c r="G541" s="23">
        <v>0</v>
      </c>
      <c r="H541" s="23">
        <v>2.3809524253010701E-2</v>
      </c>
      <c r="I541" s="24">
        <v>0.557142853736877</v>
      </c>
      <c r="J541" s="24">
        <v>0.369841277599334</v>
      </c>
      <c r="K541" s="23">
        <v>9.5238098874687992E-3</v>
      </c>
      <c r="L541" s="23">
        <v>7.9365083947778008E-3</v>
      </c>
      <c r="M541" s="23">
        <v>3.1746033579111099E-2</v>
      </c>
      <c r="N541" s="23">
        <v>0</v>
      </c>
      <c r="O541" s="24">
        <v>0.247619047760963</v>
      </c>
      <c r="P541" s="24">
        <v>0.109523810446262</v>
      </c>
      <c r="Q541" s="24">
        <v>0.90476191043853704</v>
      </c>
      <c r="R541" s="25">
        <v>9.0476190476190474E-2</v>
      </c>
      <c r="S541" s="25">
        <v>0</v>
      </c>
      <c r="T541" s="25">
        <v>0.14603174603174604</v>
      </c>
    </row>
    <row r="542" spans="1:20" x14ac:dyDescent="0.25">
      <c r="A542" s="8" t="s">
        <v>1153</v>
      </c>
      <c r="B542" s="8" t="s">
        <v>1154</v>
      </c>
      <c r="C542" s="8" t="s">
        <v>3540</v>
      </c>
      <c r="D542" s="8">
        <v>1466</v>
      </c>
      <c r="E542" s="24">
        <v>0.478854030370712</v>
      </c>
      <c r="F542" s="24">
        <v>0.52114599943161</v>
      </c>
      <c r="G542" s="23">
        <v>0</v>
      </c>
      <c r="H542" s="24">
        <v>0.11391541361808701</v>
      </c>
      <c r="I542" s="23">
        <v>4.5702591538429302E-2</v>
      </c>
      <c r="J542" s="24">
        <v>0.43383356928825301</v>
      </c>
      <c r="K542" s="23">
        <v>9.5497956499456995E-3</v>
      </c>
      <c r="L542" s="23">
        <v>1.1596180498599999E-2</v>
      </c>
      <c r="M542" s="24">
        <v>0.38540244102478</v>
      </c>
      <c r="N542" s="23">
        <v>0</v>
      </c>
      <c r="O542" s="24">
        <v>0.20259208977222401</v>
      </c>
      <c r="P542" s="24">
        <v>0.23328785598278001</v>
      </c>
      <c r="Q542" s="24">
        <v>0.85402452945709195</v>
      </c>
      <c r="R542" s="25">
        <v>5.4570259208731244E-2</v>
      </c>
      <c r="S542" s="25">
        <v>0</v>
      </c>
      <c r="T542" s="25">
        <v>0.14529331514324692</v>
      </c>
    </row>
    <row r="543" spans="1:20" x14ac:dyDescent="0.25">
      <c r="A543" s="8" t="s">
        <v>1155</v>
      </c>
      <c r="B543" s="8" t="s">
        <v>1156</v>
      </c>
      <c r="C543" s="8" t="s">
        <v>3540</v>
      </c>
      <c r="D543" s="8">
        <v>317</v>
      </c>
      <c r="E543" s="24">
        <v>0.498422712087631</v>
      </c>
      <c r="F543" s="24">
        <v>0.50157725811004605</v>
      </c>
      <c r="G543" s="23">
        <v>0</v>
      </c>
      <c r="H543" s="23">
        <v>3.1545739620924003E-2</v>
      </c>
      <c r="I543" s="24">
        <v>0.52365928888320901</v>
      </c>
      <c r="J543" s="23">
        <v>0.34700316190719599</v>
      </c>
      <c r="K543" s="23">
        <v>2.5236593559384301E-2</v>
      </c>
      <c r="L543" s="23">
        <v>5.6782335042953498E-2</v>
      </c>
      <c r="M543" s="23">
        <v>1.5772869810462001E-2</v>
      </c>
      <c r="N543" s="23">
        <v>0</v>
      </c>
      <c r="O543" s="24">
        <v>0.182965293526649</v>
      </c>
      <c r="P543" s="23">
        <v>8.2018926739692702E-2</v>
      </c>
      <c r="Q543" s="24">
        <v>0.88328075408935502</v>
      </c>
      <c r="R543" s="25">
        <v>0.10094637223974763</v>
      </c>
      <c r="S543" s="25">
        <v>6.3091482649842269E-3</v>
      </c>
      <c r="T543" s="25">
        <v>8.5173501577287064E-2</v>
      </c>
    </row>
    <row r="544" spans="1:20" x14ac:dyDescent="0.25">
      <c r="A544" s="8" t="s">
        <v>1157</v>
      </c>
      <c r="B544" s="8" t="s">
        <v>1158</v>
      </c>
      <c r="C544" s="8" t="s">
        <v>3540</v>
      </c>
      <c r="D544" s="8">
        <v>1182</v>
      </c>
      <c r="E544" s="23">
        <v>0.5</v>
      </c>
      <c r="F544" s="23">
        <v>0.5</v>
      </c>
      <c r="G544" s="23">
        <v>0</v>
      </c>
      <c r="H544" s="23">
        <v>9.1370560228824602E-2</v>
      </c>
      <c r="I544" s="24">
        <v>0.17258882522582999</v>
      </c>
      <c r="J544" s="24">
        <v>0.52876478433608998</v>
      </c>
      <c r="K544" s="23">
        <v>1.0152284055948301E-2</v>
      </c>
      <c r="L544" s="23">
        <v>5.0761420279741001E-3</v>
      </c>
      <c r="M544" s="24">
        <v>0.19120135903358401</v>
      </c>
      <c r="N544" s="23">
        <v>8.4602367132899999E-4</v>
      </c>
      <c r="O544" s="24">
        <v>0.17428088188171301</v>
      </c>
      <c r="P544" s="24">
        <v>0.19627749919891299</v>
      </c>
      <c r="Q544" s="23">
        <v>0.86632823944091797</v>
      </c>
      <c r="R544" s="25">
        <v>3.3840947546531302E-3</v>
      </c>
      <c r="S544" s="25">
        <v>4.9915397631133673E-2</v>
      </c>
      <c r="T544" s="25">
        <v>0.12098138747884941</v>
      </c>
    </row>
    <row r="545" spans="1:20" x14ac:dyDescent="0.25">
      <c r="A545" s="8" t="s">
        <v>1159</v>
      </c>
      <c r="B545" s="8" t="s">
        <v>1160</v>
      </c>
      <c r="C545" s="8" t="s">
        <v>3540</v>
      </c>
      <c r="D545" s="8">
        <v>895</v>
      </c>
      <c r="E545" s="24">
        <v>0.49608939886093101</v>
      </c>
      <c r="F545" s="24">
        <v>0.50391060113906805</v>
      </c>
      <c r="G545" s="23">
        <v>0</v>
      </c>
      <c r="H545" s="23">
        <v>3.2402236014604603E-2</v>
      </c>
      <c r="I545" s="24">
        <v>0.19553072750568301</v>
      </c>
      <c r="J545" s="24">
        <v>0.61005586385726895</v>
      </c>
      <c r="K545" s="23">
        <v>1.22905028983951E-2</v>
      </c>
      <c r="L545" s="23">
        <v>1.1173184029758E-3</v>
      </c>
      <c r="M545" s="24">
        <v>0.148603349924087</v>
      </c>
      <c r="N545" s="23">
        <v>0</v>
      </c>
      <c r="O545" s="24">
        <v>0.21787708997726399</v>
      </c>
      <c r="P545" s="24">
        <v>0.102793298661708</v>
      </c>
      <c r="Q545" s="24">
        <v>0.90391063690185502</v>
      </c>
      <c r="R545" s="25">
        <v>6.7039106145251395E-2</v>
      </c>
      <c r="S545" s="25">
        <v>1.1173184357541898E-3</v>
      </c>
      <c r="T545" s="25">
        <v>0.13519553072625698</v>
      </c>
    </row>
    <row r="546" spans="1:20" x14ac:dyDescent="0.25">
      <c r="A546" s="8" t="s">
        <v>1161</v>
      </c>
      <c r="B546" s="8" t="s">
        <v>1162</v>
      </c>
      <c r="C546" s="8" t="s">
        <v>3540</v>
      </c>
      <c r="D546" s="8">
        <v>585</v>
      </c>
      <c r="E546" s="24">
        <v>0.50256413221359197</v>
      </c>
      <c r="F546" s="24">
        <v>0.49743589758872903</v>
      </c>
      <c r="G546" s="23">
        <v>0</v>
      </c>
      <c r="H546" s="24">
        <v>0.21709401905536599</v>
      </c>
      <c r="I546" s="24">
        <v>0.16581197082996299</v>
      </c>
      <c r="J546" s="24">
        <v>0.459829062223434</v>
      </c>
      <c r="K546" s="23">
        <v>1.367521379143E-2</v>
      </c>
      <c r="L546" s="23">
        <v>1.19658121839166E-2</v>
      </c>
      <c r="M546" s="24">
        <v>0.13162393867969499</v>
      </c>
      <c r="N546" s="23">
        <v>0</v>
      </c>
      <c r="O546" s="24">
        <v>0.25128206610679599</v>
      </c>
      <c r="P546" s="24">
        <v>0.116239316761493</v>
      </c>
      <c r="Q546" s="24">
        <v>0.84615385532379095</v>
      </c>
      <c r="R546" s="25">
        <v>3.4188034188034191E-2</v>
      </c>
      <c r="S546" s="25">
        <v>0</v>
      </c>
      <c r="T546" s="25">
        <v>0.20854700854700856</v>
      </c>
    </row>
    <row r="547" spans="1:20" x14ac:dyDescent="0.25">
      <c r="A547" s="8" t="s">
        <v>1163</v>
      </c>
      <c r="B547" s="8" t="s">
        <v>1164</v>
      </c>
      <c r="C547" s="8" t="s">
        <v>3540</v>
      </c>
      <c r="D547" s="8">
        <v>788</v>
      </c>
      <c r="E547" s="24">
        <v>0.475888311862945</v>
      </c>
      <c r="F547" s="24">
        <v>0.524111688137054</v>
      </c>
      <c r="G547" s="23">
        <v>0</v>
      </c>
      <c r="H547" s="23">
        <v>1.1421320028603099E-2</v>
      </c>
      <c r="I547" s="24">
        <v>0.298223346471786</v>
      </c>
      <c r="J547" s="24">
        <v>0.61421316862106301</v>
      </c>
      <c r="K547" s="23">
        <v>8.8832490146160004E-3</v>
      </c>
      <c r="L547" s="23">
        <v>2.79187820851803E-2</v>
      </c>
      <c r="M547" s="23">
        <v>3.9340101182460799E-2</v>
      </c>
      <c r="N547" s="23">
        <v>0</v>
      </c>
      <c r="O547" s="24">
        <v>0.24873095750808699</v>
      </c>
      <c r="P547" s="24">
        <v>0.23604060709476399</v>
      </c>
      <c r="Q547" s="24">
        <v>0.94035530090331998</v>
      </c>
      <c r="R547" s="25">
        <v>7.6142131979695438E-2</v>
      </c>
      <c r="S547" s="25">
        <v>0</v>
      </c>
      <c r="T547" s="25">
        <v>0.1814720812182741</v>
      </c>
    </row>
    <row r="548" spans="1:20" x14ac:dyDescent="0.25">
      <c r="A548" s="8" t="s">
        <v>1165</v>
      </c>
      <c r="B548" s="8" t="s">
        <v>1166</v>
      </c>
      <c r="C548" s="8" t="s">
        <v>3540</v>
      </c>
      <c r="D548" s="8">
        <v>668</v>
      </c>
      <c r="E548" s="23">
        <v>0.46257483959197998</v>
      </c>
      <c r="F548" s="23">
        <v>0.53742516040802002</v>
      </c>
      <c r="G548" s="23">
        <v>0</v>
      </c>
      <c r="H548" s="24">
        <v>0.11826347559690401</v>
      </c>
      <c r="I548" s="24">
        <v>0.10179640352725899</v>
      </c>
      <c r="J548" s="24">
        <v>0.60479038953781095</v>
      </c>
      <c r="K548" s="23">
        <v>8.9820362627505996E-3</v>
      </c>
      <c r="L548" s="23">
        <v>8.9820362627505996E-3</v>
      </c>
      <c r="M548" s="24">
        <v>0.15568862855434401</v>
      </c>
      <c r="N548" s="23">
        <v>1.4970060437918E-3</v>
      </c>
      <c r="O548" s="23">
        <v>0.193113774061203</v>
      </c>
      <c r="P548" s="23">
        <v>0.27994012832641602</v>
      </c>
      <c r="Q548" s="24">
        <v>0.94161677360534601</v>
      </c>
      <c r="R548" s="25">
        <v>5.3892215568862277E-2</v>
      </c>
      <c r="S548" s="25">
        <v>0</v>
      </c>
      <c r="T548" s="25">
        <v>0.13023952095808383</v>
      </c>
    </row>
    <row r="549" spans="1:20" x14ac:dyDescent="0.25">
      <c r="A549" s="8" t="s">
        <v>1167</v>
      </c>
      <c r="B549" s="8" t="s">
        <v>1168</v>
      </c>
      <c r="C549" s="8" t="s">
        <v>3540</v>
      </c>
      <c r="D549" s="8">
        <v>835</v>
      </c>
      <c r="E549" s="24">
        <v>0.46586826443672102</v>
      </c>
      <c r="F549" s="24">
        <v>0.53413176536560003</v>
      </c>
      <c r="G549" s="23">
        <v>0</v>
      </c>
      <c r="H549" s="24">
        <v>0.45269462466239901</v>
      </c>
      <c r="I549" s="24">
        <v>0.21556885540485299</v>
      </c>
      <c r="J549" s="24">
        <v>0.288622766733169</v>
      </c>
      <c r="K549" s="23">
        <v>1.3173652812838599E-2</v>
      </c>
      <c r="L549" s="23">
        <v>9.5808384940028E-3</v>
      </c>
      <c r="M549" s="23">
        <v>2.0359281450510001E-2</v>
      </c>
      <c r="N549" s="23">
        <v>0</v>
      </c>
      <c r="O549" s="24">
        <v>0.24790419638156799</v>
      </c>
      <c r="P549" s="24">
        <v>0.146107777953147</v>
      </c>
      <c r="Q549" s="24">
        <v>0.88023954629898005</v>
      </c>
      <c r="R549" s="25">
        <v>9.3413173652694609E-2</v>
      </c>
      <c r="S549" s="25">
        <v>0</v>
      </c>
      <c r="T549" s="25">
        <v>0.1437125748502994</v>
      </c>
    </row>
    <row r="550" spans="1:20" x14ac:dyDescent="0.25">
      <c r="A550" s="8" t="s">
        <v>1169</v>
      </c>
      <c r="B550" s="8" t="s">
        <v>1170</v>
      </c>
      <c r="C550" s="8" t="s">
        <v>3540</v>
      </c>
      <c r="D550" s="8">
        <v>671</v>
      </c>
      <c r="E550" s="24">
        <v>0.487332344055175</v>
      </c>
      <c r="F550" s="24">
        <v>0.512667655944824</v>
      </c>
      <c r="G550" s="23">
        <v>0</v>
      </c>
      <c r="H550" s="24">
        <v>0.150521606206893</v>
      </c>
      <c r="I550" s="23">
        <v>4.3219074606895398E-2</v>
      </c>
      <c r="J550" s="24">
        <v>0.363636374473571</v>
      </c>
      <c r="K550" s="23">
        <v>1.3412816449999801E-2</v>
      </c>
      <c r="L550" s="23">
        <v>1.4903129776939999E-3</v>
      </c>
      <c r="M550" s="24">
        <v>0.42771983146667403</v>
      </c>
      <c r="N550" s="23">
        <v>0</v>
      </c>
      <c r="O550" s="24">
        <v>0.18926975131034801</v>
      </c>
      <c r="P550" s="23">
        <v>0.154992550611496</v>
      </c>
      <c r="Q550" s="24">
        <v>0.85245901346206598</v>
      </c>
      <c r="R550" s="25">
        <v>1.9374068554396422E-2</v>
      </c>
      <c r="S550" s="25">
        <v>0</v>
      </c>
      <c r="T550" s="25">
        <v>0.17585692995529062</v>
      </c>
    </row>
    <row r="551" spans="1:20" x14ac:dyDescent="0.25">
      <c r="A551" s="8" t="s">
        <v>1171</v>
      </c>
      <c r="B551" s="8" t="s">
        <v>1172</v>
      </c>
      <c r="C551" s="8" t="s">
        <v>3540</v>
      </c>
      <c r="D551" s="8">
        <v>397</v>
      </c>
      <c r="E551" s="24">
        <v>0.47103273868560702</v>
      </c>
      <c r="F551" s="24">
        <v>0.52896726131439198</v>
      </c>
      <c r="G551" s="23">
        <v>0</v>
      </c>
      <c r="H551" s="23">
        <v>1.7632242292165801E-2</v>
      </c>
      <c r="I551" s="24">
        <v>0.536523938179016</v>
      </c>
      <c r="J551" s="24">
        <v>0.42065492272376998</v>
      </c>
      <c r="K551" s="23">
        <v>5.0377831794321997E-3</v>
      </c>
      <c r="L551" s="23">
        <v>5.0377831794321997E-3</v>
      </c>
      <c r="M551" s="23">
        <v>1.51133500039577E-2</v>
      </c>
      <c r="N551" s="23">
        <v>0</v>
      </c>
      <c r="O551" s="23">
        <v>0.25692695379257202</v>
      </c>
      <c r="P551" s="23">
        <v>2.7707807719707499E-2</v>
      </c>
      <c r="Q551" s="24">
        <v>0.94206547737121504</v>
      </c>
      <c r="R551" s="25">
        <v>8.5642317380352648E-2</v>
      </c>
      <c r="S551" s="25">
        <v>2.5188916876574307E-3</v>
      </c>
      <c r="T551" s="25">
        <v>0.17632241813602015</v>
      </c>
    </row>
    <row r="552" spans="1:20" x14ac:dyDescent="0.25">
      <c r="A552" s="8" t="s">
        <v>1173</v>
      </c>
      <c r="B552" s="8" t="s">
        <v>1174</v>
      </c>
      <c r="C552" s="8" t="s">
        <v>3540</v>
      </c>
      <c r="D552" s="8">
        <v>379</v>
      </c>
      <c r="E552" s="24">
        <v>0.50131928920745805</v>
      </c>
      <c r="F552" s="24">
        <v>0.498680740594863</v>
      </c>
      <c r="G552" s="23">
        <v>0</v>
      </c>
      <c r="H552" s="23">
        <v>1.319261174649E-2</v>
      </c>
      <c r="I552" s="24">
        <v>0.366754621267318</v>
      </c>
      <c r="J552" s="23">
        <v>0.58311343193054199</v>
      </c>
      <c r="K552" s="23">
        <v>2.6385225355625001E-3</v>
      </c>
      <c r="L552" s="23">
        <v>1.5831135213375098E-2</v>
      </c>
      <c r="M552" s="23">
        <v>1.84696577489376E-2</v>
      </c>
      <c r="N552" s="23">
        <v>0</v>
      </c>
      <c r="O552" s="24">
        <v>0.33245381712913502</v>
      </c>
      <c r="P552" s="23">
        <v>0.110817939043045</v>
      </c>
      <c r="Q552" s="23">
        <v>0.93403691053390503</v>
      </c>
      <c r="R552" s="25">
        <v>0.13456464379947231</v>
      </c>
      <c r="S552" s="25">
        <v>1.0554089709762533E-2</v>
      </c>
      <c r="T552" s="25">
        <v>0.17414248021108181</v>
      </c>
    </row>
    <row r="553" spans="1:20" x14ac:dyDescent="0.25">
      <c r="A553" s="8" t="s">
        <v>1175</v>
      </c>
      <c r="B553" s="8" t="s">
        <v>1176</v>
      </c>
      <c r="C553" s="8" t="s">
        <v>3540</v>
      </c>
      <c r="D553" s="8">
        <v>617</v>
      </c>
      <c r="E553" s="24">
        <v>0.49108588695526101</v>
      </c>
      <c r="F553" s="24">
        <v>0.50891411304473799</v>
      </c>
      <c r="G553" s="23">
        <v>0</v>
      </c>
      <c r="H553" s="24">
        <v>0.14910858869552601</v>
      </c>
      <c r="I553" s="24">
        <v>0.39222040772437999</v>
      </c>
      <c r="J553" s="24">
        <v>0.40680712461471502</v>
      </c>
      <c r="K553" s="23">
        <v>6.4829820767045004E-3</v>
      </c>
      <c r="L553" s="23">
        <v>1.13452188670635E-2</v>
      </c>
      <c r="M553" s="23">
        <v>3.2414909452199901E-2</v>
      </c>
      <c r="N553" s="23">
        <v>1.6207455191760999E-3</v>
      </c>
      <c r="O553" s="24">
        <v>0.22528363764286</v>
      </c>
      <c r="P553" s="23">
        <v>7.1312807500362396E-2</v>
      </c>
      <c r="Q553" s="24">
        <v>0.833063185214996</v>
      </c>
      <c r="R553" s="25">
        <v>7.6175040518638576E-2</v>
      </c>
      <c r="S553" s="25">
        <v>0</v>
      </c>
      <c r="T553" s="25">
        <v>0.14424635332252836</v>
      </c>
    </row>
    <row r="554" spans="1:20" x14ac:dyDescent="0.25">
      <c r="A554" s="8" t="s">
        <v>1177</v>
      </c>
      <c r="B554" s="8" t="s">
        <v>1178</v>
      </c>
      <c r="C554" s="8" t="s">
        <v>3540</v>
      </c>
      <c r="D554" s="8">
        <v>781</v>
      </c>
      <c r="E554" s="24">
        <v>0.457106262445449</v>
      </c>
      <c r="F554" s="24">
        <v>0.54289370775222701</v>
      </c>
      <c r="G554" s="23">
        <v>0</v>
      </c>
      <c r="H554" s="24">
        <v>0.32778489589691101</v>
      </c>
      <c r="I554" s="24">
        <v>0.211267605423927</v>
      </c>
      <c r="J554" s="24">
        <v>0.41741356253623901</v>
      </c>
      <c r="K554" s="23">
        <v>2.5608194991945999E-3</v>
      </c>
      <c r="L554" s="23">
        <v>1.79257355630398E-2</v>
      </c>
      <c r="M554" s="23">
        <v>2.1766966208815599E-2</v>
      </c>
      <c r="N554" s="23">
        <v>1.2804097495973E-3</v>
      </c>
      <c r="O554" s="24">
        <v>0.20102432370185799</v>
      </c>
      <c r="P554" s="24">
        <v>0.179257363080978</v>
      </c>
      <c r="Q554" s="24">
        <v>0.84122920036315896</v>
      </c>
      <c r="R554" s="25">
        <v>1.2804097311139564E-3</v>
      </c>
      <c r="S554" s="25">
        <v>3.713188220230474E-2</v>
      </c>
      <c r="T554" s="25">
        <v>0.15620998719590268</v>
      </c>
    </row>
    <row r="555" spans="1:20" x14ac:dyDescent="0.25">
      <c r="A555" s="8" t="s">
        <v>1179</v>
      </c>
      <c r="B555" s="8" t="s">
        <v>1180</v>
      </c>
      <c r="C555" s="8" t="s">
        <v>3540</v>
      </c>
      <c r="D555" s="8">
        <v>390</v>
      </c>
      <c r="E555" s="24">
        <v>0.443589746952056</v>
      </c>
      <c r="F555" s="24">
        <v>0.556410253047943</v>
      </c>
      <c r="G555" s="23">
        <v>0</v>
      </c>
      <c r="H555" s="23">
        <v>6.9230772554874406E-2</v>
      </c>
      <c r="I555" s="24">
        <v>0.43589743971824602</v>
      </c>
      <c r="J555" s="24">
        <v>0.43846154212951599</v>
      </c>
      <c r="K555" s="23">
        <v>7.6923076994717E-3</v>
      </c>
      <c r="L555" s="23">
        <v>2.5641026441008E-3</v>
      </c>
      <c r="M555" s="23">
        <v>4.6153847128152799E-2</v>
      </c>
      <c r="N555" s="23">
        <v>0</v>
      </c>
      <c r="O555" s="24">
        <v>0.24358974397182401</v>
      </c>
      <c r="P555" s="24">
        <v>0.11282051354646599</v>
      </c>
      <c r="Q555" s="24">
        <v>0.88974356651306097</v>
      </c>
      <c r="R555" s="25">
        <v>0.1</v>
      </c>
      <c r="S555" s="25">
        <v>0</v>
      </c>
      <c r="T555" s="25">
        <v>0.14358974358974358</v>
      </c>
    </row>
    <row r="556" spans="1:20" x14ac:dyDescent="0.25">
      <c r="A556" s="8" t="s">
        <v>1181</v>
      </c>
      <c r="B556" s="8" t="s">
        <v>1182</v>
      </c>
      <c r="C556" s="8" t="s">
        <v>3540</v>
      </c>
      <c r="D556" s="8">
        <v>444</v>
      </c>
      <c r="E556" s="24">
        <v>0.49774774909019398</v>
      </c>
      <c r="F556" s="24">
        <v>0.50225228071212702</v>
      </c>
      <c r="G556" s="23">
        <v>0</v>
      </c>
      <c r="H556" s="23">
        <v>7.6576575636863695E-2</v>
      </c>
      <c r="I556" s="24">
        <v>0.61036038398742598</v>
      </c>
      <c r="J556" s="24">
        <v>0.26351350545883101</v>
      </c>
      <c r="K556" s="23">
        <v>2.02702693641186E-2</v>
      </c>
      <c r="L556" s="23">
        <v>1.3513513840735E-2</v>
      </c>
      <c r="M556" s="23">
        <v>1.57657656818628E-2</v>
      </c>
      <c r="N556" s="23">
        <v>0</v>
      </c>
      <c r="O556" s="24">
        <v>0.209459453821182</v>
      </c>
      <c r="P556" s="23">
        <v>2.9279278591275201E-2</v>
      </c>
      <c r="Q556" s="24">
        <v>0.72297298908233598</v>
      </c>
      <c r="R556" s="25">
        <v>4.72972972972973E-2</v>
      </c>
      <c r="S556" s="25">
        <v>0</v>
      </c>
      <c r="T556" s="25">
        <v>0.1463963963963964</v>
      </c>
    </row>
    <row r="557" spans="1:20" x14ac:dyDescent="0.25">
      <c r="A557" s="8" t="s">
        <v>1183</v>
      </c>
      <c r="B557" s="8" t="s">
        <v>1184</v>
      </c>
      <c r="C557" s="8" t="s">
        <v>3540</v>
      </c>
      <c r="D557" s="8">
        <v>282</v>
      </c>
      <c r="E557" s="24">
        <v>0.48936170339584301</v>
      </c>
      <c r="F557" s="24">
        <v>0.51063829660415605</v>
      </c>
      <c r="G557" s="23">
        <v>0</v>
      </c>
      <c r="H557" s="23">
        <v>3.1914893537759802E-2</v>
      </c>
      <c r="I557" s="24">
        <v>0.62056738138198797</v>
      </c>
      <c r="J557" s="24">
        <v>0.31205675005912697</v>
      </c>
      <c r="K557" s="23">
        <v>3.5460991784929999E-3</v>
      </c>
      <c r="L557" s="23">
        <v>7.0921983569859999E-3</v>
      </c>
      <c r="M557" s="23">
        <v>2.48226951807737E-2</v>
      </c>
      <c r="N557" s="23">
        <v>0</v>
      </c>
      <c r="O557" s="24">
        <v>0.20921985805034601</v>
      </c>
      <c r="P557" s="23">
        <v>5.3191490471363102E-2</v>
      </c>
      <c r="Q557" s="24">
        <v>0.77304965257644598</v>
      </c>
      <c r="R557" s="25">
        <v>2.8368794326241134E-2</v>
      </c>
      <c r="S557" s="25">
        <v>1.0638297872340425E-2</v>
      </c>
      <c r="T557" s="25">
        <v>0.14893617021276595</v>
      </c>
    </row>
    <row r="558" spans="1:20" x14ac:dyDescent="0.25">
      <c r="A558" s="8" t="s">
        <v>1185</v>
      </c>
      <c r="B558" s="8" t="s">
        <v>1186</v>
      </c>
      <c r="C558" s="8" t="s">
        <v>3540</v>
      </c>
      <c r="D558" s="8">
        <v>341</v>
      </c>
      <c r="E558" s="24">
        <v>0.49560117721557601</v>
      </c>
      <c r="F558" s="24">
        <v>0.50439882278442305</v>
      </c>
      <c r="G558" s="23">
        <v>0</v>
      </c>
      <c r="H558" s="23">
        <v>1.7595307901501701E-2</v>
      </c>
      <c r="I558" s="24">
        <v>0.66862171888351396</v>
      </c>
      <c r="J558" s="24">
        <v>0.29325512051582298</v>
      </c>
      <c r="K558" s="23">
        <v>2.9325513169169001E-3</v>
      </c>
      <c r="L558" s="23">
        <v>5.8651026338338999E-3</v>
      </c>
      <c r="M558" s="23">
        <v>1.17302052676678E-2</v>
      </c>
      <c r="N558" s="23">
        <v>0</v>
      </c>
      <c r="O558" s="24">
        <v>0.225806444883346</v>
      </c>
      <c r="P558" s="23">
        <v>6.7448683083057404E-2</v>
      </c>
      <c r="Q558" s="23">
        <v>0.82991200685501099</v>
      </c>
      <c r="R558" s="25">
        <v>0.10263929618768329</v>
      </c>
      <c r="S558" s="25">
        <v>0</v>
      </c>
      <c r="T558" s="25">
        <v>0.12316715542521994</v>
      </c>
    </row>
    <row r="559" spans="1:20" x14ac:dyDescent="0.25">
      <c r="A559" s="8" t="s">
        <v>1187</v>
      </c>
      <c r="B559" s="8" t="s">
        <v>1188</v>
      </c>
      <c r="C559" s="8" t="s">
        <v>3540</v>
      </c>
      <c r="D559" s="8">
        <v>262</v>
      </c>
      <c r="E559" s="24">
        <v>0.530534327030181</v>
      </c>
      <c r="F559" s="24">
        <v>0.46946564316749501</v>
      </c>
      <c r="G559" s="23">
        <v>0</v>
      </c>
      <c r="H559" s="23">
        <v>7.6335877180099501E-2</v>
      </c>
      <c r="I559" s="23">
        <v>9.9236644804477706E-2</v>
      </c>
      <c r="J559" s="24">
        <v>0.42748090624809199</v>
      </c>
      <c r="K559" s="23">
        <v>3.05343512445688E-2</v>
      </c>
      <c r="L559" s="23">
        <v>2.6717556640505801E-2</v>
      </c>
      <c r="M559" s="24">
        <v>0.33969464898109403</v>
      </c>
      <c r="N559" s="23">
        <v>0</v>
      </c>
      <c r="O559" s="23">
        <v>0.22137404978275299</v>
      </c>
      <c r="P559" s="23">
        <v>3.8167938590049702E-2</v>
      </c>
      <c r="Q559" s="24">
        <v>0.58396947383880604</v>
      </c>
      <c r="R559" s="25">
        <v>0</v>
      </c>
      <c r="S559" s="25">
        <v>3.8167938931297708E-3</v>
      </c>
      <c r="T559" s="25">
        <v>0.24427480916030533</v>
      </c>
    </row>
    <row r="560" spans="1:20" x14ac:dyDescent="0.25">
      <c r="A560" s="8" t="s">
        <v>1189</v>
      </c>
      <c r="B560" s="8" t="s">
        <v>1190</v>
      </c>
      <c r="C560" s="8" t="s">
        <v>3540</v>
      </c>
      <c r="D560" s="8">
        <v>338</v>
      </c>
      <c r="E560" s="24">
        <v>0.50887572765350297</v>
      </c>
      <c r="F560" s="24">
        <v>0.49112427234649603</v>
      </c>
      <c r="G560" s="23">
        <v>0</v>
      </c>
      <c r="H560" s="23">
        <v>5.3254436701536199E-2</v>
      </c>
      <c r="I560" s="24">
        <v>0.57396447658538796</v>
      </c>
      <c r="J560" s="24">
        <v>0.310650885105133</v>
      </c>
      <c r="K560" s="23">
        <v>5.9171598404645998E-3</v>
      </c>
      <c r="L560" s="23">
        <v>1.18343196809292E-2</v>
      </c>
      <c r="M560" s="23">
        <v>4.1420117020607002E-2</v>
      </c>
      <c r="N560" s="23">
        <v>2.9585799202322999E-3</v>
      </c>
      <c r="O560" s="24">
        <v>0.30177515745162897</v>
      </c>
      <c r="P560" s="23">
        <v>7.3964498937130002E-2</v>
      </c>
      <c r="Q560" s="24">
        <v>0.74852073192596402</v>
      </c>
      <c r="R560" s="25">
        <v>8.8757396449704144E-3</v>
      </c>
      <c r="S560" s="25">
        <v>0.10355029585798817</v>
      </c>
      <c r="T560" s="25">
        <v>0.15384615384615385</v>
      </c>
    </row>
    <row r="561" spans="1:20" x14ac:dyDescent="0.25">
      <c r="A561" s="8" t="s">
        <v>1191</v>
      </c>
      <c r="B561" s="8" t="s">
        <v>1192</v>
      </c>
      <c r="C561" s="8" t="s">
        <v>3540</v>
      </c>
      <c r="D561" s="8">
        <v>769</v>
      </c>
      <c r="E561" s="24">
        <v>0.51755523681640603</v>
      </c>
      <c r="F561" s="24">
        <v>0.48244473338127097</v>
      </c>
      <c r="G561" s="23">
        <v>0</v>
      </c>
      <c r="H561" s="23">
        <v>1.56046813353896E-2</v>
      </c>
      <c r="I561" s="24">
        <v>0.64239269495010298</v>
      </c>
      <c r="J561" s="24">
        <v>0.28998699784278797</v>
      </c>
      <c r="K561" s="23">
        <v>2.2106632590293902E-2</v>
      </c>
      <c r="L561" s="23">
        <v>1.56046813353896E-2</v>
      </c>
      <c r="M561" s="23">
        <v>1.43042914569378E-2</v>
      </c>
      <c r="N561" s="23">
        <v>0</v>
      </c>
      <c r="O561" s="24">
        <v>0.265279591083526</v>
      </c>
      <c r="P561" s="23">
        <v>4.03120927512646E-2</v>
      </c>
      <c r="Q561" s="24">
        <v>0.84395319223403897</v>
      </c>
      <c r="R561" s="25">
        <v>9.6228868660598182E-2</v>
      </c>
      <c r="S561" s="25">
        <v>1.3003901170351106E-3</v>
      </c>
      <c r="T561" s="25">
        <v>0.17425227568270482</v>
      </c>
    </row>
    <row r="562" spans="1:20" x14ac:dyDescent="0.25">
      <c r="A562" s="8" t="s">
        <v>1193</v>
      </c>
      <c r="B562" s="8" t="s">
        <v>1194</v>
      </c>
      <c r="C562" s="8" t="s">
        <v>3540</v>
      </c>
      <c r="D562" s="8">
        <v>489</v>
      </c>
      <c r="E562" s="23">
        <v>0.52351737022399902</v>
      </c>
      <c r="F562" s="23">
        <v>0.47648262977600098</v>
      </c>
      <c r="G562" s="23">
        <v>0</v>
      </c>
      <c r="H562" s="23">
        <v>0.10224948823452</v>
      </c>
      <c r="I562" s="24">
        <v>0.52147239446640004</v>
      </c>
      <c r="J562" s="24">
        <v>0.31288343667983998</v>
      </c>
      <c r="K562" s="23">
        <v>1.8404908478259999E-2</v>
      </c>
      <c r="L562" s="23">
        <v>1.4314928092062499E-2</v>
      </c>
      <c r="M562" s="23">
        <v>3.0674846842885E-2</v>
      </c>
      <c r="N562" s="23">
        <v>0</v>
      </c>
      <c r="O562" s="24">
        <v>0.23926380276679901</v>
      </c>
      <c r="P562" s="23">
        <v>5.3169734776020099E-2</v>
      </c>
      <c r="Q562" s="24">
        <v>0.79550099372863703</v>
      </c>
      <c r="R562" s="25">
        <v>4.7034764826175871E-2</v>
      </c>
      <c r="S562" s="25">
        <v>7.1574642126789365E-2</v>
      </c>
      <c r="T562" s="25">
        <v>0.11860940695296524</v>
      </c>
    </row>
    <row r="563" spans="1:20" x14ac:dyDescent="0.25">
      <c r="A563" s="8" t="s">
        <v>1195</v>
      </c>
      <c r="B563" s="8" t="s">
        <v>1196</v>
      </c>
      <c r="C563" s="8" t="s">
        <v>3540</v>
      </c>
      <c r="D563" s="8">
        <v>263</v>
      </c>
      <c r="E563" s="24">
        <v>0.54372626543045</v>
      </c>
      <c r="F563" s="24">
        <v>0.456273764371871</v>
      </c>
      <c r="G563" s="23">
        <v>0</v>
      </c>
      <c r="H563" s="23">
        <v>4.1825093328952803E-2</v>
      </c>
      <c r="I563" s="24">
        <v>0.39543727040290799</v>
      </c>
      <c r="J563" s="24">
        <v>0.52851712703704801</v>
      </c>
      <c r="K563" s="23">
        <v>7.6045626774429997E-3</v>
      </c>
      <c r="L563" s="23">
        <v>1.1406844481825801E-2</v>
      </c>
      <c r="M563" s="23">
        <v>1.52091253548861E-2</v>
      </c>
      <c r="N563" s="23">
        <v>0</v>
      </c>
      <c r="O563" s="24">
        <v>0.26615968346595698</v>
      </c>
      <c r="P563" s="24">
        <v>0.14828898012638</v>
      </c>
      <c r="Q563" s="24">
        <v>0.95817488431930498</v>
      </c>
      <c r="R563" s="25">
        <v>1.5209125475285171E-2</v>
      </c>
      <c r="S563" s="25">
        <v>0.11406844106463879</v>
      </c>
      <c r="T563" s="25">
        <v>0.13307984790874525</v>
      </c>
    </row>
    <row r="564" spans="1:20" x14ac:dyDescent="0.25">
      <c r="A564" s="8" t="s">
        <v>1197</v>
      </c>
      <c r="B564" s="8" t="s">
        <v>1198</v>
      </c>
      <c r="C564" s="8" t="s">
        <v>3540</v>
      </c>
      <c r="D564" s="8">
        <v>1190</v>
      </c>
      <c r="E564" s="23">
        <v>0.48403361439704901</v>
      </c>
      <c r="F564" s="24">
        <v>0.51596641540527299</v>
      </c>
      <c r="G564" s="23">
        <v>0</v>
      </c>
      <c r="H564" s="24">
        <v>0.33445379137992798</v>
      </c>
      <c r="I564" s="23">
        <v>6.3865549862384796E-2</v>
      </c>
      <c r="J564" s="24">
        <v>0.53109246492385798</v>
      </c>
      <c r="K564" s="23">
        <v>9.2436978593468996E-3</v>
      </c>
      <c r="L564" s="23">
        <v>1.5126050449907801E-2</v>
      </c>
      <c r="M564" s="23">
        <v>4.4537816196680097E-2</v>
      </c>
      <c r="N564" s="23">
        <v>1.680672285147E-3</v>
      </c>
      <c r="O564" s="24">
        <v>0.20000000298023199</v>
      </c>
      <c r="P564" s="24">
        <v>0.210924372076988</v>
      </c>
      <c r="Q564" s="24">
        <v>0.92352938652038497</v>
      </c>
      <c r="R564" s="25">
        <v>7.7310924369747902E-2</v>
      </c>
      <c r="S564" s="25">
        <v>1.6806722689075631E-3</v>
      </c>
      <c r="T564" s="25">
        <v>0.11596638655462185</v>
      </c>
    </row>
    <row r="565" spans="1:20" x14ac:dyDescent="0.25">
      <c r="A565" s="8" t="s">
        <v>1199</v>
      </c>
      <c r="B565" s="8" t="s">
        <v>1200</v>
      </c>
      <c r="C565" s="8" t="s">
        <v>3540</v>
      </c>
      <c r="D565" s="8">
        <v>338</v>
      </c>
      <c r="E565" s="24">
        <v>0.50887572765350297</v>
      </c>
      <c r="F565" s="24">
        <v>0.49112427234649603</v>
      </c>
      <c r="G565" s="23">
        <v>0</v>
      </c>
      <c r="H565" s="23">
        <v>5.3254436701536199E-2</v>
      </c>
      <c r="I565" s="24">
        <v>0.56508874893188399</v>
      </c>
      <c r="J565" s="24">
        <v>0.328402370214462</v>
      </c>
      <c r="K565" s="23">
        <v>1.18343196809292E-2</v>
      </c>
      <c r="L565" s="23">
        <v>2.0710058510303501E-2</v>
      </c>
      <c r="M565" s="23">
        <v>1.18343196809292E-2</v>
      </c>
      <c r="N565" s="23">
        <v>8.8757397606969001E-3</v>
      </c>
      <c r="O565" s="24">
        <v>0.17455621063709201</v>
      </c>
      <c r="P565" s="23">
        <v>3.55029590427876E-2</v>
      </c>
      <c r="Q565" s="24">
        <v>0.84023666381835904</v>
      </c>
      <c r="R565" s="25">
        <v>0</v>
      </c>
      <c r="S565" s="25">
        <v>2.9585798816568047E-3</v>
      </c>
      <c r="T565" s="25">
        <v>0.16568047337278108</v>
      </c>
    </row>
    <row r="566" spans="1:20" x14ac:dyDescent="0.25">
      <c r="A566" s="8" t="s">
        <v>1201</v>
      </c>
      <c r="B566" s="8" t="s">
        <v>1202</v>
      </c>
      <c r="C566" s="8" t="s">
        <v>3540</v>
      </c>
      <c r="D566" s="8">
        <v>262</v>
      </c>
      <c r="E566" s="24">
        <v>0.45801526308059598</v>
      </c>
      <c r="F566" s="24">
        <v>0.53816795349121005</v>
      </c>
      <c r="G566" s="23">
        <v>3.8167939055711001E-3</v>
      </c>
      <c r="H566" s="23">
        <v>5.3435113281011602E-2</v>
      </c>
      <c r="I566" s="23">
        <v>0.40458014607429499</v>
      </c>
      <c r="J566" s="24">
        <v>0.50763356685638406</v>
      </c>
      <c r="K566" s="23">
        <v>0</v>
      </c>
      <c r="L566" s="23">
        <v>1.90839692950249E-2</v>
      </c>
      <c r="M566" s="23">
        <v>1.52671756222844E-2</v>
      </c>
      <c r="N566" s="23">
        <v>0</v>
      </c>
      <c r="O566" s="24">
        <v>0.25190839171409601</v>
      </c>
      <c r="P566" s="24">
        <v>0.20610687136649999</v>
      </c>
      <c r="Q566" s="24">
        <v>0.92366409301757801</v>
      </c>
      <c r="R566" s="25">
        <v>7.6335877862595417E-3</v>
      </c>
      <c r="S566" s="25">
        <v>9.1603053435114504E-2</v>
      </c>
      <c r="T566" s="25">
        <v>0.14885496183206107</v>
      </c>
    </row>
    <row r="567" spans="1:20" x14ac:dyDescent="0.25">
      <c r="A567" s="8" t="s">
        <v>1203</v>
      </c>
      <c r="B567" s="8" t="s">
        <v>1204</v>
      </c>
      <c r="C567" s="8" t="s">
        <v>3540</v>
      </c>
      <c r="D567" s="8">
        <v>437</v>
      </c>
      <c r="E567" s="23">
        <v>0.48512586951255798</v>
      </c>
      <c r="F567" s="24">
        <v>0.51487416028976396</v>
      </c>
      <c r="G567" s="23">
        <v>0</v>
      </c>
      <c r="H567" s="23">
        <v>1.8306635320186601E-2</v>
      </c>
      <c r="I567" s="24">
        <v>0.64530891180038397</v>
      </c>
      <c r="J567" s="24">
        <v>0.29748284816741899</v>
      </c>
      <c r="K567" s="23">
        <v>2.2883294150233E-3</v>
      </c>
      <c r="L567" s="23">
        <v>2.7459954842925099E-2</v>
      </c>
      <c r="M567" s="23">
        <v>9.1533176600933006E-3</v>
      </c>
      <c r="N567" s="23">
        <v>0</v>
      </c>
      <c r="O567" s="24">
        <v>0.22196796536445601</v>
      </c>
      <c r="P567" s="23">
        <v>4.1189931333064998E-2</v>
      </c>
      <c r="Q567" s="24">
        <v>0.89473682641982999</v>
      </c>
      <c r="R567" s="25">
        <v>4.5766590389016018E-3</v>
      </c>
      <c r="S567" s="25">
        <v>2.5171624713958809E-2</v>
      </c>
      <c r="T567" s="25">
        <v>0.17620137299771166</v>
      </c>
    </row>
    <row r="568" spans="1:20" x14ac:dyDescent="0.25">
      <c r="A568" s="8" t="s">
        <v>1205</v>
      </c>
      <c r="B568" s="8" t="s">
        <v>1206</v>
      </c>
      <c r="C568" s="8" t="s">
        <v>3540</v>
      </c>
      <c r="D568" s="8">
        <v>472</v>
      </c>
      <c r="E568" s="24">
        <v>0.23516948521137199</v>
      </c>
      <c r="F568" s="24">
        <v>0.76483052968978804</v>
      </c>
      <c r="G568" s="23">
        <v>0</v>
      </c>
      <c r="H568" s="23">
        <v>3.3898305147886297E-2</v>
      </c>
      <c r="I568" s="24">
        <v>0.38559320569038302</v>
      </c>
      <c r="J568" s="24">
        <v>0.50423729419708196</v>
      </c>
      <c r="K568" s="23">
        <v>8.4745762869716003E-3</v>
      </c>
      <c r="L568" s="23">
        <v>8.4745762869716003E-3</v>
      </c>
      <c r="M568" s="23">
        <v>5.50847463309765E-2</v>
      </c>
      <c r="N568" s="23">
        <v>4.2372881434858001E-3</v>
      </c>
      <c r="O568" s="24">
        <v>0.302966088056564</v>
      </c>
      <c r="P568" s="23">
        <v>0.110169492661953</v>
      </c>
      <c r="Q568" s="24">
        <v>0.85805082321166903</v>
      </c>
      <c r="R568" s="25">
        <v>1.9067796610169493E-2</v>
      </c>
      <c r="S568" s="25">
        <v>2.7542372881355932E-2</v>
      </c>
      <c r="T568" s="25">
        <v>0.25635593220338981</v>
      </c>
    </row>
    <row r="569" spans="1:20" x14ac:dyDescent="0.25">
      <c r="A569" s="8" t="s">
        <v>3543</v>
      </c>
      <c r="B569" s="8"/>
      <c r="C569" s="8" t="s">
        <v>3540</v>
      </c>
      <c r="D569" s="8">
        <v>321</v>
      </c>
      <c r="E569" s="24">
        <v>0.44548287987709001</v>
      </c>
      <c r="F569" s="24">
        <v>0.55451714992523105</v>
      </c>
      <c r="G569" s="23">
        <v>0</v>
      </c>
      <c r="H569" s="23">
        <v>2.1806852892041199E-2</v>
      </c>
      <c r="I569" s="24">
        <v>0.41121494770049999</v>
      </c>
      <c r="J569" s="24">
        <v>0.49221184849739003</v>
      </c>
      <c r="K569" s="23">
        <v>0</v>
      </c>
      <c r="L569" s="23">
        <v>4.9844235181808499E-2</v>
      </c>
      <c r="M569" s="23">
        <v>2.4922117590904201E-2</v>
      </c>
      <c r="N569" s="23">
        <v>0</v>
      </c>
      <c r="O569" s="24">
        <v>0.26479750871658297</v>
      </c>
      <c r="P569" s="24">
        <v>0.21183800697326599</v>
      </c>
      <c r="Q569" s="24">
        <v>0.91900312900543202</v>
      </c>
      <c r="R569" s="25">
        <v>9.0342679127725853E-2</v>
      </c>
      <c r="S569" s="25">
        <v>3.1152647975077881E-3</v>
      </c>
      <c r="T569" s="25">
        <v>0.18380062305295949</v>
      </c>
    </row>
    <row r="570" spans="1:20" x14ac:dyDescent="0.25">
      <c r="A570" s="8" t="s">
        <v>1207</v>
      </c>
      <c r="B570" s="8" t="s">
        <v>1208</v>
      </c>
      <c r="C570" s="8" t="s">
        <v>3540</v>
      </c>
      <c r="D570" s="8">
        <v>562</v>
      </c>
      <c r="E570" s="23">
        <v>0.38612100481987</v>
      </c>
      <c r="F570" s="24">
        <v>0.61387902498245195</v>
      </c>
      <c r="G570" s="23">
        <v>0</v>
      </c>
      <c r="H570" s="24">
        <v>0.15658363699913</v>
      </c>
      <c r="I570" s="24">
        <v>0.25444838404655401</v>
      </c>
      <c r="J570" s="24">
        <v>0.37544482946395802</v>
      </c>
      <c r="K570" s="23">
        <v>5.3380783647299004E-3</v>
      </c>
      <c r="L570" s="23">
        <v>1.4234875328838799E-2</v>
      </c>
      <c r="M570" s="24">
        <v>0.16548041999339999</v>
      </c>
      <c r="N570" s="23">
        <v>2.8469750657677699E-2</v>
      </c>
      <c r="O570" s="24">
        <v>0.15836298465728699</v>
      </c>
      <c r="P570" s="23">
        <v>5.8718860149383503E-2</v>
      </c>
      <c r="Q570" s="24">
        <v>0.84697508811950595</v>
      </c>
      <c r="R570" s="25">
        <v>0</v>
      </c>
      <c r="S570" s="25">
        <v>0</v>
      </c>
      <c r="T570" s="25">
        <v>0.16014234875444841</v>
      </c>
    </row>
    <row r="571" spans="1:20" x14ac:dyDescent="0.25">
      <c r="A571" s="8" t="s">
        <v>1209</v>
      </c>
      <c r="B571" s="8" t="s">
        <v>1210</v>
      </c>
      <c r="C571" s="8" t="s">
        <v>3540</v>
      </c>
      <c r="D571" s="8">
        <v>306</v>
      </c>
      <c r="E571" s="23">
        <v>0.65686273574829102</v>
      </c>
      <c r="F571" s="23">
        <v>0.34313726425170898</v>
      </c>
      <c r="G571" s="23">
        <v>0</v>
      </c>
      <c r="H571" s="23">
        <v>3.9215687662363101E-2</v>
      </c>
      <c r="I571" s="24">
        <v>0.42156863212585399</v>
      </c>
      <c r="J571" s="24">
        <v>0.473856210708618</v>
      </c>
      <c r="K571" s="23">
        <v>6.5359477885067003E-3</v>
      </c>
      <c r="L571" s="23">
        <v>1.9607843831181498E-2</v>
      </c>
      <c r="M571" s="23">
        <v>3.26797403395176E-2</v>
      </c>
      <c r="N571" s="23">
        <v>6.5359477885067003E-3</v>
      </c>
      <c r="O571" s="24">
        <v>0.199346408247947</v>
      </c>
      <c r="P571" s="24">
        <v>0.15359477698802901</v>
      </c>
      <c r="Q571" s="24">
        <v>0.87581700086593595</v>
      </c>
      <c r="R571" s="25">
        <v>3.2679738562091504E-3</v>
      </c>
      <c r="S571" s="25">
        <v>1.3071895424836602E-2</v>
      </c>
      <c r="T571" s="25">
        <v>0.16013071895424835</v>
      </c>
    </row>
    <row r="572" spans="1:20" x14ac:dyDescent="0.25">
      <c r="A572" s="8" t="s">
        <v>1211</v>
      </c>
      <c r="B572" s="8" t="s">
        <v>1212</v>
      </c>
      <c r="C572" s="8" t="s">
        <v>3540</v>
      </c>
      <c r="D572" s="8">
        <v>424</v>
      </c>
      <c r="E572" s="24">
        <v>0.37264150381088201</v>
      </c>
      <c r="F572" s="24">
        <v>0.62735849618911699</v>
      </c>
      <c r="G572" s="23">
        <v>0</v>
      </c>
      <c r="H572" s="24">
        <v>0.120283022522926</v>
      </c>
      <c r="I572" s="24">
        <v>0.28301885724067599</v>
      </c>
      <c r="J572" s="24">
        <v>0.457547158002853</v>
      </c>
      <c r="K572" s="23">
        <v>7.0754718035460004E-3</v>
      </c>
      <c r="L572" s="23">
        <v>1.6509434208273902E-2</v>
      </c>
      <c r="M572" s="24">
        <v>0.11320754885673499</v>
      </c>
      <c r="N572" s="23">
        <v>2.358490601182E-3</v>
      </c>
      <c r="O572" s="24">
        <v>0.219339624047279</v>
      </c>
      <c r="P572" s="24">
        <v>0.103773586452007</v>
      </c>
      <c r="Q572" s="24">
        <v>0.83962261676788297</v>
      </c>
      <c r="R572" s="25">
        <v>0</v>
      </c>
      <c r="S572" s="25">
        <v>0</v>
      </c>
      <c r="T572" s="25">
        <v>0.2099056603773585</v>
      </c>
    </row>
    <row r="573" spans="1:20" x14ac:dyDescent="0.25">
      <c r="A573" s="8" t="s">
        <v>1213</v>
      </c>
      <c r="B573" s="8" t="s">
        <v>1214</v>
      </c>
      <c r="C573" s="8" t="s">
        <v>3540</v>
      </c>
      <c r="D573" s="8">
        <v>360</v>
      </c>
      <c r="E573" s="24">
        <v>0.50277775526046697</v>
      </c>
      <c r="F573" s="24">
        <v>0.49722221493721003</v>
      </c>
      <c r="G573" s="23">
        <v>0</v>
      </c>
      <c r="H573" s="23">
        <v>8.8888891041278797E-2</v>
      </c>
      <c r="I573" s="24">
        <v>0.18333333730697601</v>
      </c>
      <c r="J573" s="23">
        <v>0.64444446563720703</v>
      </c>
      <c r="K573" s="23">
        <v>2.7777778450400002E-3</v>
      </c>
      <c r="L573" s="23">
        <v>8.3333337679505001E-3</v>
      </c>
      <c r="M573" s="23">
        <v>7.2222225368022905E-2</v>
      </c>
      <c r="N573" s="23">
        <v>0</v>
      </c>
      <c r="O573" s="24">
        <v>0.19722221791744199</v>
      </c>
      <c r="P573" s="24">
        <v>0.227777779102325</v>
      </c>
      <c r="Q573" s="24">
        <v>0.92222219705581598</v>
      </c>
      <c r="R573" s="25">
        <v>5.5555555555555552E-2</v>
      </c>
      <c r="S573" s="25">
        <v>2.7777777777777779E-3</v>
      </c>
      <c r="T573" s="25">
        <v>0.1361111111111111</v>
      </c>
    </row>
    <row r="574" spans="1:20" x14ac:dyDescent="0.25">
      <c r="A574" s="8" t="s">
        <v>1215</v>
      </c>
      <c r="B574" s="8" t="s">
        <v>1216</v>
      </c>
      <c r="C574" s="8" t="s">
        <v>3540</v>
      </c>
      <c r="D574" s="8">
        <v>187</v>
      </c>
      <c r="E574" s="24">
        <v>0.44385027885437001</v>
      </c>
      <c r="F574" s="24">
        <v>0.55614972114562899</v>
      </c>
      <c r="G574" s="23">
        <v>0</v>
      </c>
      <c r="H574" s="23">
        <v>3.2085560262203203E-2</v>
      </c>
      <c r="I574" s="24">
        <v>0.60962569713592496</v>
      </c>
      <c r="J574" s="24">
        <v>0.34224599599838201</v>
      </c>
      <c r="K574" s="23">
        <v>0</v>
      </c>
      <c r="L574" s="23">
        <v>0</v>
      </c>
      <c r="M574" s="23">
        <v>1.6042780131101601E-2</v>
      </c>
      <c r="N574" s="23">
        <v>0</v>
      </c>
      <c r="O574" s="24">
        <v>0.30481284856796198</v>
      </c>
      <c r="P574" s="23">
        <v>6.4171120524406405E-2</v>
      </c>
      <c r="Q574" s="24">
        <v>0.87700533866882302</v>
      </c>
      <c r="R574" s="25">
        <v>6.4171122994652413E-2</v>
      </c>
      <c r="S574" s="25">
        <v>0</v>
      </c>
      <c r="T574" s="25">
        <v>0.23529411764705882</v>
      </c>
    </row>
    <row r="575" spans="1:20" x14ac:dyDescent="0.25">
      <c r="A575" s="8" t="s">
        <v>1217</v>
      </c>
      <c r="B575" s="8" t="s">
        <v>1218</v>
      </c>
      <c r="C575" s="8" t="s">
        <v>3540</v>
      </c>
      <c r="D575" s="8">
        <v>370</v>
      </c>
      <c r="E575" s="24">
        <v>0.49459460377693099</v>
      </c>
      <c r="F575" s="24">
        <v>0.50540542602538996</v>
      </c>
      <c r="G575" s="23">
        <v>0</v>
      </c>
      <c r="H575" s="24">
        <v>0.118918918073177</v>
      </c>
      <c r="I575" s="23">
        <v>7.8378379344940199E-2</v>
      </c>
      <c r="J575" s="23">
        <v>0.662162184715271</v>
      </c>
      <c r="K575" s="23">
        <v>1.0810811072588E-2</v>
      </c>
      <c r="L575" s="23">
        <v>5.4054055362939999E-3</v>
      </c>
      <c r="M575" s="24">
        <v>0.12432432174682601</v>
      </c>
      <c r="N575" s="23">
        <v>0</v>
      </c>
      <c r="O575" s="24">
        <v>0.172972977161407</v>
      </c>
      <c r="P575" s="24">
        <v>0.17567567527294101</v>
      </c>
      <c r="Q575" s="24">
        <v>0.87837839126586903</v>
      </c>
      <c r="R575" s="25">
        <v>3.783783783783784E-2</v>
      </c>
      <c r="S575" s="25">
        <v>2.7027027027027029E-3</v>
      </c>
      <c r="T575" s="25">
        <v>0.16216216216216217</v>
      </c>
    </row>
    <row r="576" spans="1:20" x14ac:dyDescent="0.25">
      <c r="A576" s="8" t="s">
        <v>1219</v>
      </c>
      <c r="B576" s="8" t="s">
        <v>1220</v>
      </c>
      <c r="C576" s="8" t="s">
        <v>3540</v>
      </c>
      <c r="D576" s="8">
        <v>388</v>
      </c>
      <c r="E576" s="24">
        <v>0.44845360517501798</v>
      </c>
      <c r="F576" s="24">
        <v>0.55154639482498102</v>
      </c>
      <c r="G576" s="23">
        <v>0</v>
      </c>
      <c r="H576" s="23">
        <v>2.5773195549845699E-2</v>
      </c>
      <c r="I576" s="24">
        <v>0.41752576828002902</v>
      </c>
      <c r="J576" s="24">
        <v>0.52577316761016801</v>
      </c>
      <c r="K576" s="23">
        <v>7.7319587580859999E-3</v>
      </c>
      <c r="L576" s="23">
        <v>5.1546390168368999E-3</v>
      </c>
      <c r="M576" s="23">
        <v>1.80412363260984E-2</v>
      </c>
      <c r="N576" s="23">
        <v>0</v>
      </c>
      <c r="O576" s="24">
        <v>0.242268040776252</v>
      </c>
      <c r="P576" s="24">
        <v>0.185567006468772</v>
      </c>
      <c r="Q576" s="23">
        <v>0.90721648931503296</v>
      </c>
      <c r="R576" s="25">
        <v>9.0206185567010308E-2</v>
      </c>
      <c r="S576" s="25">
        <v>2.5773195876288659E-3</v>
      </c>
      <c r="T576" s="25">
        <v>0.18556701030927836</v>
      </c>
    </row>
    <row r="577" spans="1:20" x14ac:dyDescent="0.25">
      <c r="A577" s="8" t="s">
        <v>1221</v>
      </c>
      <c r="B577" s="8" t="s">
        <v>1222</v>
      </c>
      <c r="C577" s="8" t="s">
        <v>3540</v>
      </c>
      <c r="D577" s="8">
        <v>406</v>
      </c>
      <c r="E577" s="24">
        <v>0.62068963050842196</v>
      </c>
      <c r="F577" s="24">
        <v>0.37684729695320102</v>
      </c>
      <c r="G577" s="23">
        <v>2.4630541447550002E-3</v>
      </c>
      <c r="H577" s="23">
        <v>4.1871920228004497E-2</v>
      </c>
      <c r="I577" s="24">
        <v>0.219211816787719</v>
      </c>
      <c r="J577" s="24">
        <v>0.57635468244552601</v>
      </c>
      <c r="K577" s="23">
        <v>4.9261082895100004E-3</v>
      </c>
      <c r="L577" s="23">
        <v>4.9261082895100004E-3</v>
      </c>
      <c r="M577" s="24">
        <v>0.152709364891052</v>
      </c>
      <c r="N577" s="23">
        <v>0</v>
      </c>
      <c r="O577" s="24">
        <v>0.268472909927368</v>
      </c>
      <c r="P577" s="23">
        <v>8.62068980932236E-2</v>
      </c>
      <c r="Q577" s="24">
        <v>0.89655172824859597</v>
      </c>
      <c r="R577" s="25">
        <v>0</v>
      </c>
      <c r="S577" s="25">
        <v>0</v>
      </c>
      <c r="T577" s="25">
        <v>0.27586206896551724</v>
      </c>
    </row>
    <row r="578" spans="1:20" x14ac:dyDescent="0.25">
      <c r="A578" s="8" t="s">
        <v>1223</v>
      </c>
      <c r="B578" s="8" t="s">
        <v>1224</v>
      </c>
      <c r="C578" s="8" t="s">
        <v>3540</v>
      </c>
      <c r="D578" s="8">
        <v>1649</v>
      </c>
      <c r="E578" s="24">
        <v>0.43723469972610401</v>
      </c>
      <c r="F578" s="24">
        <v>0.56276530027389504</v>
      </c>
      <c r="G578" s="23">
        <v>0</v>
      </c>
      <c r="H578" s="23">
        <v>3.45664024353027E-2</v>
      </c>
      <c r="I578" s="24">
        <v>0.47422680258750899</v>
      </c>
      <c r="J578" s="24">
        <v>0.43602183461189198</v>
      </c>
      <c r="K578" s="23">
        <v>4.8514250665902996E-3</v>
      </c>
      <c r="L578" s="23">
        <v>1.45542751997709E-2</v>
      </c>
      <c r="M578" s="23">
        <v>3.3353548496961601E-2</v>
      </c>
      <c r="N578" s="23">
        <v>2.4257125332952001E-3</v>
      </c>
      <c r="O578" s="24">
        <v>0.27349910140037498</v>
      </c>
      <c r="P578" s="23">
        <v>8.9144937694072696E-2</v>
      </c>
      <c r="Q578" s="24">
        <v>0.80291086435317904</v>
      </c>
      <c r="R578" s="25">
        <v>2.2437841115827774E-2</v>
      </c>
      <c r="S578" s="25">
        <v>0.10127349909035779</v>
      </c>
      <c r="T578" s="25">
        <v>0.13765918738629473</v>
      </c>
    </row>
    <row r="579" spans="1:20" x14ac:dyDescent="0.25">
      <c r="A579" s="8" t="s">
        <v>1225</v>
      </c>
      <c r="B579" s="8" t="s">
        <v>1226</v>
      </c>
      <c r="C579" s="8" t="s">
        <v>3540</v>
      </c>
      <c r="D579" s="8">
        <v>168</v>
      </c>
      <c r="E579" s="24">
        <v>0.47023808956146201</v>
      </c>
      <c r="F579" s="24">
        <v>0.52976191043853704</v>
      </c>
      <c r="G579" s="23">
        <v>0</v>
      </c>
      <c r="H579" s="23">
        <v>1.7857143655419301E-2</v>
      </c>
      <c r="I579" s="24">
        <v>0.50595235824584905</v>
      </c>
      <c r="J579" s="24">
        <v>0.45238095521926802</v>
      </c>
      <c r="K579" s="23">
        <v>0</v>
      </c>
      <c r="L579" s="23">
        <v>0</v>
      </c>
      <c r="M579" s="23">
        <v>2.3809524253010701E-2</v>
      </c>
      <c r="N579" s="23">
        <v>0</v>
      </c>
      <c r="O579" s="24">
        <v>0.23809523880481701</v>
      </c>
      <c r="P579" s="23">
        <v>8.9285716414451599E-2</v>
      </c>
      <c r="Q579" s="24">
        <v>0.91666668653488104</v>
      </c>
      <c r="R579" s="25">
        <v>2.3809523809523808E-2</v>
      </c>
      <c r="S579" s="25">
        <v>5.9523809523809521E-3</v>
      </c>
      <c r="T579" s="25">
        <v>0.20238095238095238</v>
      </c>
    </row>
    <row r="580" spans="1:20" x14ac:dyDescent="0.25">
      <c r="A580" s="8" t="s">
        <v>1227</v>
      </c>
      <c r="B580" s="8" t="s">
        <v>1228</v>
      </c>
      <c r="C580" s="8" t="s">
        <v>3540</v>
      </c>
      <c r="D580" s="8">
        <v>281</v>
      </c>
      <c r="E580" s="24">
        <v>0.473309606313705</v>
      </c>
      <c r="F580" s="24">
        <v>0.52669036388397195</v>
      </c>
      <c r="G580" s="23">
        <v>0</v>
      </c>
      <c r="H580" s="23">
        <v>7.4733093380927998E-2</v>
      </c>
      <c r="I580" s="24">
        <v>0.13879004120826699</v>
      </c>
      <c r="J580" s="24">
        <v>0.64056938886642401</v>
      </c>
      <c r="K580" s="23">
        <v>3.5587188322096998E-3</v>
      </c>
      <c r="L580" s="23">
        <v>7.1174376644193996E-3</v>
      </c>
      <c r="M580" s="24">
        <v>0.13523131608962999</v>
      </c>
      <c r="N580" s="23">
        <v>0</v>
      </c>
      <c r="O580" s="24">
        <v>0.22064056992530801</v>
      </c>
      <c r="P580" s="24">
        <v>0.14234875142574299</v>
      </c>
      <c r="Q580" s="24">
        <v>0.94306051731109597</v>
      </c>
      <c r="R580" s="25">
        <v>6.0498220640569395E-2</v>
      </c>
      <c r="S580" s="25">
        <v>0</v>
      </c>
      <c r="T580" s="25">
        <v>0.16014234875444841</v>
      </c>
    </row>
    <row r="581" spans="1:20" x14ac:dyDescent="0.25">
      <c r="A581" s="8" t="s">
        <v>1229</v>
      </c>
      <c r="B581" s="8" t="s">
        <v>1230</v>
      </c>
      <c r="C581" s="8" t="s">
        <v>3540</v>
      </c>
      <c r="D581" s="8">
        <v>272</v>
      </c>
      <c r="E581" s="24">
        <v>0.50735294818878096</v>
      </c>
      <c r="F581" s="24">
        <v>0.49264705181121798</v>
      </c>
      <c r="G581" s="23">
        <v>0</v>
      </c>
      <c r="H581" s="24">
        <v>0.20220588147640201</v>
      </c>
      <c r="I581" s="23">
        <v>0.14705882966518399</v>
      </c>
      <c r="J581" s="24">
        <v>0.43382352590560902</v>
      </c>
      <c r="K581" s="23">
        <v>1.8382353708147999E-2</v>
      </c>
      <c r="L581" s="23">
        <v>3.6764706019312E-3</v>
      </c>
      <c r="M581" s="24">
        <v>0.19485294818878099</v>
      </c>
      <c r="N581" s="23">
        <v>0</v>
      </c>
      <c r="O581" s="24">
        <v>0.12132352590560901</v>
      </c>
      <c r="P581" s="24">
        <v>0.27941176295280401</v>
      </c>
      <c r="Q581" s="24">
        <v>0.80514705181121804</v>
      </c>
      <c r="R581" s="25">
        <v>3.6764705882352941E-3</v>
      </c>
      <c r="S581" s="25">
        <v>0</v>
      </c>
      <c r="T581" s="25">
        <v>0.13235294117647059</v>
      </c>
    </row>
    <row r="582" spans="1:20" x14ac:dyDescent="0.25">
      <c r="A582" s="8" t="s">
        <v>1231</v>
      </c>
      <c r="B582" s="8" t="s">
        <v>1232</v>
      </c>
      <c r="C582" s="8" t="s">
        <v>3540</v>
      </c>
      <c r="D582" s="8">
        <v>227</v>
      </c>
      <c r="E582" s="24">
        <v>0.55506610870361295</v>
      </c>
      <c r="F582" s="24">
        <v>0.444933921098709</v>
      </c>
      <c r="G582" s="23">
        <v>0</v>
      </c>
      <c r="H582" s="23">
        <v>4.4052861630916602E-2</v>
      </c>
      <c r="I582" s="24">
        <v>0.47136563062667802</v>
      </c>
      <c r="J582" s="24">
        <v>0.40528634190559298</v>
      </c>
      <c r="K582" s="23">
        <v>4.4052861630917003E-3</v>
      </c>
      <c r="L582" s="23">
        <v>3.0837005004286801E-2</v>
      </c>
      <c r="M582" s="23">
        <v>4.4052861630916602E-2</v>
      </c>
      <c r="N582" s="23">
        <v>0</v>
      </c>
      <c r="O582" s="24">
        <v>0.16740088164806299</v>
      </c>
      <c r="P582" s="24">
        <v>0.13215859234332999</v>
      </c>
      <c r="Q582" s="23">
        <v>0.93392068147659302</v>
      </c>
      <c r="R582" s="25">
        <v>0</v>
      </c>
      <c r="S582" s="25">
        <v>0</v>
      </c>
      <c r="T582" s="25">
        <v>0.16299559471365638</v>
      </c>
    </row>
    <row r="583" spans="1:20" x14ac:dyDescent="0.25">
      <c r="A583" s="8" t="s">
        <v>1233</v>
      </c>
      <c r="B583" s="8" t="s">
        <v>1234</v>
      </c>
      <c r="C583" s="8" t="s">
        <v>3540</v>
      </c>
      <c r="D583" s="8">
        <v>602</v>
      </c>
      <c r="E583" s="24">
        <v>0.506644546985626</v>
      </c>
      <c r="F583" s="24">
        <v>0.493355482816696</v>
      </c>
      <c r="G583" s="23">
        <v>0</v>
      </c>
      <c r="H583" s="24">
        <v>0.11129567772149999</v>
      </c>
      <c r="I583" s="23">
        <v>7.6411962509155301E-2</v>
      </c>
      <c r="J583" s="24">
        <v>0.62126243114471402</v>
      </c>
      <c r="K583" s="23">
        <v>1.9933555275201801E-2</v>
      </c>
      <c r="L583" s="23">
        <v>4.9833888188003999E-3</v>
      </c>
      <c r="M583" s="24">
        <v>0.16611295938491799</v>
      </c>
      <c r="N583" s="23">
        <v>0</v>
      </c>
      <c r="O583" s="24">
        <v>0.22425249218940699</v>
      </c>
      <c r="P583" s="24">
        <v>0.13122923672199199</v>
      </c>
      <c r="Q583" s="23">
        <v>0.84053158760070801</v>
      </c>
      <c r="R583" s="25">
        <v>2.6578073089700997E-2</v>
      </c>
      <c r="S583" s="25">
        <v>0</v>
      </c>
      <c r="T583" s="25">
        <v>0.19601328903654486</v>
      </c>
    </row>
    <row r="584" spans="1:20" x14ac:dyDescent="0.25">
      <c r="A584" s="8" t="s">
        <v>1235</v>
      </c>
      <c r="B584" s="8" t="s">
        <v>1236</v>
      </c>
      <c r="C584" s="8" t="s">
        <v>3540</v>
      </c>
      <c r="D584" s="8">
        <v>388</v>
      </c>
      <c r="E584" s="24">
        <v>0.48195877671241699</v>
      </c>
      <c r="F584" s="24">
        <v>0.51804125308990401</v>
      </c>
      <c r="G584" s="23">
        <v>0</v>
      </c>
      <c r="H584" s="23">
        <v>4.6391751617193201E-2</v>
      </c>
      <c r="I584" s="24">
        <v>0.27835050225257801</v>
      </c>
      <c r="J584" s="24">
        <v>0.59793812036514205</v>
      </c>
      <c r="K584" s="23">
        <v>2.5773195084184001E-3</v>
      </c>
      <c r="L584" s="23">
        <v>7.7319587580859999E-3</v>
      </c>
      <c r="M584" s="23">
        <v>6.7010305821895599E-2</v>
      </c>
      <c r="N584" s="23">
        <v>0</v>
      </c>
      <c r="O584" s="24">
        <v>0.244845360517501</v>
      </c>
      <c r="P584" s="23">
        <v>7.9896904528140994E-2</v>
      </c>
      <c r="Q584" s="24">
        <v>0.87113404273986805</v>
      </c>
      <c r="R584" s="25">
        <v>0</v>
      </c>
      <c r="S584" s="25">
        <v>0</v>
      </c>
      <c r="T584" s="25">
        <v>0.2422680412371134</v>
      </c>
    </row>
    <row r="585" spans="1:20" x14ac:dyDescent="0.25">
      <c r="A585" s="8" t="s">
        <v>1237</v>
      </c>
      <c r="B585" s="8" t="s">
        <v>1238</v>
      </c>
      <c r="C585" s="8" t="s">
        <v>3540</v>
      </c>
      <c r="D585" s="8">
        <v>373</v>
      </c>
      <c r="E585" s="24">
        <v>0.46380695700645402</v>
      </c>
      <c r="F585" s="24">
        <v>0.530831098556518</v>
      </c>
      <c r="G585" s="23">
        <v>5.3619304671883999E-3</v>
      </c>
      <c r="H585" s="23">
        <v>4.55764085054398E-2</v>
      </c>
      <c r="I585" s="24">
        <v>0.10723860561847599</v>
      </c>
      <c r="J585" s="24">
        <v>0.71581768989562899</v>
      </c>
      <c r="K585" s="23">
        <v>8.0428952351213005E-3</v>
      </c>
      <c r="L585" s="23">
        <v>8.0428952351213005E-3</v>
      </c>
      <c r="M585" s="23">
        <v>0.104557640850544</v>
      </c>
      <c r="N585" s="23">
        <v>1.0723860934376699E-2</v>
      </c>
      <c r="O585" s="23">
        <v>4.0214478969574002E-2</v>
      </c>
      <c r="P585" s="24">
        <v>0.80965149402618397</v>
      </c>
      <c r="Q585" s="24">
        <v>0.90080428123474099</v>
      </c>
      <c r="R585" s="25">
        <v>0</v>
      </c>
      <c r="S585" s="25">
        <v>0</v>
      </c>
      <c r="T585" s="25">
        <v>4.2895442359249331E-2</v>
      </c>
    </row>
    <row r="586" spans="1:20" x14ac:dyDescent="0.25">
      <c r="A586" s="8" t="s">
        <v>1239</v>
      </c>
      <c r="B586" s="8" t="s">
        <v>1240</v>
      </c>
      <c r="C586" s="8" t="s">
        <v>3540</v>
      </c>
      <c r="D586" s="8">
        <v>286</v>
      </c>
      <c r="E586" s="23">
        <v>0.50349652767181396</v>
      </c>
      <c r="F586" s="24">
        <v>0.49650350213050798</v>
      </c>
      <c r="G586" s="23">
        <v>0</v>
      </c>
      <c r="H586" s="23">
        <v>4.1958041489124298E-2</v>
      </c>
      <c r="I586" s="23">
        <v>0.17132867872714999</v>
      </c>
      <c r="J586" s="24">
        <v>0.71678322553634599</v>
      </c>
      <c r="K586" s="23">
        <v>0</v>
      </c>
      <c r="L586" s="23">
        <v>1.3986013829708099E-2</v>
      </c>
      <c r="M586" s="23">
        <v>5.5944055318832397E-2</v>
      </c>
      <c r="N586" s="23">
        <v>0</v>
      </c>
      <c r="O586" s="23">
        <v>6.2937065958976704E-2</v>
      </c>
      <c r="P586" s="24">
        <v>0.60139858722686701</v>
      </c>
      <c r="Q586" s="24">
        <v>0.90209788084030096</v>
      </c>
      <c r="R586" s="25">
        <v>0</v>
      </c>
      <c r="S586" s="25">
        <v>3.4965034965034965E-3</v>
      </c>
      <c r="T586" s="25">
        <v>5.2447552447552448E-2</v>
      </c>
    </row>
    <row r="587" spans="1:20" x14ac:dyDescent="0.25">
      <c r="A587" s="8" t="s">
        <v>1241</v>
      </c>
      <c r="B587" s="8" t="s">
        <v>1242</v>
      </c>
      <c r="C587" s="8" t="s">
        <v>3540</v>
      </c>
      <c r="D587" s="8">
        <v>410</v>
      </c>
      <c r="E587" s="23">
        <v>0.49268293380737299</v>
      </c>
      <c r="F587" s="23">
        <v>0.50731706619262695</v>
      </c>
      <c r="G587" s="23">
        <v>0</v>
      </c>
      <c r="H587" s="23">
        <v>2.1951219066977501E-2</v>
      </c>
      <c r="I587" s="24">
        <v>0.57317072153091397</v>
      </c>
      <c r="J587" s="24">
        <v>0.36585366725921598</v>
      </c>
      <c r="K587" s="23">
        <v>7.3170731775463E-3</v>
      </c>
      <c r="L587" s="23">
        <v>9.7560975700616993E-3</v>
      </c>
      <c r="M587" s="23">
        <v>1.9512195140123399E-2</v>
      </c>
      <c r="N587" s="23">
        <v>2.4390243925154001E-3</v>
      </c>
      <c r="O587" s="24">
        <v>0.26585367321968001</v>
      </c>
      <c r="P587" s="23">
        <v>6.3414633274078397E-2</v>
      </c>
      <c r="Q587" s="24">
        <v>0.86585366725921598</v>
      </c>
      <c r="R587" s="25">
        <v>0</v>
      </c>
      <c r="S587" s="25">
        <v>0</v>
      </c>
      <c r="T587" s="25">
        <v>0.25121951219512195</v>
      </c>
    </row>
    <row r="588" spans="1:20" x14ac:dyDescent="0.25">
      <c r="A588" s="8" t="s">
        <v>1243</v>
      </c>
      <c r="B588" s="8" t="s">
        <v>1244</v>
      </c>
      <c r="C588" s="8" t="s">
        <v>3540</v>
      </c>
      <c r="D588" s="8">
        <v>310</v>
      </c>
      <c r="E588" s="23">
        <v>0.52258062362670898</v>
      </c>
      <c r="F588" s="24">
        <v>0.47741934657096802</v>
      </c>
      <c r="G588" s="23">
        <v>0</v>
      </c>
      <c r="H588" s="23">
        <v>2.9032258316874501E-2</v>
      </c>
      <c r="I588" s="24">
        <v>0.548387110233306</v>
      </c>
      <c r="J588" s="23">
        <v>0.37419354915618902</v>
      </c>
      <c r="K588" s="23">
        <v>9.6774194389581993E-3</v>
      </c>
      <c r="L588" s="23">
        <v>3.2258063554763801E-2</v>
      </c>
      <c r="M588" s="23">
        <v>6.4516128040849998E-3</v>
      </c>
      <c r="N588" s="23">
        <v>0</v>
      </c>
      <c r="O588" s="24">
        <v>0.23548386991024001</v>
      </c>
      <c r="P588" s="23">
        <v>5.1612902432680102E-2</v>
      </c>
      <c r="Q588" s="24">
        <v>0.77741932868957497</v>
      </c>
      <c r="R588" s="25">
        <v>0</v>
      </c>
      <c r="S588" s="25">
        <v>0</v>
      </c>
      <c r="T588" s="25">
        <v>0.25483870967741934</v>
      </c>
    </row>
    <row r="589" spans="1:20" x14ac:dyDescent="0.25">
      <c r="A589" s="8" t="s">
        <v>1245</v>
      </c>
      <c r="B589" s="8" t="s">
        <v>1246</v>
      </c>
      <c r="C589" s="8" t="s">
        <v>3540</v>
      </c>
      <c r="D589" s="8">
        <v>300</v>
      </c>
      <c r="E589" s="24">
        <v>0.45333334803581199</v>
      </c>
      <c r="F589" s="23">
        <v>0.54666668176651001</v>
      </c>
      <c r="G589" s="23">
        <v>0</v>
      </c>
      <c r="H589" s="23">
        <v>1.9999999552965199E-2</v>
      </c>
      <c r="I589" s="23">
        <v>0.54666668176651001</v>
      </c>
      <c r="J589" s="24">
        <v>0.35666665434837302</v>
      </c>
      <c r="K589" s="23">
        <v>6.6666668280958999E-3</v>
      </c>
      <c r="L589" s="23">
        <v>3.9999999105930301E-2</v>
      </c>
      <c r="M589" s="23">
        <v>2.9999999329447701E-2</v>
      </c>
      <c r="N589" s="23">
        <v>0</v>
      </c>
      <c r="O589" s="24">
        <v>0.266666680574417</v>
      </c>
      <c r="P589" s="23">
        <v>7.3333330452442197E-2</v>
      </c>
      <c r="Q589" s="24">
        <v>0.92000001668929998</v>
      </c>
      <c r="R589" s="25">
        <v>3.3333333333333335E-3</v>
      </c>
      <c r="S589" s="25">
        <v>0.10333333333333333</v>
      </c>
      <c r="T589" s="25">
        <v>0.16666666666666666</v>
      </c>
    </row>
    <row r="590" spans="1:20" x14ac:dyDescent="0.25">
      <c r="A590" s="8" t="s">
        <v>1247</v>
      </c>
      <c r="B590" s="8" t="s">
        <v>1248</v>
      </c>
      <c r="C590" s="8" t="s">
        <v>3540</v>
      </c>
      <c r="D590" s="8">
        <v>449</v>
      </c>
      <c r="E590" s="24">
        <v>0.46547883749008101</v>
      </c>
      <c r="F590" s="24">
        <v>0.53452116250991799</v>
      </c>
      <c r="G590" s="23">
        <v>0</v>
      </c>
      <c r="H590" s="23">
        <v>5.7906460016965901E-2</v>
      </c>
      <c r="I590" s="24">
        <v>0.36302894353866499</v>
      </c>
      <c r="J590" s="24">
        <v>0.47661471366882302</v>
      </c>
      <c r="K590" s="23">
        <v>2.2271715570241E-3</v>
      </c>
      <c r="L590" s="23">
        <v>1.1135857552289999E-2</v>
      </c>
      <c r="M590" s="23">
        <v>8.9086860418319702E-2</v>
      </c>
      <c r="N590" s="23">
        <v>0</v>
      </c>
      <c r="O590" s="24">
        <v>0.23608018457889501</v>
      </c>
      <c r="P590" s="23">
        <v>5.7906460016965901E-2</v>
      </c>
      <c r="Q590" s="24">
        <v>0.81737196445464999</v>
      </c>
      <c r="R590" s="25">
        <v>0</v>
      </c>
      <c r="S590" s="25">
        <v>0</v>
      </c>
      <c r="T590" s="25">
        <v>0.23162583518930957</v>
      </c>
    </row>
    <row r="591" spans="1:20" x14ac:dyDescent="0.25">
      <c r="A591" s="8" t="s">
        <v>1249</v>
      </c>
      <c r="B591" s="8" t="s">
        <v>1250</v>
      </c>
      <c r="C591" s="8" t="s">
        <v>3540</v>
      </c>
      <c r="D591" s="8">
        <v>295</v>
      </c>
      <c r="E591" s="24">
        <v>0.57966101169586104</v>
      </c>
      <c r="F591" s="24">
        <v>0.42033898830413802</v>
      </c>
      <c r="G591" s="23">
        <v>0</v>
      </c>
      <c r="H591" s="23">
        <v>2.0338982343673699E-2</v>
      </c>
      <c r="I591" s="24">
        <v>0.43389829993247903</v>
      </c>
      <c r="J591" s="24">
        <v>0.48135593533515902</v>
      </c>
      <c r="K591" s="23">
        <v>2.3728813976049399E-2</v>
      </c>
      <c r="L591" s="23">
        <v>1.69491525739431E-2</v>
      </c>
      <c r="M591" s="23">
        <v>2.3728813976049399E-2</v>
      </c>
      <c r="N591" s="23">
        <v>0</v>
      </c>
      <c r="O591" s="24">
        <v>0.31186440587043701</v>
      </c>
      <c r="P591" s="24">
        <v>0.125423729419708</v>
      </c>
      <c r="Q591" s="24">
        <v>0.94237285852432195</v>
      </c>
      <c r="R591" s="25">
        <v>3.3898305084745762E-3</v>
      </c>
      <c r="S591" s="25">
        <v>2.7118644067796609E-2</v>
      </c>
      <c r="T591" s="25">
        <v>0.27457627118644068</v>
      </c>
    </row>
    <row r="592" spans="1:20" x14ac:dyDescent="0.25">
      <c r="A592" s="8" t="s">
        <v>1251</v>
      </c>
      <c r="B592" s="8" t="s">
        <v>1252</v>
      </c>
      <c r="C592" s="8" t="s">
        <v>3540</v>
      </c>
      <c r="D592" s="8">
        <v>370</v>
      </c>
      <c r="E592" s="24">
        <v>0.40270268917083701</v>
      </c>
      <c r="F592" s="24">
        <v>0.59729731082916204</v>
      </c>
      <c r="G592" s="23">
        <v>0</v>
      </c>
      <c r="H592" s="23">
        <v>2.1621622145175899E-2</v>
      </c>
      <c r="I592" s="24">
        <v>0.38378378748893699</v>
      </c>
      <c r="J592" s="24">
        <v>0.51891893148422197</v>
      </c>
      <c r="K592" s="23">
        <v>1.0810811072588E-2</v>
      </c>
      <c r="L592" s="23">
        <v>2.43243239820004E-2</v>
      </c>
      <c r="M592" s="23">
        <v>2.97297295182943E-2</v>
      </c>
      <c r="N592" s="23">
        <v>1.0810811072588E-2</v>
      </c>
      <c r="O592" s="24">
        <v>0.24864864349365201</v>
      </c>
      <c r="P592" s="24">
        <v>0.17567567527294101</v>
      </c>
      <c r="Q592" s="24">
        <v>0.87837839126586903</v>
      </c>
      <c r="R592" s="25">
        <v>0</v>
      </c>
      <c r="S592" s="25">
        <v>8.1081081081081086E-3</v>
      </c>
      <c r="T592" s="25">
        <v>0.23513513513513515</v>
      </c>
    </row>
    <row r="593" spans="1:20" x14ac:dyDescent="0.25">
      <c r="A593" s="8" t="s">
        <v>1253</v>
      </c>
      <c r="B593" s="8" t="s">
        <v>1254</v>
      </c>
      <c r="C593" s="8" t="s">
        <v>3540</v>
      </c>
      <c r="D593" s="8">
        <v>304</v>
      </c>
      <c r="E593" s="23">
        <v>0.47697368264198298</v>
      </c>
      <c r="F593" s="24">
        <v>0.52302628755569402</v>
      </c>
      <c r="G593" s="23">
        <v>0</v>
      </c>
      <c r="H593" s="23">
        <v>6.9078944623470306E-2</v>
      </c>
      <c r="I593" s="24">
        <v>0.151315793395042</v>
      </c>
      <c r="J593" s="24">
        <v>0.68421053886413497</v>
      </c>
      <c r="K593" s="23">
        <v>9.8684206604957997E-3</v>
      </c>
      <c r="L593" s="23">
        <v>9.8684206604957997E-3</v>
      </c>
      <c r="M593" s="23">
        <v>7.5657896697521196E-2</v>
      </c>
      <c r="N593" s="23">
        <v>0</v>
      </c>
      <c r="O593" s="23">
        <v>0.226973682641983</v>
      </c>
      <c r="P593" s="24">
        <v>0.19407895207404999</v>
      </c>
      <c r="Q593" s="24">
        <v>0.88157892227172796</v>
      </c>
      <c r="R593" s="25">
        <v>4.6052631578947366E-2</v>
      </c>
      <c r="S593" s="25">
        <v>1.3157894736842105E-2</v>
      </c>
      <c r="T593" s="25">
        <v>0.16776315789473684</v>
      </c>
    </row>
    <row r="594" spans="1:20" x14ac:dyDescent="0.25">
      <c r="A594" s="8" t="s">
        <v>1255</v>
      </c>
      <c r="B594" s="8" t="s">
        <v>1256</v>
      </c>
      <c r="C594" s="8" t="s">
        <v>3540</v>
      </c>
      <c r="D594" s="8">
        <v>287</v>
      </c>
      <c r="E594" s="24">
        <v>0.43554008007049499</v>
      </c>
      <c r="F594" s="24">
        <v>0.56445991992950395</v>
      </c>
      <c r="G594" s="23">
        <v>0</v>
      </c>
      <c r="H594" s="23">
        <v>6.9686412811279297E-2</v>
      </c>
      <c r="I594" s="24">
        <v>0.45993030071258501</v>
      </c>
      <c r="J594" s="24">
        <v>0.414634138345718</v>
      </c>
      <c r="K594" s="23">
        <v>0</v>
      </c>
      <c r="L594" s="23">
        <v>3.4843205939978001E-3</v>
      </c>
      <c r="M594" s="23">
        <v>4.8780485987663297E-2</v>
      </c>
      <c r="N594" s="23">
        <v>3.4843205939978001E-3</v>
      </c>
      <c r="O594" s="24">
        <v>0.27874565124511702</v>
      </c>
      <c r="P594" s="24">
        <v>0.114982575178146</v>
      </c>
      <c r="Q594" s="24">
        <v>0.80139374732971103</v>
      </c>
      <c r="R594" s="25">
        <v>0.11498257839721254</v>
      </c>
      <c r="S594" s="25">
        <v>0</v>
      </c>
      <c r="T594" s="25">
        <v>0.17073170731707318</v>
      </c>
    </row>
    <row r="595" spans="1:20" x14ac:dyDescent="0.25">
      <c r="A595" s="8" t="s">
        <v>1257</v>
      </c>
      <c r="B595" s="8" t="s">
        <v>1258</v>
      </c>
      <c r="C595" s="8" t="s">
        <v>3540</v>
      </c>
      <c r="D595" s="8">
        <v>313</v>
      </c>
      <c r="E595" s="24">
        <v>0.456869006156921</v>
      </c>
      <c r="F595" s="24">
        <v>0.54313099384307795</v>
      </c>
      <c r="G595" s="23">
        <v>0</v>
      </c>
      <c r="H595" s="24">
        <v>0.25559106469154302</v>
      </c>
      <c r="I595" s="24">
        <v>0.13738019764423301</v>
      </c>
      <c r="J595" s="24">
        <v>0.54952079057693404</v>
      </c>
      <c r="K595" s="23">
        <v>3.1948881223798002E-3</v>
      </c>
      <c r="L595" s="23">
        <v>1.27795524895191E-2</v>
      </c>
      <c r="M595" s="23">
        <v>3.8338657468557399E-2</v>
      </c>
      <c r="N595" s="23">
        <v>3.1948881223798002E-3</v>
      </c>
      <c r="O595" s="24">
        <v>0.22364217042922899</v>
      </c>
      <c r="P595" s="24">
        <v>0.36102235317230202</v>
      </c>
      <c r="Q595" s="23">
        <v>0.92012780904769897</v>
      </c>
      <c r="R595" s="25">
        <v>3.8338658146964855E-2</v>
      </c>
      <c r="S595" s="25">
        <v>3.1948881789137379E-3</v>
      </c>
      <c r="T595" s="25">
        <v>0.18849840255591055</v>
      </c>
    </row>
    <row r="596" spans="1:20" x14ac:dyDescent="0.25">
      <c r="A596" s="8" t="s">
        <v>1259</v>
      </c>
      <c r="B596" s="8" t="s">
        <v>1260</v>
      </c>
      <c r="C596" s="8" t="s">
        <v>3540</v>
      </c>
      <c r="D596" s="8">
        <v>433</v>
      </c>
      <c r="E596" s="23">
        <v>0.48036950826644897</v>
      </c>
      <c r="F596" s="23">
        <v>0.51963049173355103</v>
      </c>
      <c r="G596" s="23">
        <v>0</v>
      </c>
      <c r="H596" s="23">
        <v>2.3094688076526E-3</v>
      </c>
      <c r="I596" s="24">
        <v>0.25404158234596202</v>
      </c>
      <c r="J596" s="24">
        <v>0.713625848293304</v>
      </c>
      <c r="K596" s="23">
        <v>6.9284066557883999E-3</v>
      </c>
      <c r="L596" s="23">
        <v>6.9284066557883999E-3</v>
      </c>
      <c r="M596" s="23">
        <v>1.61662809550762E-2</v>
      </c>
      <c r="N596" s="23">
        <v>0</v>
      </c>
      <c r="O596" s="24">
        <v>0.26096996665000899</v>
      </c>
      <c r="P596" s="23">
        <v>0.18013857305049899</v>
      </c>
      <c r="Q596" s="23">
        <v>0.98614317178726196</v>
      </c>
      <c r="R596" s="25">
        <v>8.5450346420323328E-2</v>
      </c>
      <c r="S596" s="25">
        <v>1.1547344110854504E-2</v>
      </c>
      <c r="T596" s="25">
        <v>0.18706697459584296</v>
      </c>
    </row>
    <row r="597" spans="1:20" x14ac:dyDescent="0.25">
      <c r="A597" s="8" t="s">
        <v>1261</v>
      </c>
      <c r="B597" s="8" t="s">
        <v>1262</v>
      </c>
      <c r="C597" s="8" t="s">
        <v>3540</v>
      </c>
      <c r="D597" s="8">
        <v>184</v>
      </c>
      <c r="E597" s="23">
        <v>0.5</v>
      </c>
      <c r="F597" s="23">
        <v>0.5</v>
      </c>
      <c r="G597" s="23">
        <v>0</v>
      </c>
      <c r="H597" s="23">
        <v>5.4347827099263998E-3</v>
      </c>
      <c r="I597" s="24">
        <v>0.309782594442367</v>
      </c>
      <c r="J597" s="23">
        <v>0.67934781312942505</v>
      </c>
      <c r="K597" s="23">
        <v>0</v>
      </c>
      <c r="L597" s="23">
        <v>0</v>
      </c>
      <c r="M597" s="23">
        <v>5.4347827099263998E-3</v>
      </c>
      <c r="N597" s="23">
        <v>0</v>
      </c>
      <c r="O597" s="23">
        <v>0.25</v>
      </c>
      <c r="P597" s="23">
        <v>0.22826087474823001</v>
      </c>
      <c r="Q597" s="24">
        <v>0.97282606363296498</v>
      </c>
      <c r="R597" s="25">
        <v>4.3478260869565216E-2</v>
      </c>
      <c r="S597" s="25">
        <v>0</v>
      </c>
      <c r="T597" s="25">
        <v>0.19021739130434784</v>
      </c>
    </row>
    <row r="598" spans="1:20" x14ac:dyDescent="0.25">
      <c r="A598" s="8" t="s">
        <v>1264</v>
      </c>
      <c r="B598" s="8" t="s">
        <v>1265</v>
      </c>
      <c r="C598" s="8" t="s">
        <v>3540</v>
      </c>
      <c r="D598" s="8">
        <v>801</v>
      </c>
      <c r="E598" s="24">
        <v>0.498127341270446</v>
      </c>
      <c r="F598" s="24">
        <v>0.501872658729553</v>
      </c>
      <c r="G598" s="23">
        <v>0</v>
      </c>
      <c r="H598" s="24">
        <v>0.15106117725372301</v>
      </c>
      <c r="I598" s="23">
        <v>0.17977528274059301</v>
      </c>
      <c r="J598" s="24">
        <v>0.62546819448471003</v>
      </c>
      <c r="K598" s="23">
        <v>6.2421974726021004E-3</v>
      </c>
      <c r="L598" s="23">
        <v>2.37203501164913E-2</v>
      </c>
      <c r="M598" s="23">
        <v>1.3732833787798901E-2</v>
      </c>
      <c r="N598" s="23">
        <v>0</v>
      </c>
      <c r="O598" s="24">
        <v>0.19850187003612499</v>
      </c>
      <c r="P598" s="24">
        <v>0.35705369710922202</v>
      </c>
      <c r="Q598" s="24">
        <v>0.95755302906036299</v>
      </c>
      <c r="R598" s="25">
        <v>7.2409488139825215E-2</v>
      </c>
      <c r="S598" s="25">
        <v>1.2484394506866417E-3</v>
      </c>
      <c r="T598" s="25">
        <v>0.12983770287141075</v>
      </c>
    </row>
    <row r="599" spans="1:20" x14ac:dyDescent="0.25">
      <c r="A599" s="8" t="s">
        <v>1266</v>
      </c>
      <c r="B599" s="8" t="s">
        <v>1267</v>
      </c>
      <c r="C599" s="8" t="s">
        <v>3540</v>
      </c>
      <c r="D599" s="8">
        <v>349</v>
      </c>
      <c r="E599" s="24">
        <v>0.50143265724182096</v>
      </c>
      <c r="F599" s="24">
        <v>0.49856734275817799</v>
      </c>
      <c r="G599" s="23">
        <v>0</v>
      </c>
      <c r="H599" s="23">
        <v>5.7306592352688E-3</v>
      </c>
      <c r="I599" s="24">
        <v>0.28366762399673401</v>
      </c>
      <c r="J599" s="24">
        <v>0.66189110279083196</v>
      </c>
      <c r="K599" s="23">
        <v>2.86532957106829E-2</v>
      </c>
      <c r="L599" s="23">
        <v>5.7306592352688E-3</v>
      </c>
      <c r="M599" s="23">
        <v>1.43266478553414E-2</v>
      </c>
      <c r="N599" s="23">
        <v>0</v>
      </c>
      <c r="O599" s="24">
        <v>0.28653293848037698</v>
      </c>
      <c r="P599" s="24">
        <v>0.19484241306781699</v>
      </c>
      <c r="Q599" s="24">
        <v>0.96275073289871205</v>
      </c>
      <c r="R599" s="25">
        <v>0.10315186246418338</v>
      </c>
      <c r="S599" s="25">
        <v>1.1461318051575931E-2</v>
      </c>
      <c r="T599" s="25">
        <v>0.17478510028653296</v>
      </c>
    </row>
    <row r="600" spans="1:20" x14ac:dyDescent="0.25">
      <c r="A600" s="8" t="s">
        <v>1268</v>
      </c>
      <c r="B600" s="8" t="s">
        <v>1269</v>
      </c>
      <c r="C600" s="8" t="s">
        <v>3540</v>
      </c>
      <c r="D600" s="8">
        <v>181</v>
      </c>
      <c r="E600" s="24">
        <v>0.45303866267204201</v>
      </c>
      <c r="F600" s="24">
        <v>0.54696130752563399</v>
      </c>
      <c r="G600" s="23">
        <v>0</v>
      </c>
      <c r="H600" s="23">
        <v>0</v>
      </c>
      <c r="I600" s="24">
        <v>0.17127071321010501</v>
      </c>
      <c r="J600" s="24">
        <v>0.80662983655929499</v>
      </c>
      <c r="K600" s="23">
        <v>5.5248620919883E-3</v>
      </c>
      <c r="L600" s="23">
        <v>0</v>
      </c>
      <c r="M600" s="23">
        <v>1.6574585810303698E-2</v>
      </c>
      <c r="N600" s="23">
        <v>0</v>
      </c>
      <c r="O600" s="23">
        <v>0.187845304608345</v>
      </c>
      <c r="P600" s="24">
        <v>0.14364640414714799</v>
      </c>
      <c r="Q600" s="24">
        <v>0.961325943470001</v>
      </c>
      <c r="R600" s="25">
        <v>0</v>
      </c>
      <c r="S600" s="25">
        <v>0</v>
      </c>
      <c r="T600" s="25">
        <v>0.17127071823204421</v>
      </c>
    </row>
    <row r="601" spans="1:20" x14ac:dyDescent="0.25">
      <c r="A601" s="8" t="s">
        <v>1270</v>
      </c>
      <c r="B601" s="8" t="s">
        <v>1271</v>
      </c>
      <c r="C601" s="8" t="s">
        <v>3540</v>
      </c>
      <c r="D601" s="8">
        <v>458</v>
      </c>
      <c r="E601" s="24">
        <v>0.47379913926124501</v>
      </c>
      <c r="F601" s="24">
        <v>0.52183407545089699</v>
      </c>
      <c r="G601" s="23">
        <v>4.3668122962117004E-3</v>
      </c>
      <c r="H601" s="23">
        <v>1.0917030274867999E-2</v>
      </c>
      <c r="I601" s="24">
        <v>0.244541481137275</v>
      </c>
      <c r="J601" s="24">
        <v>0.73799127340316695</v>
      </c>
      <c r="K601" s="23">
        <v>2.1834061481059001E-3</v>
      </c>
      <c r="L601" s="23">
        <v>4.3668122962117004E-3</v>
      </c>
      <c r="M601" s="23">
        <v>0</v>
      </c>
      <c r="N601" s="23">
        <v>0</v>
      </c>
      <c r="O601" s="24">
        <v>0.20960699021816201</v>
      </c>
      <c r="P601" s="24">
        <v>0.15502183139324099</v>
      </c>
      <c r="Q601" s="23">
        <v>0.96069866418838501</v>
      </c>
      <c r="R601" s="25">
        <v>7.4235807860262015E-2</v>
      </c>
      <c r="S601" s="25">
        <v>0</v>
      </c>
      <c r="T601" s="25">
        <v>0.11572052401746726</v>
      </c>
    </row>
    <row r="602" spans="1:20" x14ac:dyDescent="0.25">
      <c r="A602" s="8" t="s">
        <v>1272</v>
      </c>
      <c r="B602" s="8" t="s">
        <v>1273</v>
      </c>
      <c r="C602" s="8" t="s">
        <v>3540</v>
      </c>
      <c r="D602" s="8">
        <v>287</v>
      </c>
      <c r="E602" s="24">
        <v>0.477351903915405</v>
      </c>
      <c r="F602" s="24">
        <v>0.51916378736495905</v>
      </c>
      <c r="G602" s="23">
        <v>3.4843205939978001E-3</v>
      </c>
      <c r="H602" s="23">
        <v>3.4843205939978001E-3</v>
      </c>
      <c r="I602" s="24">
        <v>0.28571429848670898</v>
      </c>
      <c r="J602" s="24">
        <v>0.67944252490997303</v>
      </c>
      <c r="K602" s="23">
        <v>1.74216032028198E-2</v>
      </c>
      <c r="L602" s="23">
        <v>3.4843205939978001E-3</v>
      </c>
      <c r="M602" s="23">
        <v>6.9686411879957E-3</v>
      </c>
      <c r="N602" s="23">
        <v>3.4843205939978001E-3</v>
      </c>
      <c r="O602" s="24">
        <v>0.23344947397708801</v>
      </c>
      <c r="P602" s="23">
        <v>0.12891985476017001</v>
      </c>
      <c r="Q602" s="24">
        <v>0.97909408807754505</v>
      </c>
      <c r="R602" s="25">
        <v>9.7560975609756101E-2</v>
      </c>
      <c r="S602" s="25">
        <v>0</v>
      </c>
      <c r="T602" s="25">
        <v>0.11846689895470383</v>
      </c>
    </row>
    <row r="603" spans="1:20" x14ac:dyDescent="0.25">
      <c r="A603" s="8" t="s">
        <v>1274</v>
      </c>
      <c r="B603" s="8" t="s">
        <v>1275</v>
      </c>
      <c r="C603" s="8" t="s">
        <v>3540</v>
      </c>
      <c r="D603" s="8">
        <v>231</v>
      </c>
      <c r="E603" s="24">
        <v>0.46320345997810303</v>
      </c>
      <c r="F603" s="23">
        <v>0.53679651021957397</v>
      </c>
      <c r="G603" s="23">
        <v>0</v>
      </c>
      <c r="H603" s="23">
        <v>8.6580086499453007E-3</v>
      </c>
      <c r="I603" s="24">
        <v>0.27705627679824801</v>
      </c>
      <c r="J603" s="24">
        <v>0.670995652675628</v>
      </c>
      <c r="K603" s="23">
        <v>4.3290043249726001E-3</v>
      </c>
      <c r="L603" s="23">
        <v>2.5974025949835802E-2</v>
      </c>
      <c r="M603" s="23">
        <v>1.2987012974917901E-2</v>
      </c>
      <c r="N603" s="23">
        <v>0</v>
      </c>
      <c r="O603" s="24">
        <v>0.30303031206130898</v>
      </c>
      <c r="P603" s="24">
        <v>0.125541120767593</v>
      </c>
      <c r="Q603" s="24">
        <v>0.93506491184234597</v>
      </c>
      <c r="R603" s="25">
        <v>0.13419913419913421</v>
      </c>
      <c r="S603" s="25">
        <v>0</v>
      </c>
      <c r="T603" s="25">
        <v>0.19047619047619047</v>
      </c>
    </row>
    <row r="604" spans="1:20" x14ac:dyDescent="0.25">
      <c r="A604" s="8" t="s">
        <v>1276</v>
      </c>
      <c r="B604" s="8" t="s">
        <v>1277</v>
      </c>
      <c r="C604" s="8" t="s">
        <v>3540</v>
      </c>
      <c r="D604" s="8">
        <v>445</v>
      </c>
      <c r="E604" s="23">
        <v>0.47415730357170099</v>
      </c>
      <c r="F604" s="24">
        <v>0.525842726230621</v>
      </c>
      <c r="G604" s="23">
        <v>0</v>
      </c>
      <c r="H604" s="23">
        <v>2.2471910342573998E-3</v>
      </c>
      <c r="I604" s="24">
        <v>0.35730338096618602</v>
      </c>
      <c r="J604" s="24">
        <v>0.60224717855453402</v>
      </c>
      <c r="K604" s="23">
        <v>1.3483146205544499E-2</v>
      </c>
      <c r="L604" s="23">
        <v>8.9887641370295993E-3</v>
      </c>
      <c r="M604" s="23">
        <v>1.5730336308479299E-2</v>
      </c>
      <c r="N604" s="23">
        <v>0</v>
      </c>
      <c r="O604" s="24">
        <v>0.33033707737922602</v>
      </c>
      <c r="P604" s="24">
        <v>0.139325842261314</v>
      </c>
      <c r="Q604" s="24">
        <v>0.97303372621536199</v>
      </c>
      <c r="R604" s="25">
        <v>0.1303370786516854</v>
      </c>
      <c r="S604" s="25">
        <v>2.2471910112359553E-3</v>
      </c>
      <c r="T604" s="25">
        <v>0.20449438202247192</v>
      </c>
    </row>
    <row r="605" spans="1:20" x14ac:dyDescent="0.25">
      <c r="A605" s="8" t="s">
        <v>1278</v>
      </c>
      <c r="B605" s="8" t="s">
        <v>1279</v>
      </c>
      <c r="C605" s="8" t="s">
        <v>3540</v>
      </c>
      <c r="D605" s="8">
        <v>488</v>
      </c>
      <c r="E605" s="23">
        <v>0.47131147980690002</v>
      </c>
      <c r="F605" s="24">
        <v>0.52868854999542203</v>
      </c>
      <c r="G605" s="23">
        <v>0</v>
      </c>
      <c r="H605" s="23">
        <v>4.0983604267240004E-3</v>
      </c>
      <c r="I605" s="24">
        <v>0.21926230192184401</v>
      </c>
      <c r="J605" s="24">
        <v>0.75204920768737704</v>
      </c>
      <c r="K605" s="23">
        <v>2.0491802133620002E-3</v>
      </c>
      <c r="L605" s="23">
        <v>4.0983604267240004E-3</v>
      </c>
      <c r="M605" s="23">
        <v>1.84426233172417E-2</v>
      </c>
      <c r="N605" s="23">
        <v>0</v>
      </c>
      <c r="O605" s="23">
        <v>0.31147539615631098</v>
      </c>
      <c r="P605" s="23">
        <v>0.27868852019309998</v>
      </c>
      <c r="Q605" s="24">
        <v>0.98155736923217696</v>
      </c>
      <c r="R605" s="25">
        <v>0.125</v>
      </c>
      <c r="S605" s="25">
        <v>3.0737704918032786E-2</v>
      </c>
      <c r="T605" s="25">
        <v>0.13934426229508196</v>
      </c>
    </row>
    <row r="606" spans="1:20" x14ac:dyDescent="0.25">
      <c r="A606" s="8" t="s">
        <v>1280</v>
      </c>
      <c r="B606" s="8" t="s">
        <v>1281</v>
      </c>
      <c r="C606" s="8" t="s">
        <v>3540</v>
      </c>
      <c r="D606" s="8">
        <v>232</v>
      </c>
      <c r="E606" s="23">
        <v>0.47413793206214899</v>
      </c>
      <c r="F606" s="24">
        <v>0.52586209774017301</v>
      </c>
      <c r="G606" s="23">
        <v>0</v>
      </c>
      <c r="H606" s="23">
        <v>1.7241379246115698E-2</v>
      </c>
      <c r="I606" s="24">
        <v>0.262931048870086</v>
      </c>
      <c r="J606" s="24">
        <v>0.68534481525421098</v>
      </c>
      <c r="K606" s="23">
        <v>8.6206896230578006E-3</v>
      </c>
      <c r="L606" s="23">
        <v>8.6206896230578006E-3</v>
      </c>
      <c r="M606" s="23">
        <v>1.7241379246115698E-2</v>
      </c>
      <c r="N606" s="23">
        <v>0</v>
      </c>
      <c r="O606" s="24">
        <v>0.28879311680793701</v>
      </c>
      <c r="P606" s="24">
        <v>0.172413796186447</v>
      </c>
      <c r="Q606" s="24">
        <v>0.95689654350280695</v>
      </c>
      <c r="R606" s="25">
        <v>9.9137931034482762E-2</v>
      </c>
      <c r="S606" s="25">
        <v>4.3103448275862068E-3</v>
      </c>
      <c r="T606" s="25">
        <v>0.18965517241379309</v>
      </c>
    </row>
    <row r="607" spans="1:20" x14ac:dyDescent="0.25">
      <c r="A607" s="8" t="s">
        <v>1282</v>
      </c>
      <c r="B607" s="8" t="s">
        <v>1283</v>
      </c>
      <c r="C607" s="8" t="s">
        <v>3540</v>
      </c>
      <c r="D607" s="8">
        <v>716</v>
      </c>
      <c r="E607" s="23">
        <v>0.46229049563407898</v>
      </c>
      <c r="F607" s="24">
        <v>0.53770947456359797</v>
      </c>
      <c r="G607" s="23">
        <v>0</v>
      </c>
      <c r="H607" s="23">
        <v>2.2346368059516002E-2</v>
      </c>
      <c r="I607" s="24">
        <v>0.103351958096027</v>
      </c>
      <c r="J607" s="24">
        <v>0.84497207403182895</v>
      </c>
      <c r="K607" s="23">
        <v>1.3966480037197E-3</v>
      </c>
      <c r="L607" s="23">
        <v>2.2346368059516002E-2</v>
      </c>
      <c r="M607" s="23">
        <v>5.5865920148790004E-3</v>
      </c>
      <c r="N607" s="23">
        <v>0</v>
      </c>
      <c r="O607" s="24">
        <v>0.18296089768409701</v>
      </c>
      <c r="P607" s="24">
        <v>0.36452513933181702</v>
      </c>
      <c r="Q607" s="23">
        <v>0.91061455011367798</v>
      </c>
      <c r="R607" s="25">
        <v>6.5642458100558659E-2</v>
      </c>
      <c r="S607" s="25">
        <v>0</v>
      </c>
      <c r="T607" s="25">
        <v>0.11173184357541899</v>
      </c>
    </row>
    <row r="608" spans="1:20" x14ac:dyDescent="0.25">
      <c r="A608" s="8" t="s">
        <v>1284</v>
      </c>
      <c r="B608" s="8" t="s">
        <v>1285</v>
      </c>
      <c r="C608" s="8" t="s">
        <v>3540</v>
      </c>
      <c r="D608" s="8">
        <v>672</v>
      </c>
      <c r="E608" s="23">
        <v>0.46875</v>
      </c>
      <c r="F608" s="23">
        <v>0.53125</v>
      </c>
      <c r="G608" s="23">
        <v>0</v>
      </c>
      <c r="H608" s="23">
        <v>2.0833333954215001E-2</v>
      </c>
      <c r="I608" s="24">
        <v>0.105654761195182</v>
      </c>
      <c r="J608" s="23">
        <v>0.84375</v>
      </c>
      <c r="K608" s="23">
        <v>7.4404762126505002E-3</v>
      </c>
      <c r="L608" s="23">
        <v>1.3392857275903201E-2</v>
      </c>
      <c r="M608" s="23">
        <v>8.9285718277097009E-3</v>
      </c>
      <c r="N608" s="23">
        <v>0</v>
      </c>
      <c r="O608" s="24">
        <v>0.209821432828903</v>
      </c>
      <c r="P608" s="24">
        <v>0.36458334326744002</v>
      </c>
      <c r="Q608" s="24">
        <v>0.95238095521926802</v>
      </c>
      <c r="R608" s="25">
        <v>7.5892857142857137E-2</v>
      </c>
      <c r="S608" s="25">
        <v>0</v>
      </c>
      <c r="T608" s="25">
        <v>0.11458333333333333</v>
      </c>
    </row>
    <row r="609" spans="1:20" x14ac:dyDescent="0.25">
      <c r="A609" s="8" t="s">
        <v>1286</v>
      </c>
      <c r="B609" s="8" t="s">
        <v>1287</v>
      </c>
      <c r="C609" s="8" t="s">
        <v>3540</v>
      </c>
      <c r="D609" s="8">
        <v>202</v>
      </c>
      <c r="E609" s="24">
        <v>0.57920789718627896</v>
      </c>
      <c r="F609" s="24">
        <v>0.42079207301139798</v>
      </c>
      <c r="G609" s="23">
        <v>0</v>
      </c>
      <c r="H609" s="23">
        <v>9.9009899422525995E-3</v>
      </c>
      <c r="I609" s="24">
        <v>0.16336633265018399</v>
      </c>
      <c r="J609" s="24">
        <v>0.81188118457794101</v>
      </c>
      <c r="K609" s="23">
        <v>0</v>
      </c>
      <c r="L609" s="23">
        <v>4.9504949711262998E-3</v>
      </c>
      <c r="M609" s="23">
        <v>9.9009899422525995E-3</v>
      </c>
      <c r="N609" s="23">
        <v>0</v>
      </c>
      <c r="O609" s="24">
        <v>0.23267327249050099</v>
      </c>
      <c r="P609" s="24">
        <v>0.113861389458179</v>
      </c>
      <c r="Q609" s="24">
        <v>0.93069308996200495</v>
      </c>
      <c r="R609" s="25">
        <v>8.9108910891089105E-2</v>
      </c>
      <c r="S609" s="25">
        <v>0</v>
      </c>
      <c r="T609" s="25">
        <v>0.11881188118811881</v>
      </c>
    </row>
    <row r="610" spans="1:20" x14ac:dyDescent="0.25">
      <c r="A610" s="8" t="s">
        <v>1288</v>
      </c>
      <c r="B610" s="8" t="s">
        <v>1289</v>
      </c>
      <c r="C610" s="8" t="s">
        <v>3540</v>
      </c>
      <c r="D610" s="8">
        <v>819</v>
      </c>
      <c r="E610" s="24">
        <v>0.49328449368476801</v>
      </c>
      <c r="F610" s="24">
        <v>0.50671553611755304</v>
      </c>
      <c r="G610" s="23">
        <v>0</v>
      </c>
      <c r="H610" s="23">
        <v>2.19780225306749E-2</v>
      </c>
      <c r="I610" s="24">
        <v>0.20757021009922</v>
      </c>
      <c r="J610" s="24">
        <v>0.75579977035522405</v>
      </c>
      <c r="K610" s="23">
        <v>6.1050062067806998E-3</v>
      </c>
      <c r="L610" s="23">
        <v>3.6630036775023001E-3</v>
      </c>
      <c r="M610" s="23">
        <v>4.8840050585568003E-3</v>
      </c>
      <c r="N610" s="23">
        <v>0</v>
      </c>
      <c r="O610" s="24">
        <v>0.22222222387790599</v>
      </c>
      <c r="P610" s="24">
        <v>0.21733821928501099</v>
      </c>
      <c r="Q610" s="24">
        <v>0.96459096670150701</v>
      </c>
      <c r="R610" s="25">
        <v>2.8083028083028084E-2</v>
      </c>
      <c r="S610" s="25">
        <v>0</v>
      </c>
      <c r="T610" s="25">
        <v>0.1807081807081807</v>
      </c>
    </row>
    <row r="611" spans="1:20" x14ac:dyDescent="0.25">
      <c r="A611" s="8" t="s">
        <v>1290</v>
      </c>
      <c r="B611" s="8" t="s">
        <v>1291</v>
      </c>
      <c r="C611" s="8" t="s">
        <v>3540</v>
      </c>
      <c r="D611" s="8">
        <v>137</v>
      </c>
      <c r="E611" s="24">
        <v>0.49635037779808</v>
      </c>
      <c r="F611" s="24">
        <v>0.50364965200424106</v>
      </c>
      <c r="G611" s="23">
        <v>0</v>
      </c>
      <c r="H611" s="23">
        <v>1.45985400304198E-2</v>
      </c>
      <c r="I611" s="24">
        <v>0.34306567907333302</v>
      </c>
      <c r="J611" s="24">
        <v>0.62773722410202004</v>
      </c>
      <c r="K611" s="23">
        <v>0</v>
      </c>
      <c r="L611" s="23">
        <v>0</v>
      </c>
      <c r="M611" s="23">
        <v>1.45985400304198E-2</v>
      </c>
      <c r="N611" s="23">
        <v>0</v>
      </c>
      <c r="O611" s="24">
        <v>0.34306567907333302</v>
      </c>
      <c r="P611" s="24">
        <v>0.226277366280555</v>
      </c>
      <c r="Q611" s="23">
        <v>0.970802903175354</v>
      </c>
      <c r="R611" s="25">
        <v>5.8394160583941604E-2</v>
      </c>
      <c r="S611" s="25">
        <v>1.4598540145985401E-2</v>
      </c>
      <c r="T611" s="25">
        <v>0.25547445255474455</v>
      </c>
    </row>
    <row r="612" spans="1:20" x14ac:dyDescent="0.25">
      <c r="A612" s="8" t="s">
        <v>1292</v>
      </c>
      <c r="B612" s="8" t="s">
        <v>1293</v>
      </c>
      <c r="C612" s="8" t="s">
        <v>3540</v>
      </c>
      <c r="D612" s="8">
        <v>647</v>
      </c>
      <c r="E612" s="24">
        <v>0.50231838226318304</v>
      </c>
      <c r="F612" s="24">
        <v>0.49768161773681602</v>
      </c>
      <c r="G612" s="23">
        <v>0</v>
      </c>
      <c r="H612" s="23">
        <v>2.31839250773191E-2</v>
      </c>
      <c r="I612" s="24">
        <v>0.114374034106731</v>
      </c>
      <c r="J612" s="24">
        <v>0.82380217313766402</v>
      </c>
      <c r="K612" s="23">
        <v>1.5455950051545999E-3</v>
      </c>
      <c r="L612" s="23">
        <v>2.9366305097937601E-2</v>
      </c>
      <c r="M612" s="23">
        <v>6.1823800206183997E-3</v>
      </c>
      <c r="N612" s="23">
        <v>1.5455950051545999E-3</v>
      </c>
      <c r="O612" s="24">
        <v>0.26275116205215399</v>
      </c>
      <c r="P612" s="24">
        <v>0.15146832168102201</v>
      </c>
      <c r="Q612" s="23">
        <v>0.88562595844268799</v>
      </c>
      <c r="R612" s="25">
        <v>1.5455950540958269E-3</v>
      </c>
      <c r="S612" s="25">
        <v>0.10046367851622875</v>
      </c>
      <c r="T612" s="25">
        <v>0.16228748068006182</v>
      </c>
    </row>
    <row r="613" spans="1:20" x14ac:dyDescent="0.25">
      <c r="A613" s="8" t="s">
        <v>1294</v>
      </c>
      <c r="B613" s="8" t="s">
        <v>1295</v>
      </c>
      <c r="C613" s="8" t="s">
        <v>3540</v>
      </c>
      <c r="D613" s="8">
        <v>177</v>
      </c>
      <c r="E613" s="24">
        <v>0.440677970647811</v>
      </c>
      <c r="F613" s="24">
        <v>0.55932205915451005</v>
      </c>
      <c r="G613" s="23">
        <v>0</v>
      </c>
      <c r="H613" s="23">
        <v>0</v>
      </c>
      <c r="I613" s="24">
        <v>0.37288135290145802</v>
      </c>
      <c r="J613" s="24">
        <v>0.59322035312652499</v>
      </c>
      <c r="K613" s="23">
        <v>2.2598870098590899E-2</v>
      </c>
      <c r="L613" s="23">
        <v>5.6497175246476997E-3</v>
      </c>
      <c r="M613" s="23">
        <v>5.6497175246476997E-3</v>
      </c>
      <c r="N613" s="23">
        <v>0</v>
      </c>
      <c r="O613" s="24">
        <v>0.35028249025344799</v>
      </c>
      <c r="P613" s="24">
        <v>0.15254236757755199</v>
      </c>
      <c r="Q613" s="24">
        <v>0.960451960563659</v>
      </c>
      <c r="R613" s="25">
        <v>0</v>
      </c>
      <c r="S613" s="25">
        <v>0</v>
      </c>
      <c r="T613" s="25">
        <v>0.29943502824858759</v>
      </c>
    </row>
    <row r="614" spans="1:20" x14ac:dyDescent="0.25">
      <c r="A614" s="8" t="s">
        <v>1296</v>
      </c>
      <c r="B614" s="8" t="s">
        <v>1297</v>
      </c>
      <c r="C614" s="8" t="s">
        <v>3540</v>
      </c>
      <c r="D614" s="8">
        <v>247</v>
      </c>
      <c r="E614" s="24">
        <v>0.40080970525741499</v>
      </c>
      <c r="F614" s="24">
        <v>0.59919029474258401</v>
      </c>
      <c r="G614" s="23">
        <v>0</v>
      </c>
      <c r="H614" s="23">
        <v>1.2145749293267699E-2</v>
      </c>
      <c r="I614" s="24">
        <v>0.246963560581207</v>
      </c>
      <c r="J614" s="23">
        <v>0.71659916639328003</v>
      </c>
      <c r="K614" s="23">
        <v>0</v>
      </c>
      <c r="L614" s="23">
        <v>8.0971661955118006E-3</v>
      </c>
      <c r="M614" s="23">
        <v>1.2145749293267699E-2</v>
      </c>
      <c r="N614" s="23">
        <v>4.0485830977559003E-3</v>
      </c>
      <c r="O614" s="24">
        <v>0.31578946113586398</v>
      </c>
      <c r="P614" s="24">
        <v>0.19433198869228299</v>
      </c>
      <c r="Q614" s="24">
        <v>0.97570848464965798</v>
      </c>
      <c r="R614" s="25">
        <v>0</v>
      </c>
      <c r="S614" s="25">
        <v>0</v>
      </c>
      <c r="T614" s="25">
        <v>0.31578947368421051</v>
      </c>
    </row>
    <row r="615" spans="1:20" x14ac:dyDescent="0.25">
      <c r="A615" s="8" t="s">
        <v>1298</v>
      </c>
      <c r="B615" s="8" t="s">
        <v>1299</v>
      </c>
      <c r="C615" s="8" t="s">
        <v>3540</v>
      </c>
      <c r="D615" s="8">
        <v>459</v>
      </c>
      <c r="E615" s="23">
        <v>0.52941179275512695</v>
      </c>
      <c r="F615" s="24">
        <v>0.47058823704719499</v>
      </c>
      <c r="G615" s="23">
        <v>0</v>
      </c>
      <c r="H615" s="23">
        <v>6.5359477885067003E-3</v>
      </c>
      <c r="I615" s="24">
        <v>0.20261438190937001</v>
      </c>
      <c r="J615" s="24">
        <v>0.76906317472457797</v>
      </c>
      <c r="K615" s="23">
        <v>4.3572983704507004E-3</v>
      </c>
      <c r="L615" s="23">
        <v>1.08932461589575E-2</v>
      </c>
      <c r="M615" s="23">
        <v>6.5359477885067003E-3</v>
      </c>
      <c r="N615" s="23">
        <v>0</v>
      </c>
      <c r="O615" s="24">
        <v>0.29629629850387501</v>
      </c>
      <c r="P615" s="24">
        <v>0.104575164616107</v>
      </c>
      <c r="Q615" s="24">
        <v>0.96732026338577204</v>
      </c>
      <c r="R615" s="25">
        <v>3.4858387799564274E-2</v>
      </c>
      <c r="S615" s="25">
        <v>4.1394335511982572E-2</v>
      </c>
      <c r="T615" s="25">
        <v>0.22875816993464052</v>
      </c>
    </row>
    <row r="616" spans="1:20" x14ac:dyDescent="0.25">
      <c r="A616" s="8" t="s">
        <v>1300</v>
      </c>
      <c r="B616" s="8" t="s">
        <v>1301</v>
      </c>
      <c r="C616" s="8" t="s">
        <v>3540</v>
      </c>
      <c r="D616" s="8">
        <v>655</v>
      </c>
      <c r="E616" s="24">
        <v>0.490076333284378</v>
      </c>
      <c r="F616" s="24">
        <v>0.50992363691329901</v>
      </c>
      <c r="G616" s="23">
        <v>0</v>
      </c>
      <c r="H616" s="23">
        <v>2.7480915188789399E-2</v>
      </c>
      <c r="I616" s="24">
        <v>0.22442747652530601</v>
      </c>
      <c r="J616" s="24">
        <v>0.71450382471084495</v>
      </c>
      <c r="K616" s="23">
        <v>3.0534351244568998E-3</v>
      </c>
      <c r="L616" s="23">
        <v>1.3740457594394699E-2</v>
      </c>
      <c r="M616" s="23">
        <v>1.52671756222844E-2</v>
      </c>
      <c r="N616" s="23">
        <v>1.5267175622284E-3</v>
      </c>
      <c r="O616" s="23">
        <v>0.35267174243927002</v>
      </c>
      <c r="P616" s="23">
        <v>0.204580157995224</v>
      </c>
      <c r="Q616" s="24">
        <v>0.94503813982009799</v>
      </c>
      <c r="R616" s="25">
        <v>3.0534351145038168E-3</v>
      </c>
      <c r="S616" s="25">
        <v>9.9236641221374045E-2</v>
      </c>
      <c r="T616" s="25">
        <v>0.23053435114503817</v>
      </c>
    </row>
    <row r="617" spans="1:20" x14ac:dyDescent="0.25">
      <c r="A617" s="8" t="s">
        <v>1302</v>
      </c>
      <c r="B617" s="8" t="s">
        <v>1303</v>
      </c>
      <c r="C617" s="8" t="s">
        <v>3540</v>
      </c>
      <c r="D617" s="8">
        <v>152</v>
      </c>
      <c r="E617" s="24">
        <v>0.53947371244430498</v>
      </c>
      <c r="F617" s="23">
        <v>0.46052631735801702</v>
      </c>
      <c r="G617" s="23">
        <v>0</v>
      </c>
      <c r="H617" s="23">
        <v>1.31578948348761E-2</v>
      </c>
      <c r="I617" s="24">
        <v>0.31578946113586398</v>
      </c>
      <c r="J617" s="24">
        <v>0.65789473056793202</v>
      </c>
      <c r="K617" s="23">
        <v>0</v>
      </c>
      <c r="L617" s="23">
        <v>6.5789474174379999E-3</v>
      </c>
      <c r="M617" s="23">
        <v>6.5789474174379999E-3</v>
      </c>
      <c r="N617" s="23">
        <v>0</v>
      </c>
      <c r="O617" s="24">
        <v>0.28289473056793202</v>
      </c>
      <c r="P617" s="23">
        <v>0.210526317358017</v>
      </c>
      <c r="Q617" s="24">
        <v>0.94736844301223699</v>
      </c>
      <c r="R617" s="25">
        <v>7.8947368421052627E-2</v>
      </c>
      <c r="S617" s="25">
        <v>0</v>
      </c>
      <c r="T617" s="25">
        <v>0.21052631578947367</v>
      </c>
    </row>
    <row r="618" spans="1:20" x14ac:dyDescent="0.25">
      <c r="A618" s="8" t="s">
        <v>1304</v>
      </c>
      <c r="B618" s="8" t="s">
        <v>1305</v>
      </c>
      <c r="C618" s="8" t="s">
        <v>3540</v>
      </c>
      <c r="D618" s="8">
        <v>231</v>
      </c>
      <c r="E618" s="24">
        <v>0.510822534561157</v>
      </c>
      <c r="F618" s="24">
        <v>0.48917749524116499</v>
      </c>
      <c r="G618" s="23">
        <v>0</v>
      </c>
      <c r="H618" s="23">
        <v>1.2987012974917901E-2</v>
      </c>
      <c r="I618" s="23">
        <v>0.22077922523021701</v>
      </c>
      <c r="J618" s="24">
        <v>0.73160171508788996</v>
      </c>
      <c r="K618" s="23">
        <v>1.2987012974917901E-2</v>
      </c>
      <c r="L618" s="23">
        <v>0</v>
      </c>
      <c r="M618" s="23">
        <v>2.1645022556185702E-2</v>
      </c>
      <c r="N618" s="23">
        <v>0</v>
      </c>
      <c r="O618" s="24">
        <v>0.20346319675445501</v>
      </c>
      <c r="P618" s="24">
        <v>0.28571429848670898</v>
      </c>
      <c r="Q618" s="24">
        <v>0.96536797285079901</v>
      </c>
      <c r="R618" s="25">
        <v>5.1948051948051951E-2</v>
      </c>
      <c r="S618" s="25">
        <v>0</v>
      </c>
      <c r="T618" s="25">
        <v>0.16450216450216451</v>
      </c>
    </row>
    <row r="619" spans="1:20" x14ac:dyDescent="0.25">
      <c r="A619" s="8" t="s">
        <v>1306</v>
      </c>
      <c r="B619" s="8" t="s">
        <v>1307</v>
      </c>
      <c r="C619" s="8" t="s">
        <v>3540</v>
      </c>
      <c r="D619" s="8">
        <v>367</v>
      </c>
      <c r="E619" s="24">
        <v>0.50408720970153797</v>
      </c>
      <c r="F619" s="24">
        <v>0.49591282010078402</v>
      </c>
      <c r="G619" s="23">
        <v>0</v>
      </c>
      <c r="H619" s="23">
        <v>0</v>
      </c>
      <c r="I619" s="24">
        <v>0.37329700589179898</v>
      </c>
      <c r="J619" s="24">
        <v>0.61307901144027699</v>
      </c>
      <c r="K619" s="23">
        <v>5.4495912045240003E-3</v>
      </c>
      <c r="L619" s="23">
        <v>2.7247956022620002E-3</v>
      </c>
      <c r="M619" s="23">
        <v>5.4495912045240003E-3</v>
      </c>
      <c r="N619" s="23">
        <v>0</v>
      </c>
      <c r="O619" s="24">
        <v>0.29427793622016901</v>
      </c>
      <c r="P619" s="24">
        <v>0.111716620624065</v>
      </c>
      <c r="Q619" s="24">
        <v>0.95367848873138406</v>
      </c>
      <c r="R619" s="25">
        <v>0.11171662125340599</v>
      </c>
      <c r="S619" s="25">
        <v>2.7247956403269754E-3</v>
      </c>
      <c r="T619" s="25">
        <v>0.17438692098092642</v>
      </c>
    </row>
    <row r="620" spans="1:20" x14ac:dyDescent="0.25">
      <c r="A620" s="8" t="s">
        <v>1308</v>
      </c>
      <c r="B620" s="8" t="s">
        <v>1309</v>
      </c>
      <c r="C620" s="8" t="s">
        <v>3540</v>
      </c>
      <c r="D620" s="8">
        <v>268</v>
      </c>
      <c r="E620" s="24">
        <v>0.53358209133148105</v>
      </c>
      <c r="F620" s="24">
        <v>0.46641790866851801</v>
      </c>
      <c r="G620" s="23">
        <v>0</v>
      </c>
      <c r="H620" s="23">
        <v>1.11940298229456E-2</v>
      </c>
      <c r="I620" s="24">
        <v>0.30970150232315002</v>
      </c>
      <c r="J620" s="24">
        <v>0.65298509597778298</v>
      </c>
      <c r="K620" s="23">
        <v>0</v>
      </c>
      <c r="L620" s="23">
        <v>1.11940298229456E-2</v>
      </c>
      <c r="M620" s="23">
        <v>1.49253727868199E-2</v>
      </c>
      <c r="N620" s="23">
        <v>0</v>
      </c>
      <c r="O620" s="24">
        <v>0.25373134016990601</v>
      </c>
      <c r="P620" s="24">
        <v>0.123134329915046</v>
      </c>
      <c r="Q620" s="24">
        <v>0.94029849767684903</v>
      </c>
      <c r="R620" s="25">
        <v>0.12313432835820895</v>
      </c>
      <c r="S620" s="25">
        <v>0</v>
      </c>
      <c r="T620" s="25">
        <v>0.13059701492537312</v>
      </c>
    </row>
    <row r="621" spans="1:20" x14ac:dyDescent="0.25">
      <c r="A621" s="8" t="s">
        <v>1310</v>
      </c>
      <c r="B621" s="8" t="s">
        <v>1311</v>
      </c>
      <c r="C621" s="8" t="s">
        <v>3540</v>
      </c>
      <c r="D621" s="8">
        <v>259</v>
      </c>
      <c r="E621" s="24">
        <v>0.52123552560806197</v>
      </c>
      <c r="F621" s="24">
        <v>0.47876447439193698</v>
      </c>
      <c r="G621" s="23">
        <v>0</v>
      </c>
      <c r="H621" s="23">
        <v>7.7220075763761997E-3</v>
      </c>
      <c r="I621" s="24">
        <v>0.23938223719596799</v>
      </c>
      <c r="J621" s="24">
        <v>0.71428573131561202</v>
      </c>
      <c r="K621" s="23">
        <v>3.8610037881880999E-3</v>
      </c>
      <c r="L621" s="23">
        <v>2.31660231947899E-2</v>
      </c>
      <c r="M621" s="23">
        <v>1.15830115973949E-2</v>
      </c>
      <c r="N621" s="23">
        <v>0</v>
      </c>
      <c r="O621" s="24">
        <v>0.27413126826286299</v>
      </c>
      <c r="P621" s="24">
        <v>0.181467175483703</v>
      </c>
      <c r="Q621" s="24">
        <v>0.96911197900771995</v>
      </c>
      <c r="R621" s="25">
        <v>0</v>
      </c>
      <c r="S621" s="25">
        <v>9.2664092664092659E-2</v>
      </c>
      <c r="T621" s="25">
        <v>0.17374517374517376</v>
      </c>
    </row>
    <row r="622" spans="1:20" x14ac:dyDescent="0.25">
      <c r="A622" s="8" t="s">
        <v>1312</v>
      </c>
      <c r="B622" s="8" t="s">
        <v>1313</v>
      </c>
      <c r="C622" s="8" t="s">
        <v>3540</v>
      </c>
      <c r="D622" s="8">
        <v>276</v>
      </c>
      <c r="E622" s="24">
        <v>0.50724637508392301</v>
      </c>
      <c r="F622" s="24">
        <v>0.49275362491607599</v>
      </c>
      <c r="G622" s="23">
        <v>0</v>
      </c>
      <c r="H622" s="23">
        <v>3.6231884732841999E-3</v>
      </c>
      <c r="I622" s="24">
        <v>0.26811593770980802</v>
      </c>
      <c r="J622" s="24">
        <v>0.71376812458038297</v>
      </c>
      <c r="K622" s="23">
        <v>3.6231884732841999E-3</v>
      </c>
      <c r="L622" s="23">
        <v>3.6231884732841999E-3</v>
      </c>
      <c r="M622" s="23">
        <v>7.2463769465685004E-3</v>
      </c>
      <c r="N622" s="23">
        <v>0</v>
      </c>
      <c r="O622" s="23">
        <v>0.23913043737411499</v>
      </c>
      <c r="P622" s="24">
        <v>0.21014492213725999</v>
      </c>
      <c r="Q622" s="24">
        <v>0.97463768720626798</v>
      </c>
      <c r="R622" s="25">
        <v>7.6086956521739135E-2</v>
      </c>
      <c r="S622" s="25">
        <v>3.6231884057971015E-3</v>
      </c>
      <c r="T622" s="25">
        <v>0.16666666666666666</v>
      </c>
    </row>
    <row r="623" spans="1:20" x14ac:dyDescent="0.25">
      <c r="A623" s="8" t="s">
        <v>1314</v>
      </c>
      <c r="B623" s="8" t="s">
        <v>1315</v>
      </c>
      <c r="C623" s="8" t="s">
        <v>3540</v>
      </c>
      <c r="D623" s="8">
        <v>189</v>
      </c>
      <c r="E623" s="24">
        <v>0.46560847759246798</v>
      </c>
      <c r="F623" s="24">
        <v>0.53439152240753096</v>
      </c>
      <c r="G623" s="23">
        <v>0</v>
      </c>
      <c r="H623" s="23">
        <v>1.05820102617145E-2</v>
      </c>
      <c r="I623" s="24">
        <v>0.15343914926051999</v>
      </c>
      <c r="J623" s="24">
        <v>0.81481480598449696</v>
      </c>
      <c r="K623" s="23">
        <v>0</v>
      </c>
      <c r="L623" s="23">
        <v>0</v>
      </c>
      <c r="M623" s="23">
        <v>2.11640205234289E-2</v>
      </c>
      <c r="N623" s="23">
        <v>0</v>
      </c>
      <c r="O623" s="24">
        <v>0.29100528359413103</v>
      </c>
      <c r="P623" s="24">
        <v>0.31746032834053001</v>
      </c>
      <c r="Q623" s="24">
        <v>0.96825397014617898</v>
      </c>
      <c r="R623" s="25">
        <v>0.17460317460317459</v>
      </c>
      <c r="S623" s="25">
        <v>0</v>
      </c>
      <c r="T623" s="25">
        <v>0.12169312169312169</v>
      </c>
    </row>
    <row r="624" spans="1:20" x14ac:dyDescent="0.25">
      <c r="A624" s="8" t="s">
        <v>1316</v>
      </c>
      <c r="B624" s="8" t="s">
        <v>1317</v>
      </c>
      <c r="C624" s="8" t="s">
        <v>3540</v>
      </c>
      <c r="D624" s="8">
        <v>395</v>
      </c>
      <c r="E624" s="24">
        <v>0.475949376821517</v>
      </c>
      <c r="F624" s="24">
        <v>0.524050652980804</v>
      </c>
      <c r="G624" s="23">
        <v>0</v>
      </c>
      <c r="H624" s="23">
        <v>2.7848102152347599E-2</v>
      </c>
      <c r="I624" s="24">
        <v>0.20759493112564001</v>
      </c>
      <c r="J624" s="24">
        <v>0.73670887947082497</v>
      </c>
      <c r="K624" s="23">
        <v>7.5949365273118002E-3</v>
      </c>
      <c r="L624" s="23">
        <v>1.0126582346856599E-2</v>
      </c>
      <c r="M624" s="23">
        <v>1.0126582346856599E-2</v>
      </c>
      <c r="N624" s="23">
        <v>0</v>
      </c>
      <c r="O624" s="24">
        <v>0.2177215218544</v>
      </c>
      <c r="P624" s="23">
        <v>0.14936709403991699</v>
      </c>
      <c r="Q624" s="24">
        <v>0.92911392450332597</v>
      </c>
      <c r="R624" s="25">
        <v>0</v>
      </c>
      <c r="S624" s="25">
        <v>7.848101265822785E-2</v>
      </c>
      <c r="T624" s="25">
        <v>0.13670886075949368</v>
      </c>
    </row>
    <row r="625" spans="1:20" x14ac:dyDescent="0.25">
      <c r="A625" s="8" t="s">
        <v>1318</v>
      </c>
      <c r="B625" s="8" t="s">
        <v>1319</v>
      </c>
      <c r="C625" s="8" t="s">
        <v>3540</v>
      </c>
      <c r="D625" s="8">
        <v>344</v>
      </c>
      <c r="E625" s="24">
        <v>0.47383719682693398</v>
      </c>
      <c r="F625" s="24">
        <v>0.52616280317306496</v>
      </c>
      <c r="G625" s="23">
        <v>0</v>
      </c>
      <c r="H625" s="23">
        <v>0</v>
      </c>
      <c r="I625" s="23">
        <v>0</v>
      </c>
      <c r="J625" s="23">
        <v>1</v>
      </c>
      <c r="K625" s="23">
        <v>0</v>
      </c>
      <c r="L625" s="23">
        <v>0</v>
      </c>
      <c r="M625" s="23">
        <v>0</v>
      </c>
      <c r="N625" s="23">
        <v>0</v>
      </c>
      <c r="O625" s="23">
        <v>1.16279069334269E-2</v>
      </c>
      <c r="P625" s="24">
        <v>0.91279071569442705</v>
      </c>
      <c r="Q625" s="23">
        <v>0.97965115308761597</v>
      </c>
      <c r="R625" s="25">
        <v>0</v>
      </c>
      <c r="S625" s="25">
        <v>0</v>
      </c>
      <c r="T625" s="25">
        <v>1.4534883720930232E-2</v>
      </c>
    </row>
    <row r="626" spans="1:20" x14ac:dyDescent="0.25">
      <c r="A626" s="8" t="s">
        <v>1320</v>
      </c>
      <c r="B626" s="8" t="s">
        <v>1321</v>
      </c>
      <c r="C626" s="8" t="s">
        <v>3540</v>
      </c>
      <c r="D626" s="8">
        <v>287</v>
      </c>
      <c r="E626" s="24">
        <v>0.48780488967895502</v>
      </c>
      <c r="F626" s="24">
        <v>0.51219511032104403</v>
      </c>
      <c r="G626" s="23">
        <v>0</v>
      </c>
      <c r="H626" s="23">
        <v>2.7874564751982699E-2</v>
      </c>
      <c r="I626" s="23">
        <v>0.25435540080070501</v>
      </c>
      <c r="J626" s="24">
        <v>0.68989545106887795</v>
      </c>
      <c r="K626" s="23">
        <v>0</v>
      </c>
      <c r="L626" s="23">
        <v>1.0452961549162899E-2</v>
      </c>
      <c r="M626" s="23">
        <v>1.74216032028198E-2</v>
      </c>
      <c r="N626" s="23">
        <v>0</v>
      </c>
      <c r="O626" s="24">
        <v>0.36933797597885099</v>
      </c>
      <c r="P626" s="24">
        <v>0.30662021040916398</v>
      </c>
      <c r="Q626" s="24">
        <v>0.91289198398589999</v>
      </c>
      <c r="R626" s="25">
        <v>0</v>
      </c>
      <c r="S626" s="25">
        <v>0</v>
      </c>
      <c r="T626" s="25">
        <v>0.37282229965156793</v>
      </c>
    </row>
    <row r="627" spans="1:20" x14ac:dyDescent="0.25">
      <c r="A627" s="8" t="s">
        <v>1322</v>
      </c>
      <c r="B627" s="8" t="s">
        <v>1323</v>
      </c>
      <c r="C627" s="8" t="s">
        <v>3540</v>
      </c>
      <c r="D627" s="8">
        <v>323</v>
      </c>
      <c r="E627" s="24">
        <v>0.52321982383728005</v>
      </c>
      <c r="F627" s="24">
        <v>0.476780176162719</v>
      </c>
      <c r="G627" s="23">
        <v>0</v>
      </c>
      <c r="H627" s="23">
        <v>6.1919502913952004E-3</v>
      </c>
      <c r="I627" s="24">
        <v>0.120743036270141</v>
      </c>
      <c r="J627" s="24">
        <v>0.85448914766311601</v>
      </c>
      <c r="K627" s="23">
        <v>6.1919502913952004E-3</v>
      </c>
      <c r="L627" s="23">
        <v>0</v>
      </c>
      <c r="M627" s="23">
        <v>1.2383900582790401E-2</v>
      </c>
      <c r="N627" s="23">
        <v>0</v>
      </c>
      <c r="O627" s="24">
        <v>0.201238393783569</v>
      </c>
      <c r="P627" s="24">
        <v>0.13003095984458901</v>
      </c>
      <c r="Q627" s="24">
        <v>0.86377710103988603</v>
      </c>
      <c r="R627" s="25">
        <v>3.0959752321981426E-3</v>
      </c>
      <c r="S627" s="25">
        <v>0</v>
      </c>
      <c r="T627" s="25">
        <v>0.19814241486068113</v>
      </c>
    </row>
    <row r="628" spans="1:20" x14ac:dyDescent="0.25">
      <c r="A628" s="8" t="s">
        <v>1324</v>
      </c>
      <c r="B628" s="8" t="s">
        <v>1325</v>
      </c>
      <c r="C628" s="8" t="s">
        <v>3540</v>
      </c>
      <c r="D628" s="8">
        <v>299</v>
      </c>
      <c r="E628" s="24">
        <v>0.55852842330932595</v>
      </c>
      <c r="F628" s="24">
        <v>0.441471576690673</v>
      </c>
      <c r="G628" s="23">
        <v>0</v>
      </c>
      <c r="H628" s="23">
        <v>1.00334445014596E-2</v>
      </c>
      <c r="I628" s="24">
        <v>0.37123745679855302</v>
      </c>
      <c r="J628" s="24">
        <v>0.59197324514389005</v>
      </c>
      <c r="K628" s="23">
        <v>1.00334445014596E-2</v>
      </c>
      <c r="L628" s="23">
        <v>3.3444815780967001E-3</v>
      </c>
      <c r="M628" s="23">
        <v>1.3377926312387E-2</v>
      </c>
      <c r="N628" s="23">
        <v>0</v>
      </c>
      <c r="O628" s="24">
        <v>0.30100333690643299</v>
      </c>
      <c r="P628" s="24">
        <v>0.133779257535934</v>
      </c>
      <c r="Q628" s="24">
        <v>0.986622095108032</v>
      </c>
      <c r="R628" s="25">
        <v>0.13712374581939799</v>
      </c>
      <c r="S628" s="25">
        <v>6.688963210702341E-3</v>
      </c>
      <c r="T628" s="25">
        <v>0.15719063545150502</v>
      </c>
    </row>
    <row r="629" spans="1:20" x14ac:dyDescent="0.25">
      <c r="A629" s="8" t="s">
        <v>1326</v>
      </c>
      <c r="B629" s="8" t="s">
        <v>1327</v>
      </c>
      <c r="C629" s="8" t="s">
        <v>3540</v>
      </c>
      <c r="D629" s="8">
        <v>303</v>
      </c>
      <c r="E629" s="24">
        <v>0.524752497673034</v>
      </c>
      <c r="F629" s="24">
        <v>0.475247532129287</v>
      </c>
      <c r="G629" s="23">
        <v>0</v>
      </c>
      <c r="H629" s="23">
        <v>1.65016502141953E-2</v>
      </c>
      <c r="I629" s="24">
        <v>0.19141913950443201</v>
      </c>
      <c r="J629" s="24">
        <v>0.76567655801773005</v>
      </c>
      <c r="K629" s="23">
        <v>0</v>
      </c>
      <c r="L629" s="23">
        <v>1.32013205438852E-2</v>
      </c>
      <c r="M629" s="23">
        <v>1.32013205438852E-2</v>
      </c>
      <c r="N629" s="23">
        <v>0</v>
      </c>
      <c r="O629" s="24">
        <v>0.25082507729530301</v>
      </c>
      <c r="P629" s="24">
        <v>0.122112214565277</v>
      </c>
      <c r="Q629" s="24">
        <v>0.90429043769836404</v>
      </c>
      <c r="R629" s="25">
        <v>0</v>
      </c>
      <c r="S629" s="25">
        <v>0</v>
      </c>
      <c r="T629" s="25">
        <v>0.24752475247524752</v>
      </c>
    </row>
    <row r="630" spans="1:20" x14ac:dyDescent="0.25">
      <c r="A630" s="8" t="s">
        <v>1328</v>
      </c>
      <c r="B630" s="8" t="s">
        <v>1329</v>
      </c>
      <c r="C630" s="8" t="s">
        <v>3540</v>
      </c>
      <c r="D630" s="8">
        <v>124</v>
      </c>
      <c r="E630" s="24">
        <v>0.43548387289047202</v>
      </c>
      <c r="F630" s="24">
        <v>0.56451612710952703</v>
      </c>
      <c r="G630" s="23">
        <v>0</v>
      </c>
      <c r="H630" s="23">
        <v>4.0322579443454701E-2</v>
      </c>
      <c r="I630" s="24">
        <v>0.37903225421905501</v>
      </c>
      <c r="J630" s="24">
        <v>0.56451612710952703</v>
      </c>
      <c r="K630" s="23">
        <v>1.61290317773819E-2</v>
      </c>
      <c r="L630" s="23">
        <v>0</v>
      </c>
      <c r="M630" s="23">
        <v>0</v>
      </c>
      <c r="N630" s="23">
        <v>0</v>
      </c>
      <c r="O630" s="24">
        <v>0.34677419066429099</v>
      </c>
      <c r="P630" s="24">
        <v>0.19354838132858199</v>
      </c>
      <c r="Q630" s="24">
        <v>0.96774190664291304</v>
      </c>
      <c r="R630" s="25">
        <v>0</v>
      </c>
      <c r="S630" s="25">
        <v>8.0645161290322578E-3</v>
      </c>
      <c r="T630" s="25">
        <v>0.37096774193548387</v>
      </c>
    </row>
    <row r="631" spans="1:20" x14ac:dyDescent="0.25">
      <c r="A631" s="8" t="s">
        <v>1330</v>
      </c>
      <c r="B631" s="8" t="s">
        <v>1331</v>
      </c>
      <c r="C631" s="8" t="s">
        <v>3540</v>
      </c>
      <c r="D631" s="8">
        <v>131</v>
      </c>
      <c r="E631" s="24">
        <v>0.48854961991310097</v>
      </c>
      <c r="F631" s="24">
        <v>0.51145040988922097</v>
      </c>
      <c r="G631" s="23">
        <v>0</v>
      </c>
      <c r="H631" s="23">
        <v>1.52671756222844E-2</v>
      </c>
      <c r="I631" s="24">
        <v>0.29770991206169101</v>
      </c>
      <c r="J631" s="24">
        <v>0.64885497093200595</v>
      </c>
      <c r="K631" s="23">
        <v>7.6335878111422001E-3</v>
      </c>
      <c r="L631" s="23">
        <v>0</v>
      </c>
      <c r="M631" s="23">
        <v>3.05343512445688E-2</v>
      </c>
      <c r="N631" s="23">
        <v>0</v>
      </c>
      <c r="O631" s="24">
        <v>0.27480915188789301</v>
      </c>
      <c r="P631" s="24">
        <v>0.12977099418640101</v>
      </c>
      <c r="Q631" s="24">
        <v>0.92366409301757801</v>
      </c>
      <c r="R631" s="25">
        <v>0</v>
      </c>
      <c r="S631" s="25">
        <v>7.6335877862595417E-3</v>
      </c>
      <c r="T631" s="25">
        <v>0.27480916030534353</v>
      </c>
    </row>
    <row r="632" spans="1:20" x14ac:dyDescent="0.25">
      <c r="A632" s="8" t="s">
        <v>1332</v>
      </c>
      <c r="B632" s="8" t="s">
        <v>1333</v>
      </c>
      <c r="C632" s="8" t="s">
        <v>3540</v>
      </c>
      <c r="D632" s="8">
        <v>267</v>
      </c>
      <c r="E632" s="24">
        <v>0.490636706352233</v>
      </c>
      <c r="F632" s="24">
        <v>0.509363293647766</v>
      </c>
      <c r="G632" s="23">
        <v>0</v>
      </c>
      <c r="H632" s="23">
        <v>1.12359551712871E-2</v>
      </c>
      <c r="I632" s="24">
        <v>0.31086140871047901</v>
      </c>
      <c r="J632" s="24">
        <v>0.65168541669845503</v>
      </c>
      <c r="K632" s="23">
        <v>1.12359551712871E-2</v>
      </c>
      <c r="L632" s="23">
        <v>7.490636780858E-3</v>
      </c>
      <c r="M632" s="23">
        <v>7.490636780858E-3</v>
      </c>
      <c r="N632" s="23">
        <v>0</v>
      </c>
      <c r="O632" s="24">
        <v>0.28089886903762801</v>
      </c>
      <c r="P632" s="24">
        <v>0.15730337798595401</v>
      </c>
      <c r="Q632" s="24">
        <v>0.97378277778625399</v>
      </c>
      <c r="R632" s="25">
        <v>0</v>
      </c>
      <c r="S632" s="25">
        <v>0</v>
      </c>
      <c r="T632" s="25">
        <v>0.2696629213483146</v>
      </c>
    </row>
    <row r="633" spans="1:20" x14ac:dyDescent="0.25">
      <c r="A633" s="8" t="s">
        <v>1335</v>
      </c>
      <c r="B633" s="8" t="s">
        <v>1336</v>
      </c>
      <c r="C633" s="8" t="s">
        <v>3540</v>
      </c>
      <c r="D633" s="8">
        <v>360</v>
      </c>
      <c r="E633" s="24">
        <v>0.40277779102325401</v>
      </c>
      <c r="F633" s="24">
        <v>0.59722220897674505</v>
      </c>
      <c r="G633" s="23">
        <v>0</v>
      </c>
      <c r="H633" s="23">
        <v>2.2222222760319699E-2</v>
      </c>
      <c r="I633" s="23">
        <v>0.20277777314186099</v>
      </c>
      <c r="J633" s="24">
        <v>0.73611110448837203</v>
      </c>
      <c r="K633" s="23">
        <v>2.7777778450400002E-3</v>
      </c>
      <c r="L633" s="23">
        <v>1.11111113801599E-2</v>
      </c>
      <c r="M633" s="23">
        <v>2.5000000372528999E-2</v>
      </c>
      <c r="N633" s="23">
        <v>0</v>
      </c>
      <c r="O633" s="24">
        <v>0.35555556416511502</v>
      </c>
      <c r="P633" s="24">
        <v>0.21666666865348799</v>
      </c>
      <c r="Q633" s="24">
        <v>0.977777779102325</v>
      </c>
      <c r="R633" s="25">
        <v>0</v>
      </c>
      <c r="S633" s="25">
        <v>0</v>
      </c>
      <c r="T633" s="25">
        <v>0.33611111111111114</v>
      </c>
    </row>
    <row r="634" spans="1:20" x14ac:dyDescent="0.25">
      <c r="A634" s="8" t="s">
        <v>1337</v>
      </c>
      <c r="B634" s="8" t="s">
        <v>1338</v>
      </c>
      <c r="C634" s="8" t="s">
        <v>3540</v>
      </c>
      <c r="D634" s="8">
        <v>317</v>
      </c>
      <c r="E634" s="24">
        <v>0.46687698364257801</v>
      </c>
      <c r="F634" s="24">
        <v>0.53312301635742099</v>
      </c>
      <c r="G634" s="23">
        <v>0</v>
      </c>
      <c r="H634" s="24">
        <v>0.132492110133171</v>
      </c>
      <c r="I634" s="24">
        <v>0.182965293526649</v>
      </c>
      <c r="J634" s="24">
        <v>0.62145107984542802</v>
      </c>
      <c r="K634" s="23">
        <v>1.2618296779692201E-2</v>
      </c>
      <c r="L634" s="23">
        <v>2.5236593559384301E-2</v>
      </c>
      <c r="M634" s="23">
        <v>1.8927445635199502E-2</v>
      </c>
      <c r="N634" s="23">
        <v>6.3091483898461004E-3</v>
      </c>
      <c r="O634" s="24">
        <v>0.28391167521476701</v>
      </c>
      <c r="P634" s="24">
        <v>0.18927444517612399</v>
      </c>
      <c r="Q634" s="24">
        <v>0.94321769475936801</v>
      </c>
      <c r="R634" s="25">
        <v>0.12302839116719243</v>
      </c>
      <c r="S634" s="25">
        <v>9.4637223974763408E-3</v>
      </c>
      <c r="T634" s="25">
        <v>0.12618296529968454</v>
      </c>
    </row>
    <row r="635" spans="1:20" x14ac:dyDescent="0.25">
      <c r="A635" s="8" t="s">
        <v>1339</v>
      </c>
      <c r="B635" s="8" t="s">
        <v>1340</v>
      </c>
      <c r="C635" s="8" t="s">
        <v>3540</v>
      </c>
      <c r="D635" s="8">
        <v>276</v>
      </c>
      <c r="E635" s="24">
        <v>0.50724637508392301</v>
      </c>
      <c r="F635" s="24">
        <v>0.49275362491607599</v>
      </c>
      <c r="G635" s="23">
        <v>0</v>
      </c>
      <c r="H635" s="24">
        <v>0.21014492213725999</v>
      </c>
      <c r="I635" s="24">
        <v>0.192028984427452</v>
      </c>
      <c r="J635" s="24">
        <v>0.55797100067138605</v>
      </c>
      <c r="K635" s="23">
        <v>7.2463769465685004E-3</v>
      </c>
      <c r="L635" s="23">
        <v>1.0869565419852701E-2</v>
      </c>
      <c r="M635" s="23">
        <v>2.1739130839705498E-2</v>
      </c>
      <c r="N635" s="23">
        <v>0</v>
      </c>
      <c r="O635" s="24">
        <v>0.19927535951137501</v>
      </c>
      <c r="P635" s="24">
        <v>0.22463768720626801</v>
      </c>
      <c r="Q635" s="23">
        <v>0.94565218687057495</v>
      </c>
      <c r="R635" s="25">
        <v>0.12318840579710146</v>
      </c>
      <c r="S635" s="25">
        <v>0</v>
      </c>
      <c r="T635" s="25">
        <v>8.6956521739130432E-2</v>
      </c>
    </row>
    <row r="636" spans="1:20" x14ac:dyDescent="0.25">
      <c r="A636" s="8" t="s">
        <v>1341</v>
      </c>
      <c r="B636" s="8" t="s">
        <v>1342</v>
      </c>
      <c r="C636" s="8" t="s">
        <v>3540</v>
      </c>
      <c r="D636" s="8">
        <v>376</v>
      </c>
      <c r="E636" s="24">
        <v>0.48670211434364302</v>
      </c>
      <c r="F636" s="24">
        <v>0.51329785585403398</v>
      </c>
      <c r="G636" s="23">
        <v>0</v>
      </c>
      <c r="H636" s="23">
        <v>2.39361710846424E-2</v>
      </c>
      <c r="I636" s="23">
        <v>8.5106380283832606E-2</v>
      </c>
      <c r="J636" s="23">
        <v>0.875</v>
      </c>
      <c r="K636" s="23">
        <v>0</v>
      </c>
      <c r="L636" s="23">
        <v>7.9787233844399001E-3</v>
      </c>
      <c r="M636" s="23">
        <v>7.9787233844399001E-3</v>
      </c>
      <c r="N636" s="23">
        <v>0</v>
      </c>
      <c r="O636" s="23">
        <v>3.7234041839838E-2</v>
      </c>
      <c r="P636" s="23">
        <v>0.79255318641662598</v>
      </c>
      <c r="Q636" s="23">
        <v>0.95744681358337402</v>
      </c>
      <c r="R636" s="25">
        <v>0</v>
      </c>
      <c r="S636" s="25">
        <v>0</v>
      </c>
      <c r="T636" s="25">
        <v>3.1914893617021274E-2</v>
      </c>
    </row>
    <row r="637" spans="1:20" x14ac:dyDescent="0.25">
      <c r="A637" s="8" t="s">
        <v>1343</v>
      </c>
      <c r="B637" s="8" t="s">
        <v>1344</v>
      </c>
      <c r="C637" s="8" t="s">
        <v>3540</v>
      </c>
      <c r="D637" s="8">
        <v>252</v>
      </c>
      <c r="E637" s="23">
        <v>0.51190477609634399</v>
      </c>
      <c r="F637" s="23">
        <v>0.48809522390365601</v>
      </c>
      <c r="G637" s="23">
        <v>0</v>
      </c>
      <c r="H637" s="23">
        <v>1.9841270521283101E-2</v>
      </c>
      <c r="I637" s="24">
        <v>0.23809523880481701</v>
      </c>
      <c r="J637" s="23">
        <v>0.72619044780731201</v>
      </c>
      <c r="K637" s="23">
        <v>1.1904762126505399E-2</v>
      </c>
      <c r="L637" s="23">
        <v>3.9682541973889004E-3</v>
      </c>
      <c r="M637" s="23">
        <v>0</v>
      </c>
      <c r="N637" s="23">
        <v>0</v>
      </c>
      <c r="O637" s="24">
        <v>0.24603174626827201</v>
      </c>
      <c r="P637" s="24">
        <v>0.31746032834053001</v>
      </c>
      <c r="Q637" s="24">
        <v>0.96031743288040095</v>
      </c>
      <c r="R637" s="25">
        <v>7.9365079365079361E-2</v>
      </c>
      <c r="S637" s="25">
        <v>0</v>
      </c>
      <c r="T637" s="25">
        <v>0.17460317460317459</v>
      </c>
    </row>
    <row r="638" spans="1:20" x14ac:dyDescent="0.25">
      <c r="A638" s="8" t="s">
        <v>1345</v>
      </c>
      <c r="B638" s="8" t="s">
        <v>1346</v>
      </c>
      <c r="C638" s="8" t="s">
        <v>3540</v>
      </c>
      <c r="D638" s="8">
        <v>247</v>
      </c>
      <c r="E638" s="24">
        <v>0.54251009225845304</v>
      </c>
      <c r="F638" s="24">
        <v>0.45748987793922402</v>
      </c>
      <c r="G638" s="23">
        <v>0</v>
      </c>
      <c r="H638" s="24">
        <v>0.121457487344741</v>
      </c>
      <c r="I638" s="24">
        <v>0.340080976486206</v>
      </c>
      <c r="J638" s="24">
        <v>0.45748987793922402</v>
      </c>
      <c r="K638" s="23">
        <v>2.4291498586535499E-2</v>
      </c>
      <c r="L638" s="23">
        <v>8.0971661955118006E-3</v>
      </c>
      <c r="M638" s="23">
        <v>2.4291498586535499E-2</v>
      </c>
      <c r="N638" s="23">
        <v>2.4291498586535499E-2</v>
      </c>
      <c r="O638" s="24">
        <v>0.11740890890359799</v>
      </c>
      <c r="P638" s="23">
        <v>1.2145749293267699E-2</v>
      </c>
      <c r="Q638" s="23">
        <v>0.76113361120223999</v>
      </c>
      <c r="R638" s="25">
        <v>0</v>
      </c>
      <c r="S638" s="25">
        <v>0</v>
      </c>
      <c r="T638" s="25">
        <v>0.11740890688259109</v>
      </c>
    </row>
    <row r="639" spans="1:20" x14ac:dyDescent="0.25">
      <c r="A639" s="8" t="s">
        <v>1347</v>
      </c>
      <c r="B639" s="8" t="s">
        <v>1348</v>
      </c>
      <c r="C639" s="8" t="s">
        <v>3540</v>
      </c>
      <c r="D639" s="8">
        <v>411</v>
      </c>
      <c r="E639" s="24">
        <v>0.46228709816932601</v>
      </c>
      <c r="F639" s="24">
        <v>0.53771287202835005</v>
      </c>
      <c r="G639" s="23">
        <v>0</v>
      </c>
      <c r="H639" s="23">
        <v>1.45985400304198E-2</v>
      </c>
      <c r="I639" s="24">
        <v>0.243309006094932</v>
      </c>
      <c r="J639" s="24">
        <v>0.71046227216720503</v>
      </c>
      <c r="K639" s="23">
        <v>4.8661800101398997E-3</v>
      </c>
      <c r="L639" s="23">
        <v>2.4330900050700001E-3</v>
      </c>
      <c r="M639" s="23">
        <v>2.1897809579968501E-2</v>
      </c>
      <c r="N639" s="23">
        <v>2.4330900050700001E-3</v>
      </c>
      <c r="O639" s="23">
        <v>0.33090025186538702</v>
      </c>
      <c r="P639" s="24">
        <v>0.15571776032447801</v>
      </c>
      <c r="Q639" s="24">
        <v>0.90997564792633001</v>
      </c>
      <c r="R639" s="25">
        <v>2.4330900243309003E-3</v>
      </c>
      <c r="S639" s="25">
        <v>0.13138686131386862</v>
      </c>
      <c r="T639" s="25">
        <v>0.19221411192214111</v>
      </c>
    </row>
    <row r="640" spans="1:20" x14ac:dyDescent="0.25">
      <c r="A640" s="8" t="s">
        <v>1349</v>
      </c>
      <c r="B640" s="8" t="s">
        <v>1350</v>
      </c>
      <c r="C640" s="8" t="s">
        <v>3540</v>
      </c>
      <c r="D640" s="8">
        <v>231</v>
      </c>
      <c r="E640" s="24">
        <v>0.34199133515357899</v>
      </c>
      <c r="F640" s="24">
        <v>0.65800863504409701</v>
      </c>
      <c r="G640" s="23">
        <v>0</v>
      </c>
      <c r="H640" s="23">
        <v>8.6580086499453007E-3</v>
      </c>
      <c r="I640" s="23">
        <v>0.41125541925430298</v>
      </c>
      <c r="J640" s="24">
        <v>0.54112553596496504</v>
      </c>
      <c r="K640" s="23">
        <v>0</v>
      </c>
      <c r="L640" s="23">
        <v>1.7316017299890501E-2</v>
      </c>
      <c r="M640" s="23">
        <v>2.1645022556185702E-2</v>
      </c>
      <c r="N640" s="23">
        <v>0</v>
      </c>
      <c r="O640" s="23">
        <v>0.35064935684204102</v>
      </c>
      <c r="P640" s="23">
        <v>9.5238097012042999E-2</v>
      </c>
      <c r="Q640" s="24">
        <v>0.93073594570159901</v>
      </c>
      <c r="R640" s="25">
        <v>0</v>
      </c>
      <c r="S640" s="25">
        <v>0</v>
      </c>
      <c r="T640" s="25">
        <v>0.35064935064935066</v>
      </c>
    </row>
    <row r="641" spans="1:20" x14ac:dyDescent="0.25">
      <c r="A641" s="8" t="s">
        <v>1352</v>
      </c>
      <c r="B641" s="8" t="s">
        <v>1353</v>
      </c>
      <c r="C641" s="8" t="s">
        <v>3540</v>
      </c>
      <c r="D641" s="8">
        <v>320</v>
      </c>
      <c r="E641" s="24">
        <v>0.49062499403953502</v>
      </c>
      <c r="F641" s="24">
        <v>0.50937497615814198</v>
      </c>
      <c r="G641" s="23">
        <v>0</v>
      </c>
      <c r="H641" s="24">
        <v>0.131249994039535</v>
      </c>
      <c r="I641" s="23">
        <v>0.171875</v>
      </c>
      <c r="J641" s="23">
        <v>0.65937501192092896</v>
      </c>
      <c r="K641" s="23">
        <v>3.1250000465661001E-3</v>
      </c>
      <c r="L641" s="23">
        <v>3.1250000465661001E-3</v>
      </c>
      <c r="M641" s="23">
        <v>3.125E-2</v>
      </c>
      <c r="N641" s="23">
        <v>0</v>
      </c>
      <c r="O641" s="24">
        <v>0.23749999701976701</v>
      </c>
      <c r="P641" s="24">
        <v>0.14374999701976701</v>
      </c>
      <c r="Q641" s="24">
        <v>0.91562497615814198</v>
      </c>
      <c r="R641" s="25">
        <v>3.1250000000000002E-3</v>
      </c>
      <c r="S641" s="25">
        <v>0</v>
      </c>
      <c r="T641" s="25">
        <v>0.23125000000000001</v>
      </c>
    </row>
    <row r="642" spans="1:20" x14ac:dyDescent="0.25">
      <c r="A642" s="8" t="s">
        <v>1354</v>
      </c>
      <c r="B642" s="8" t="s">
        <v>1355</v>
      </c>
      <c r="C642" s="8" t="s">
        <v>3540</v>
      </c>
      <c r="D642" s="8">
        <v>173</v>
      </c>
      <c r="E642" s="24">
        <v>0.49710983037948597</v>
      </c>
      <c r="F642" s="24">
        <v>0.50289016962051303</v>
      </c>
      <c r="G642" s="23">
        <v>0</v>
      </c>
      <c r="H642" s="23">
        <v>9.2485547065734905E-2</v>
      </c>
      <c r="I642" s="24">
        <v>0.67052024602890004</v>
      </c>
      <c r="J642" s="24">
        <v>0.13294798135757399</v>
      </c>
      <c r="K642" s="23">
        <v>5.2023120224475902E-2</v>
      </c>
      <c r="L642" s="23">
        <v>5.7803466916084003E-3</v>
      </c>
      <c r="M642" s="23">
        <v>4.6242773532867397E-2</v>
      </c>
      <c r="N642" s="23">
        <v>0</v>
      </c>
      <c r="O642" s="24">
        <v>0.184971094131469</v>
      </c>
      <c r="P642" s="23">
        <v>8.0924853682518005E-2</v>
      </c>
      <c r="Q642" s="24">
        <v>0.85549134016036898</v>
      </c>
      <c r="R642" s="25">
        <v>0</v>
      </c>
      <c r="S642" s="25">
        <v>0</v>
      </c>
      <c r="T642" s="25">
        <v>0.18497109826589594</v>
      </c>
    </row>
    <row r="643" spans="1:20" x14ac:dyDescent="0.25">
      <c r="A643" s="8" t="s">
        <v>1356</v>
      </c>
      <c r="B643" s="8" t="s">
        <v>1357</v>
      </c>
      <c r="C643" s="8" t="s">
        <v>3540</v>
      </c>
      <c r="D643" s="8">
        <v>591</v>
      </c>
      <c r="E643" s="24">
        <v>0.52791875600814797</v>
      </c>
      <c r="F643" s="24">
        <v>0.47208121418952897</v>
      </c>
      <c r="G643" s="23">
        <v>0</v>
      </c>
      <c r="H643" s="23">
        <v>6.5989844501018496E-2</v>
      </c>
      <c r="I643" s="23">
        <v>3.2148901373147999E-2</v>
      </c>
      <c r="J643" s="24">
        <v>0.10998307913541699</v>
      </c>
      <c r="K643" s="23">
        <v>9.8138749599456801E-2</v>
      </c>
      <c r="L643" s="23">
        <v>1.692047342658E-3</v>
      </c>
      <c r="M643" s="24">
        <v>0.69035530090331998</v>
      </c>
      <c r="N643" s="23">
        <v>1.692047342658E-3</v>
      </c>
      <c r="O643" s="24">
        <v>0.11167512834072101</v>
      </c>
      <c r="P643" s="23">
        <v>3.5532996058464099E-2</v>
      </c>
      <c r="Q643" s="24">
        <v>0.12182740867137901</v>
      </c>
      <c r="R643" s="25">
        <v>1.6920473773265651E-3</v>
      </c>
      <c r="S643" s="25">
        <v>0</v>
      </c>
      <c r="T643" s="25">
        <v>9.9830795262267347E-2</v>
      </c>
    </row>
    <row r="644" spans="1:20" x14ac:dyDescent="0.25">
      <c r="A644" s="8" t="s">
        <v>1358</v>
      </c>
      <c r="B644" s="8" t="s">
        <v>1359</v>
      </c>
      <c r="C644" s="8" t="s">
        <v>3540</v>
      </c>
      <c r="D644" s="8">
        <v>793</v>
      </c>
      <c r="E644" s="24">
        <v>0.50567466020584095</v>
      </c>
      <c r="F644" s="24">
        <v>0.49432533979415799</v>
      </c>
      <c r="G644" s="23">
        <v>0</v>
      </c>
      <c r="H644" s="23">
        <v>7.0617906749248505E-2</v>
      </c>
      <c r="I644" s="24">
        <v>0.31525850296020502</v>
      </c>
      <c r="J644" s="24">
        <v>0.23076923191547299</v>
      </c>
      <c r="K644" s="23">
        <v>5.0441361963748897E-2</v>
      </c>
      <c r="L644" s="23">
        <v>2.5220680981874002E-3</v>
      </c>
      <c r="M644" s="24">
        <v>0.33039093017578097</v>
      </c>
      <c r="N644" s="23">
        <v>0</v>
      </c>
      <c r="O644" s="24">
        <v>0.13997477293014499</v>
      </c>
      <c r="P644" s="23">
        <v>4.4136192649602897E-2</v>
      </c>
      <c r="Q644" s="23">
        <v>0.37957125902175898</v>
      </c>
      <c r="R644" s="25">
        <v>2.6481715006305171E-2</v>
      </c>
      <c r="S644" s="25">
        <v>0</v>
      </c>
      <c r="T644" s="25">
        <v>0.10718789407313997</v>
      </c>
    </row>
    <row r="645" spans="1:20" x14ac:dyDescent="0.25">
      <c r="A645" s="8" t="s">
        <v>1360</v>
      </c>
      <c r="B645" s="8" t="s">
        <v>1361</v>
      </c>
      <c r="C645" s="8" t="s">
        <v>3540</v>
      </c>
      <c r="D645" s="8">
        <v>922</v>
      </c>
      <c r="E645" s="24">
        <v>0.50433838367462103</v>
      </c>
      <c r="F645" s="24">
        <v>0.49566161632537797</v>
      </c>
      <c r="G645" s="23">
        <v>0</v>
      </c>
      <c r="H645" s="23">
        <v>4.77223433554173E-2</v>
      </c>
      <c r="I645" s="24">
        <v>0.49349239468574502</v>
      </c>
      <c r="J645" s="24">
        <v>0.13774403929710299</v>
      </c>
      <c r="K645" s="24">
        <v>0.118221260607242</v>
      </c>
      <c r="L645" s="23">
        <v>4.3383948504925E-3</v>
      </c>
      <c r="M645" s="24">
        <v>0.19739696383476199</v>
      </c>
      <c r="N645" s="23">
        <v>1.0845987126231001E-3</v>
      </c>
      <c r="O645" s="24">
        <v>0.10737527161836601</v>
      </c>
      <c r="P645" s="23">
        <v>4.3383948504925E-3</v>
      </c>
      <c r="Q645" s="23">
        <v>0.30694141983985901</v>
      </c>
      <c r="R645" s="25">
        <v>1.0845986984815619E-3</v>
      </c>
      <c r="S645" s="25">
        <v>0</v>
      </c>
      <c r="T645" s="25">
        <v>0.10737527114967461</v>
      </c>
    </row>
    <row r="646" spans="1:20" x14ac:dyDescent="0.25">
      <c r="A646" s="8" t="s">
        <v>1362</v>
      </c>
      <c r="B646" s="8" t="s">
        <v>1363</v>
      </c>
      <c r="C646" s="8" t="s">
        <v>3540</v>
      </c>
      <c r="D646" s="8">
        <v>689</v>
      </c>
      <c r="E646" s="24">
        <v>0.53410738706588701</v>
      </c>
      <c r="F646" s="24">
        <v>0.46444121003150901</v>
      </c>
      <c r="G646" s="23">
        <v>1.4513788046315E-3</v>
      </c>
      <c r="H646" s="23">
        <v>4.78955022990704E-2</v>
      </c>
      <c r="I646" s="24">
        <v>0.26850506663322399</v>
      </c>
      <c r="J646" s="24">
        <v>0.195936143398284</v>
      </c>
      <c r="K646" s="23">
        <v>8.4179967641830403E-2</v>
      </c>
      <c r="L646" s="23">
        <v>1.16110304370522E-2</v>
      </c>
      <c r="M646" s="24">
        <v>0.39187228679656899</v>
      </c>
      <c r="N646" s="23">
        <v>0</v>
      </c>
      <c r="O646" s="24">
        <v>0.140783742070198</v>
      </c>
      <c r="P646" s="23">
        <v>3.3381711691618E-2</v>
      </c>
      <c r="Q646" s="24">
        <v>0.381712615489959</v>
      </c>
      <c r="R646" s="25">
        <v>1.4513788098693759E-3</v>
      </c>
      <c r="S646" s="25">
        <v>0</v>
      </c>
      <c r="T646" s="25">
        <v>0.13788098693759071</v>
      </c>
    </row>
    <row r="647" spans="1:20" x14ac:dyDescent="0.25">
      <c r="A647" s="8" t="s">
        <v>1364</v>
      </c>
      <c r="B647" s="8" t="s">
        <v>1365</v>
      </c>
      <c r="C647" s="8" t="s">
        <v>3540</v>
      </c>
      <c r="D647" s="8">
        <v>130</v>
      </c>
      <c r="E647" s="24">
        <v>0.523076951503753</v>
      </c>
      <c r="F647" s="24">
        <v>0.476923078298568</v>
      </c>
      <c r="G647" s="23">
        <v>0</v>
      </c>
      <c r="H647" s="23">
        <v>1.53846153989434E-2</v>
      </c>
      <c r="I647" s="24">
        <v>0.68461537361144997</v>
      </c>
      <c r="J647" s="24">
        <v>0.21538461744785301</v>
      </c>
      <c r="K647" s="23">
        <v>0</v>
      </c>
      <c r="L647" s="23">
        <v>0</v>
      </c>
      <c r="M647" s="23">
        <v>8.4615387022495298E-2</v>
      </c>
      <c r="N647" s="23">
        <v>0</v>
      </c>
      <c r="O647" s="24">
        <v>0.28461539745330799</v>
      </c>
      <c r="P647" s="24">
        <v>0.12307692319154701</v>
      </c>
      <c r="Q647" s="24">
        <v>0.89230769872665405</v>
      </c>
      <c r="R647" s="25">
        <v>0</v>
      </c>
      <c r="S647" s="25">
        <v>7.6923076923076927E-2</v>
      </c>
      <c r="T647" s="25">
        <v>0.17692307692307693</v>
      </c>
    </row>
    <row r="648" spans="1:20" x14ac:dyDescent="0.25">
      <c r="A648" s="8" t="s">
        <v>1366</v>
      </c>
      <c r="B648" s="8" t="s">
        <v>1367</v>
      </c>
      <c r="C648" s="8" t="s">
        <v>3540</v>
      </c>
      <c r="D648" s="8">
        <v>283</v>
      </c>
      <c r="E648" s="24">
        <v>0.46996465325355502</v>
      </c>
      <c r="F648" s="24">
        <v>0.53003531694412198</v>
      </c>
      <c r="G648" s="23">
        <v>0</v>
      </c>
      <c r="H648" s="23">
        <v>1.4134275726974E-2</v>
      </c>
      <c r="I648" s="24">
        <v>0.35335689783096302</v>
      </c>
      <c r="J648" s="24">
        <v>0.49823322892188998</v>
      </c>
      <c r="K648" s="23">
        <v>1.0600706562399901E-2</v>
      </c>
      <c r="L648" s="23">
        <v>1.0600706562399901E-2</v>
      </c>
      <c r="M648" s="24">
        <v>0.113074205815792</v>
      </c>
      <c r="N648" s="23">
        <v>0</v>
      </c>
      <c r="O648" s="24">
        <v>0.24028268456459001</v>
      </c>
      <c r="P648" s="24">
        <v>0.21908126771450001</v>
      </c>
      <c r="Q648" s="24">
        <v>0.79505300521850497</v>
      </c>
      <c r="R648" s="25">
        <v>9.187279151943463E-2</v>
      </c>
      <c r="S648" s="25">
        <v>3.5335689045936395E-3</v>
      </c>
      <c r="T648" s="25">
        <v>0.13780918727915195</v>
      </c>
    </row>
    <row r="649" spans="1:20" x14ac:dyDescent="0.25">
      <c r="A649" s="8" t="s">
        <v>1368</v>
      </c>
      <c r="B649" s="8" t="s">
        <v>1369</v>
      </c>
      <c r="C649" s="8" t="s">
        <v>3540</v>
      </c>
      <c r="D649" s="8">
        <v>185</v>
      </c>
      <c r="E649" s="24">
        <v>0.427027016878128</v>
      </c>
      <c r="F649" s="24">
        <v>0.57297295331954901</v>
      </c>
      <c r="G649" s="23">
        <v>0</v>
      </c>
      <c r="H649" s="23">
        <v>5.40540553629398E-2</v>
      </c>
      <c r="I649" s="24">
        <v>0.38378378748893699</v>
      </c>
      <c r="J649" s="24">
        <v>0.48648649454116799</v>
      </c>
      <c r="K649" s="23">
        <v>3.2432433217763901E-2</v>
      </c>
      <c r="L649" s="23">
        <v>1.0810811072588E-2</v>
      </c>
      <c r="M649" s="23">
        <v>3.2432433217763901E-2</v>
      </c>
      <c r="N649" s="23">
        <v>0</v>
      </c>
      <c r="O649" s="24">
        <v>0.28108108043670599</v>
      </c>
      <c r="P649" s="24">
        <v>0.21081081032752899</v>
      </c>
      <c r="Q649" s="24">
        <v>0.84324324131011896</v>
      </c>
      <c r="R649" s="25">
        <v>5.4054054054054057E-2</v>
      </c>
      <c r="S649" s="25">
        <v>3.2432432432432434E-2</v>
      </c>
      <c r="T649" s="25">
        <v>0.16216216216216217</v>
      </c>
    </row>
    <row r="650" spans="1:20" x14ac:dyDescent="0.25">
      <c r="A650" s="8" t="s">
        <v>1370</v>
      </c>
      <c r="B650" s="8" t="s">
        <v>1371</v>
      </c>
      <c r="C650" s="8" t="s">
        <v>3540</v>
      </c>
      <c r="D650" s="8">
        <v>253</v>
      </c>
      <c r="E650" s="24">
        <v>0.49802371859550398</v>
      </c>
      <c r="F650" s="24">
        <v>0.50197631120681696</v>
      </c>
      <c r="G650" s="23">
        <v>0</v>
      </c>
      <c r="H650" s="23">
        <v>1.9762845709919898E-2</v>
      </c>
      <c r="I650" s="24">
        <v>0.31620553135871798</v>
      </c>
      <c r="J650" s="24">
        <v>0.162055343389511</v>
      </c>
      <c r="K650" s="23">
        <v>7.5098812580108601E-2</v>
      </c>
      <c r="L650" s="23">
        <v>1.18577070534229E-2</v>
      </c>
      <c r="M650" s="24">
        <v>0.415019750595092</v>
      </c>
      <c r="N650" s="23">
        <v>0</v>
      </c>
      <c r="O650" s="24">
        <v>0.217391297221183</v>
      </c>
      <c r="P650" s="23">
        <v>5.9288538992404903E-2</v>
      </c>
      <c r="Q650" s="24">
        <v>0.41106718778610202</v>
      </c>
      <c r="R650" s="25">
        <v>6.7193675889328064E-2</v>
      </c>
      <c r="S650" s="25">
        <v>0</v>
      </c>
      <c r="T650" s="25">
        <v>0.13438735177865613</v>
      </c>
    </row>
    <row r="651" spans="1:20" x14ac:dyDescent="0.25">
      <c r="A651" s="8" t="s">
        <v>1372</v>
      </c>
      <c r="B651" s="8" t="s">
        <v>1373</v>
      </c>
      <c r="C651" s="8" t="s">
        <v>3540</v>
      </c>
      <c r="D651" s="8">
        <v>167</v>
      </c>
      <c r="E651" s="24">
        <v>0.55688625574111905</v>
      </c>
      <c r="F651" s="23">
        <v>0.443113774061203</v>
      </c>
      <c r="G651" s="23">
        <v>0</v>
      </c>
      <c r="H651" s="23">
        <v>4.19161692261696E-2</v>
      </c>
      <c r="I651" s="23">
        <v>0.48502993583679199</v>
      </c>
      <c r="J651" s="23">
        <v>0.40119761228561401</v>
      </c>
      <c r="K651" s="23">
        <v>3.5928145051002502E-2</v>
      </c>
      <c r="L651" s="23">
        <v>2.39520967006683E-2</v>
      </c>
      <c r="M651" s="23">
        <v>1.19760483503342E-2</v>
      </c>
      <c r="N651" s="23">
        <v>0</v>
      </c>
      <c r="O651" s="23">
        <v>0.28742516040802002</v>
      </c>
      <c r="P651" s="24">
        <v>0.10179640352725899</v>
      </c>
      <c r="Q651" s="24">
        <v>0.96407186985015803</v>
      </c>
      <c r="R651" s="25">
        <v>0.10778443113772455</v>
      </c>
      <c r="S651" s="25">
        <v>1.1976047904191617E-2</v>
      </c>
      <c r="T651" s="25">
        <v>0.1497005988023952</v>
      </c>
    </row>
    <row r="652" spans="1:20" x14ac:dyDescent="0.25">
      <c r="A652" s="8" t="s">
        <v>1374</v>
      </c>
      <c r="B652" s="8" t="s">
        <v>1375</v>
      </c>
      <c r="C652" s="8" t="s">
        <v>3540</v>
      </c>
      <c r="D652" s="8">
        <v>181</v>
      </c>
      <c r="E652" s="24">
        <v>0.51381218433380105</v>
      </c>
      <c r="F652" s="24">
        <v>0.48618784546852101</v>
      </c>
      <c r="G652" s="23">
        <v>0</v>
      </c>
      <c r="H652" s="24">
        <v>0.12154696136713</v>
      </c>
      <c r="I652" s="23">
        <v>0.58011049032211304</v>
      </c>
      <c r="J652" s="24">
        <v>0.19889502227306299</v>
      </c>
      <c r="K652" s="23">
        <v>5.5248620919883E-3</v>
      </c>
      <c r="L652" s="23">
        <v>2.20994483679533E-2</v>
      </c>
      <c r="M652" s="23">
        <v>7.1823202073574094E-2</v>
      </c>
      <c r="N652" s="23">
        <v>0</v>
      </c>
      <c r="O652" s="24">
        <v>0.20994475483894301</v>
      </c>
      <c r="P652" s="24">
        <v>0.17679558694362599</v>
      </c>
      <c r="Q652" s="24">
        <v>0.96685081720352095</v>
      </c>
      <c r="R652" s="25">
        <v>9.3922651933701654E-2</v>
      </c>
      <c r="S652" s="25">
        <v>5.5248618784530384E-3</v>
      </c>
      <c r="T652" s="25">
        <v>0.1270718232044199</v>
      </c>
    </row>
    <row r="653" spans="1:20" x14ac:dyDescent="0.25">
      <c r="A653" s="8" t="s">
        <v>1376</v>
      </c>
      <c r="B653" s="8" t="s">
        <v>1377</v>
      </c>
      <c r="C653" s="8" t="s">
        <v>3540</v>
      </c>
      <c r="D653" s="8">
        <v>199</v>
      </c>
      <c r="E653" s="24">
        <v>0.50753766298294001</v>
      </c>
      <c r="F653" s="24">
        <v>0.49246230721473599</v>
      </c>
      <c r="G653" s="23">
        <v>0</v>
      </c>
      <c r="H653" s="23">
        <v>2.5125628337264099E-2</v>
      </c>
      <c r="I653" s="24">
        <v>0.52763819694518999</v>
      </c>
      <c r="J653" s="24">
        <v>0.41206029057502702</v>
      </c>
      <c r="K653" s="23">
        <v>1.5075377188623E-2</v>
      </c>
      <c r="L653" s="23">
        <v>5.0251255743205998E-3</v>
      </c>
      <c r="M653" s="23">
        <v>1.5075377188623E-2</v>
      </c>
      <c r="N653" s="23">
        <v>0</v>
      </c>
      <c r="O653" s="24">
        <v>0.31658291816711398</v>
      </c>
      <c r="P653" s="24">
        <v>0.18090452253818501</v>
      </c>
      <c r="Q653" s="24">
        <v>0.90452259778976396</v>
      </c>
      <c r="R653" s="25">
        <v>7.0351758793969849E-2</v>
      </c>
      <c r="S653" s="25">
        <v>0</v>
      </c>
      <c r="T653" s="25">
        <v>0.24623115577889448</v>
      </c>
    </row>
    <row r="654" spans="1:20" x14ac:dyDescent="0.25">
      <c r="A654" s="8" t="s">
        <v>1378</v>
      </c>
      <c r="B654" s="8" t="s">
        <v>1379</v>
      </c>
      <c r="C654" s="8" t="s">
        <v>3540</v>
      </c>
      <c r="D654" s="8">
        <v>614</v>
      </c>
      <c r="E654" s="23">
        <v>0.52442997694015503</v>
      </c>
      <c r="F654" s="24">
        <v>0.47394135594367898</v>
      </c>
      <c r="G654" s="23">
        <v>1.6286644386128001E-3</v>
      </c>
      <c r="H654" s="23">
        <v>3.90879474580288E-2</v>
      </c>
      <c r="I654" s="24">
        <v>0.25244298577308599</v>
      </c>
      <c r="J654" s="24">
        <v>0.34527686238288802</v>
      </c>
      <c r="K654" s="23">
        <v>8.7947882711887401E-2</v>
      </c>
      <c r="L654" s="23">
        <v>6.514657754451E-3</v>
      </c>
      <c r="M654" s="24">
        <v>0.26872962713241499</v>
      </c>
      <c r="N654" s="23">
        <v>0</v>
      </c>
      <c r="O654" s="24">
        <v>0.21986970305442799</v>
      </c>
      <c r="P654" s="23">
        <v>5.5374592542648302E-2</v>
      </c>
      <c r="Q654" s="24">
        <v>0.45765471458434998</v>
      </c>
      <c r="R654" s="25">
        <v>5.0488599348534204E-2</v>
      </c>
      <c r="S654" s="25">
        <v>1.6286644951140066E-3</v>
      </c>
      <c r="T654" s="25">
        <v>0.15960912052117263</v>
      </c>
    </row>
    <row r="655" spans="1:20" x14ac:dyDescent="0.25">
      <c r="A655" s="8" t="s">
        <v>1380</v>
      </c>
      <c r="B655" s="8" t="s">
        <v>1381</v>
      </c>
      <c r="C655" s="8" t="s">
        <v>3540</v>
      </c>
      <c r="D655" s="8">
        <v>180</v>
      </c>
      <c r="E655" s="24">
        <v>0.52777779102325395</v>
      </c>
      <c r="F655" s="24">
        <v>0.47222220897674499</v>
      </c>
      <c r="G655" s="23">
        <v>0</v>
      </c>
      <c r="H655" s="23">
        <v>4.4444445520639399E-2</v>
      </c>
      <c r="I655" s="24">
        <v>0.58333331346511796</v>
      </c>
      <c r="J655" s="24">
        <v>0.32222223281860302</v>
      </c>
      <c r="K655" s="23">
        <v>5.5555556900798997E-3</v>
      </c>
      <c r="L655" s="23">
        <v>1.11111113801599E-2</v>
      </c>
      <c r="M655" s="23">
        <v>3.3333335071802098E-2</v>
      </c>
      <c r="N655" s="23">
        <v>0</v>
      </c>
      <c r="O655" s="24">
        <v>0.22222222387790599</v>
      </c>
      <c r="P655" s="24">
        <v>0.127777785062789</v>
      </c>
      <c r="Q655" s="23">
        <v>0.94999998807907104</v>
      </c>
      <c r="R655" s="25">
        <v>2.7777777777777776E-2</v>
      </c>
      <c r="S655" s="25">
        <v>3.3333333333333333E-2</v>
      </c>
      <c r="T655" s="25">
        <v>0.17222222222222222</v>
      </c>
    </row>
    <row r="656" spans="1:20" x14ac:dyDescent="0.25">
      <c r="A656" s="8" t="s">
        <v>1382</v>
      </c>
      <c r="B656" s="8" t="s">
        <v>1383</v>
      </c>
      <c r="C656" s="8" t="s">
        <v>3540</v>
      </c>
      <c r="D656" s="8">
        <v>130</v>
      </c>
      <c r="E656" s="24">
        <v>0.54615384340286199</v>
      </c>
      <c r="F656" s="24">
        <v>0.45384615659713701</v>
      </c>
      <c r="G656" s="23">
        <v>0</v>
      </c>
      <c r="H656" s="23">
        <v>1.53846153989434E-2</v>
      </c>
      <c r="I656" s="24">
        <v>0.70769232511520297</v>
      </c>
      <c r="J656" s="24">
        <v>0.25384616851806602</v>
      </c>
      <c r="K656" s="23">
        <v>0</v>
      </c>
      <c r="L656" s="23">
        <v>0</v>
      </c>
      <c r="M656" s="23">
        <v>1.53846153989434E-2</v>
      </c>
      <c r="N656" s="23">
        <v>7.6923076994717E-3</v>
      </c>
      <c r="O656" s="24">
        <v>0.369230777025222</v>
      </c>
      <c r="P656" s="23">
        <v>4.6153847128152799E-2</v>
      </c>
      <c r="Q656" s="24">
        <v>0.91538459062576205</v>
      </c>
      <c r="R656" s="25">
        <v>7.6923076923076927E-3</v>
      </c>
      <c r="S656" s="25">
        <v>0</v>
      </c>
      <c r="T656" s="25">
        <v>0.41538461538461541</v>
      </c>
    </row>
    <row r="657" spans="1:20" x14ac:dyDescent="0.25">
      <c r="A657" s="8" t="s">
        <v>1384</v>
      </c>
      <c r="B657" s="8" t="s">
        <v>1385</v>
      </c>
      <c r="C657" s="8" t="s">
        <v>3540</v>
      </c>
      <c r="D657" s="8">
        <v>77</v>
      </c>
      <c r="E657" s="24">
        <v>0.46753245592117298</v>
      </c>
      <c r="F657" s="24">
        <v>0.53246754407882602</v>
      </c>
      <c r="G657" s="23">
        <v>0</v>
      </c>
      <c r="H657" s="23">
        <v>0</v>
      </c>
      <c r="I657" s="24">
        <v>0.46753245592117298</v>
      </c>
      <c r="J657" s="24">
        <v>0.49350649118423401</v>
      </c>
      <c r="K657" s="23">
        <v>1.2987012974917901E-2</v>
      </c>
      <c r="L657" s="23">
        <v>1.2987012974917901E-2</v>
      </c>
      <c r="M657" s="23">
        <v>1.2987012974917901E-2</v>
      </c>
      <c r="N657" s="23">
        <v>0</v>
      </c>
      <c r="O657" s="24">
        <v>0.50649350881576505</v>
      </c>
      <c r="P657" s="24">
        <v>0.155844151973724</v>
      </c>
      <c r="Q657" s="24">
        <v>0.88311690092086703</v>
      </c>
      <c r="R657" s="25">
        <v>3.896103896103896E-2</v>
      </c>
      <c r="S657" s="25">
        <v>0.20779220779220781</v>
      </c>
      <c r="T657" s="25">
        <v>0.23376623376623376</v>
      </c>
    </row>
    <row r="658" spans="1:20" x14ac:dyDescent="0.25">
      <c r="A658" s="8" t="s">
        <v>1386</v>
      </c>
      <c r="B658" s="8" t="s">
        <v>1387</v>
      </c>
      <c r="C658" s="8" t="s">
        <v>3540</v>
      </c>
      <c r="D658" s="8">
        <v>136</v>
      </c>
      <c r="E658" s="24">
        <v>0.47794118523597701</v>
      </c>
      <c r="F658" s="24">
        <v>0.52205884456634499</v>
      </c>
      <c r="G658" s="23">
        <v>0</v>
      </c>
      <c r="H658" s="23">
        <v>8.8235296308994293E-2</v>
      </c>
      <c r="I658" s="24">
        <v>0.301470577716827</v>
      </c>
      <c r="J658" s="24">
        <v>0.31617647409438998</v>
      </c>
      <c r="K658" s="23">
        <v>7.3529412038624E-3</v>
      </c>
      <c r="L658" s="23">
        <v>7.3529412038624E-3</v>
      </c>
      <c r="M658" s="24">
        <v>0.27941176295280401</v>
      </c>
      <c r="N658" s="23">
        <v>0</v>
      </c>
      <c r="O658" s="23">
        <v>0.14705882966518399</v>
      </c>
      <c r="P658" s="23">
        <v>0.125</v>
      </c>
      <c r="Q658" s="24">
        <v>0.58088237047195401</v>
      </c>
      <c r="R658" s="25">
        <v>7.3529411764705881E-3</v>
      </c>
      <c r="S658" s="25">
        <v>0</v>
      </c>
      <c r="T658" s="25">
        <v>0.13970588235294118</v>
      </c>
    </row>
    <row r="659" spans="1:20" x14ac:dyDescent="0.25">
      <c r="A659" s="8" t="s">
        <v>1388</v>
      </c>
      <c r="B659" s="8" t="s">
        <v>1389</v>
      </c>
      <c r="C659" s="8" t="s">
        <v>3540</v>
      </c>
      <c r="D659" s="8">
        <v>573</v>
      </c>
      <c r="E659" s="24">
        <v>0.46247819066047602</v>
      </c>
      <c r="F659" s="24">
        <v>0.53752183914184504</v>
      </c>
      <c r="G659" s="23">
        <v>0</v>
      </c>
      <c r="H659" s="23">
        <v>6.8062826991081196E-2</v>
      </c>
      <c r="I659" s="23">
        <v>0.273996502161026</v>
      </c>
      <c r="J659" s="24">
        <v>0.16753926873207001</v>
      </c>
      <c r="K659" s="23">
        <v>6.8062826991081196E-2</v>
      </c>
      <c r="L659" s="23">
        <v>1.5706805512309099E-2</v>
      </c>
      <c r="M659" s="24">
        <v>0.40663176774978599</v>
      </c>
      <c r="N659" s="23">
        <v>0</v>
      </c>
      <c r="O659" s="24">
        <v>0.23560209572315199</v>
      </c>
      <c r="P659" s="23">
        <v>1.5706805512309099E-2</v>
      </c>
      <c r="Q659" s="24">
        <v>0.34205934405326799</v>
      </c>
      <c r="R659" s="25">
        <v>0.10645724258289703</v>
      </c>
      <c r="S659" s="25">
        <v>6.9808027923211171E-3</v>
      </c>
      <c r="T659" s="25">
        <v>0.10820244328097731</v>
      </c>
    </row>
    <row r="660" spans="1:20" x14ac:dyDescent="0.25">
      <c r="A660" s="8" t="s">
        <v>1390</v>
      </c>
      <c r="B660" s="8" t="s">
        <v>1391</v>
      </c>
      <c r="C660" s="8" t="s">
        <v>3540</v>
      </c>
      <c r="D660" s="8">
        <v>114</v>
      </c>
      <c r="E660" s="24">
        <v>0.54385966062545699</v>
      </c>
      <c r="F660" s="24">
        <v>0.45614033937454201</v>
      </c>
      <c r="G660" s="23">
        <v>0</v>
      </c>
      <c r="H660" s="23">
        <v>0</v>
      </c>
      <c r="I660" s="23">
        <v>0.64035087823867798</v>
      </c>
      <c r="J660" s="23">
        <v>0.28947368264198298</v>
      </c>
      <c r="K660" s="23">
        <v>3.5087719559669502E-2</v>
      </c>
      <c r="L660" s="23">
        <v>0</v>
      </c>
      <c r="M660" s="23">
        <v>3.5087719559669502E-2</v>
      </c>
      <c r="N660" s="23">
        <v>0</v>
      </c>
      <c r="O660" s="24">
        <v>0.19298245012760101</v>
      </c>
      <c r="P660" s="23">
        <v>5.26315793395042E-2</v>
      </c>
      <c r="Q660" s="24">
        <v>0.96491229534149103</v>
      </c>
      <c r="R660" s="25">
        <v>0</v>
      </c>
      <c r="S660" s="25">
        <v>0</v>
      </c>
      <c r="T660" s="25">
        <v>0.17543859649122806</v>
      </c>
    </row>
    <row r="661" spans="1:20" x14ac:dyDescent="0.25">
      <c r="A661" s="8" t="s">
        <v>1392</v>
      </c>
      <c r="B661" s="8" t="s">
        <v>1393</v>
      </c>
      <c r="C661" s="8" t="s">
        <v>3540</v>
      </c>
      <c r="D661" s="8">
        <v>94</v>
      </c>
      <c r="E661" s="23">
        <v>0.43617022037506098</v>
      </c>
      <c r="F661" s="23">
        <v>0.56382977962493896</v>
      </c>
      <c r="G661" s="23">
        <v>0</v>
      </c>
      <c r="H661" s="24">
        <v>0.117021277546882</v>
      </c>
      <c r="I661" s="24">
        <v>0.67021274566650302</v>
      </c>
      <c r="J661" s="24">
        <v>0.117021277546882</v>
      </c>
      <c r="K661" s="23">
        <v>3.1914893537759802E-2</v>
      </c>
      <c r="L661" s="23">
        <v>0</v>
      </c>
      <c r="M661" s="23">
        <v>5.3191490471363102E-2</v>
      </c>
      <c r="N661" s="23">
        <v>1.06382975354791E-2</v>
      </c>
      <c r="O661" s="24">
        <v>0.32978722453117298</v>
      </c>
      <c r="P661" s="24">
        <v>0.17021276056766499</v>
      </c>
      <c r="Q661" s="23">
        <v>0.91489362716674805</v>
      </c>
      <c r="R661" s="25">
        <v>1.0638297872340425E-2</v>
      </c>
      <c r="S661" s="25">
        <v>0.10638297872340426</v>
      </c>
      <c r="T661" s="25">
        <v>0.22340425531914893</v>
      </c>
    </row>
    <row r="662" spans="1:20" x14ac:dyDescent="0.25">
      <c r="A662" s="8" t="s">
        <v>1394</v>
      </c>
      <c r="B662" s="8" t="s">
        <v>1395</v>
      </c>
      <c r="C662" s="8" t="s">
        <v>3540</v>
      </c>
      <c r="D662" s="8">
        <v>271</v>
      </c>
      <c r="E662" s="24">
        <v>0.48339483141899098</v>
      </c>
      <c r="F662" s="24">
        <v>0.51660513877868597</v>
      </c>
      <c r="G662" s="23">
        <v>0</v>
      </c>
      <c r="H662" s="23">
        <v>3.6900367587804801E-2</v>
      </c>
      <c r="I662" s="24">
        <v>0.45756456255912697</v>
      </c>
      <c r="J662" s="24">
        <v>0.35424354672431901</v>
      </c>
      <c r="K662" s="23">
        <v>3.3210333436727503E-2</v>
      </c>
      <c r="L662" s="23">
        <v>2.2140221670270001E-2</v>
      </c>
      <c r="M662" s="23">
        <v>9.5940962433815002E-2</v>
      </c>
      <c r="N662" s="23">
        <v>0</v>
      </c>
      <c r="O662" s="24">
        <v>0.39483395218849099</v>
      </c>
      <c r="P662" s="23">
        <v>8.4870845079421997E-2</v>
      </c>
      <c r="Q662" s="24">
        <v>0.84501844644546498</v>
      </c>
      <c r="R662" s="25">
        <v>0.26199261992619927</v>
      </c>
      <c r="S662" s="25">
        <v>0</v>
      </c>
      <c r="T662" s="25">
        <v>0.12177121771217712</v>
      </c>
    </row>
    <row r="663" spans="1:20" x14ac:dyDescent="0.25">
      <c r="A663" s="8" t="s">
        <v>1396</v>
      </c>
      <c r="B663" s="8" t="s">
        <v>1397</v>
      </c>
      <c r="C663" s="8" t="s">
        <v>3540</v>
      </c>
      <c r="D663" s="8">
        <v>219</v>
      </c>
      <c r="E663" s="24">
        <v>0.43378996849059998</v>
      </c>
      <c r="F663" s="24">
        <v>0.56621003150939897</v>
      </c>
      <c r="G663" s="23">
        <v>0</v>
      </c>
      <c r="H663" s="23">
        <v>5.0228308886289597E-2</v>
      </c>
      <c r="I663" s="24">
        <v>0.62557077407836903</v>
      </c>
      <c r="J663" s="24">
        <v>0.22374428808689101</v>
      </c>
      <c r="K663" s="23">
        <v>1.36986300349236E-2</v>
      </c>
      <c r="L663" s="23">
        <v>0</v>
      </c>
      <c r="M663" s="23">
        <v>8.2191780209541307E-2</v>
      </c>
      <c r="N663" s="23">
        <v>4.5662098564207996E-3</v>
      </c>
      <c r="O663" s="24">
        <v>0.287671238183975</v>
      </c>
      <c r="P663" s="23">
        <v>2.2831050679087601E-2</v>
      </c>
      <c r="Q663" s="24">
        <v>0.70319634675979603</v>
      </c>
      <c r="R663" s="25">
        <v>0</v>
      </c>
      <c r="S663" s="25">
        <v>0.11415525114155251</v>
      </c>
      <c r="T663" s="25">
        <v>0.17808219178082191</v>
      </c>
    </row>
    <row r="664" spans="1:20" x14ac:dyDescent="0.25">
      <c r="A664" s="8" t="s">
        <v>1398</v>
      </c>
      <c r="B664" s="8" t="s">
        <v>1399</v>
      </c>
      <c r="C664" s="8" t="s">
        <v>3540</v>
      </c>
      <c r="D664" s="8">
        <v>139</v>
      </c>
      <c r="E664" s="24">
        <v>0.55395680665969804</v>
      </c>
      <c r="F664" s="24">
        <v>0.43884891271591098</v>
      </c>
      <c r="G664" s="23">
        <v>7.1942447684704997E-3</v>
      </c>
      <c r="H664" s="23">
        <v>7.1942447684704997E-3</v>
      </c>
      <c r="I664" s="24">
        <v>0.525179862976074</v>
      </c>
      <c r="J664" s="24">
        <v>0.41726619005203203</v>
      </c>
      <c r="K664" s="23">
        <v>0</v>
      </c>
      <c r="L664" s="23">
        <v>7.1942447684704997E-3</v>
      </c>
      <c r="M664" s="23">
        <v>3.5971224308013902E-2</v>
      </c>
      <c r="N664" s="23">
        <v>7.1942447684704997E-3</v>
      </c>
      <c r="O664" s="24">
        <v>0.25179857015609702</v>
      </c>
      <c r="P664" s="24">
        <v>0.143884897232055</v>
      </c>
      <c r="Q664" s="24">
        <v>0.856115102767944</v>
      </c>
      <c r="R664" s="25">
        <v>0</v>
      </c>
      <c r="S664" s="25">
        <v>0</v>
      </c>
      <c r="T664" s="25">
        <v>0.23741007194244604</v>
      </c>
    </row>
    <row r="665" spans="1:20" x14ac:dyDescent="0.25">
      <c r="A665" s="8" t="s">
        <v>1400</v>
      </c>
      <c r="B665" s="8" t="s">
        <v>1401</v>
      </c>
      <c r="C665" s="8" t="s">
        <v>3540</v>
      </c>
      <c r="D665" s="8">
        <v>174</v>
      </c>
      <c r="E665" s="24">
        <v>0.48850575089454601</v>
      </c>
      <c r="F665" s="24">
        <v>0.51149427890777499</v>
      </c>
      <c r="G665" s="23">
        <v>0</v>
      </c>
      <c r="H665" s="23">
        <v>2.29885056614876E-2</v>
      </c>
      <c r="I665" s="24">
        <v>0.69540232419967596</v>
      </c>
      <c r="J665" s="23">
        <v>0.22413793206214899</v>
      </c>
      <c r="K665" s="23">
        <v>1.14942528307438E-2</v>
      </c>
      <c r="L665" s="23">
        <v>5.7471264153719E-3</v>
      </c>
      <c r="M665" s="23">
        <v>4.0229886770248399E-2</v>
      </c>
      <c r="N665" s="23">
        <v>0</v>
      </c>
      <c r="O665" s="24">
        <v>0.33908045291900601</v>
      </c>
      <c r="P665" s="23">
        <v>7.4712641537189498E-2</v>
      </c>
      <c r="Q665" s="24">
        <v>0.850574731826782</v>
      </c>
      <c r="R665" s="25">
        <v>8.6206896551724144E-2</v>
      </c>
      <c r="S665" s="25">
        <v>0</v>
      </c>
      <c r="T665" s="25">
        <v>0.2471264367816092</v>
      </c>
    </row>
    <row r="666" spans="1:20" x14ac:dyDescent="0.25">
      <c r="A666" s="8" t="s">
        <v>1402</v>
      </c>
      <c r="B666" s="8" t="s">
        <v>1403</v>
      </c>
      <c r="C666" s="8" t="s">
        <v>3540</v>
      </c>
      <c r="D666" s="8">
        <v>356</v>
      </c>
      <c r="E666" s="24">
        <v>0.57865166664123502</v>
      </c>
      <c r="F666" s="24">
        <v>0.41853931546211198</v>
      </c>
      <c r="G666" s="23">
        <v>2.8089887928218001E-3</v>
      </c>
      <c r="H666" s="23">
        <v>1.12359551712871E-2</v>
      </c>
      <c r="I666" s="24">
        <v>0.58146065473556496</v>
      </c>
      <c r="J666" s="24">
        <v>0.31741574406623801</v>
      </c>
      <c r="K666" s="23">
        <v>5.6179775856435004E-3</v>
      </c>
      <c r="L666" s="23">
        <v>5.6179775856435004E-3</v>
      </c>
      <c r="M666" s="23">
        <v>1.6853932291269299E-2</v>
      </c>
      <c r="N666" s="23">
        <v>6.17977529764175E-2</v>
      </c>
      <c r="O666" s="24">
        <v>0.37640449404716397</v>
      </c>
      <c r="P666" s="23">
        <v>8.1460677087307004E-2</v>
      </c>
      <c r="Q666" s="24">
        <v>0.86235952377319303</v>
      </c>
      <c r="R666" s="25">
        <v>0</v>
      </c>
      <c r="S666" s="25">
        <v>7.3033707865168537E-2</v>
      </c>
      <c r="T666" s="25">
        <v>0.26685393258426965</v>
      </c>
    </row>
    <row r="667" spans="1:20" x14ac:dyDescent="0.25">
      <c r="A667" s="8" t="s">
        <v>1404</v>
      </c>
      <c r="B667" s="8" t="s">
        <v>1405</v>
      </c>
      <c r="C667" s="8" t="s">
        <v>3540</v>
      </c>
      <c r="D667" s="8">
        <v>447</v>
      </c>
      <c r="E667" s="24">
        <v>0.34899330139160101</v>
      </c>
      <c r="F667" s="24">
        <v>0.65100669860839799</v>
      </c>
      <c r="G667" s="23">
        <v>0</v>
      </c>
      <c r="H667" s="23">
        <v>7.8299775719642598E-2</v>
      </c>
      <c r="I667" s="24">
        <v>0.59955257177352905</v>
      </c>
      <c r="J667" s="24">
        <v>0.23713646829128199</v>
      </c>
      <c r="K667" s="23">
        <v>8.9485459029674998E-3</v>
      </c>
      <c r="L667" s="23">
        <v>1.34228188544512E-2</v>
      </c>
      <c r="M667" s="23">
        <v>3.5794183611869798E-2</v>
      </c>
      <c r="N667" s="23">
        <v>2.6845637708902401E-2</v>
      </c>
      <c r="O667" s="24">
        <v>0.178970918059349</v>
      </c>
      <c r="P667" s="23">
        <v>8.9485459029674502E-2</v>
      </c>
      <c r="Q667" s="23">
        <v>0.89038032293319702</v>
      </c>
      <c r="R667" s="25">
        <v>0</v>
      </c>
      <c r="S667" s="25">
        <v>0</v>
      </c>
      <c r="T667" s="25">
        <v>0.1767337807606264</v>
      </c>
    </row>
    <row r="668" spans="1:20" x14ac:dyDescent="0.25">
      <c r="A668" s="8" t="s">
        <v>1406</v>
      </c>
      <c r="B668" s="8" t="s">
        <v>1407</v>
      </c>
      <c r="C668" s="8" t="s">
        <v>3540</v>
      </c>
      <c r="D668" s="8">
        <v>5848</v>
      </c>
      <c r="E668" s="24">
        <v>0.42886456847190801</v>
      </c>
      <c r="F668" s="24">
        <v>0.57028043270110995</v>
      </c>
      <c r="G668" s="23">
        <v>8.5499318083749999E-4</v>
      </c>
      <c r="H668" s="24">
        <v>0.58515733480453402</v>
      </c>
      <c r="I668" s="23">
        <v>5.1641587167978301E-2</v>
      </c>
      <c r="J668" s="23">
        <v>7.2674416005611406E-2</v>
      </c>
      <c r="K668" s="23">
        <v>2.5820793583989098E-2</v>
      </c>
      <c r="L668" s="23">
        <v>5.4719564504921003E-3</v>
      </c>
      <c r="M668" s="24">
        <v>0.23956908285617801</v>
      </c>
      <c r="N668" s="23">
        <v>1.9664842635393101E-2</v>
      </c>
      <c r="O668" s="23">
        <v>2.2400820627808599E-2</v>
      </c>
      <c r="P668" s="23">
        <v>1.7099863907790001E-4</v>
      </c>
      <c r="Q668" s="24">
        <v>0.57387143373489302</v>
      </c>
      <c r="R668" s="25">
        <v>1.7099863201094391E-4</v>
      </c>
      <c r="S668" s="25">
        <v>0</v>
      </c>
      <c r="T668" s="25">
        <v>2.2058823529411766E-2</v>
      </c>
    </row>
    <row r="669" spans="1:20" x14ac:dyDescent="0.25">
      <c r="A669" s="8" t="s">
        <v>1408</v>
      </c>
      <c r="B669" s="8" t="s">
        <v>1409</v>
      </c>
      <c r="C669" s="8" t="s">
        <v>3540</v>
      </c>
      <c r="D669" s="8">
        <v>308</v>
      </c>
      <c r="E669" s="24">
        <v>0.431818187236785</v>
      </c>
      <c r="F669" s="24">
        <v>0.568181812763214</v>
      </c>
      <c r="G669" s="23">
        <v>0</v>
      </c>
      <c r="H669" s="24">
        <v>0.139610394835472</v>
      </c>
      <c r="I669" s="24">
        <v>0.14285714924335399</v>
      </c>
      <c r="J669" s="24">
        <v>0.65584415197372403</v>
      </c>
      <c r="K669" s="23">
        <v>0</v>
      </c>
      <c r="L669" s="23">
        <v>3.2467532437294999E-3</v>
      </c>
      <c r="M669" s="23">
        <v>5.8441556990146602E-2</v>
      </c>
      <c r="N669" s="23">
        <v>0</v>
      </c>
      <c r="O669" s="23">
        <v>5.5194806307554203E-2</v>
      </c>
      <c r="P669" s="23">
        <v>0.85064935684204102</v>
      </c>
      <c r="Q669" s="24">
        <v>0.886363625526428</v>
      </c>
      <c r="R669" s="25">
        <v>0</v>
      </c>
      <c r="S669" s="25">
        <v>0</v>
      </c>
      <c r="T669" s="25">
        <v>8.1168831168831168E-2</v>
      </c>
    </row>
    <row r="670" spans="1:20" x14ac:dyDescent="0.25">
      <c r="A670" s="8" t="s">
        <v>1410</v>
      </c>
      <c r="B670" s="8" t="s">
        <v>1411</v>
      </c>
      <c r="C670" s="8" t="s">
        <v>3540</v>
      </c>
      <c r="D670" s="8">
        <v>63</v>
      </c>
      <c r="E670" s="24">
        <v>0.47619047760963401</v>
      </c>
      <c r="F670" s="24">
        <v>0.50793653726577703</v>
      </c>
      <c r="G670" s="23">
        <v>1.5873016789555501E-2</v>
      </c>
      <c r="H670" s="24">
        <v>0.158730164170265</v>
      </c>
      <c r="I670" s="24">
        <v>0.22222222387790599</v>
      </c>
      <c r="J670" s="24">
        <v>0.20634920895099601</v>
      </c>
      <c r="K670" s="23">
        <v>6.3492067158222198E-2</v>
      </c>
      <c r="L670" s="23">
        <v>3.1746033579111099E-2</v>
      </c>
      <c r="M670" s="24">
        <v>0.31746032834053001</v>
      </c>
      <c r="N670" s="23">
        <v>0</v>
      </c>
      <c r="O670" s="23">
        <v>7.9365082085132599E-2</v>
      </c>
      <c r="P670" s="23">
        <v>0</v>
      </c>
      <c r="Q670" s="24">
        <v>0.28571429848670898</v>
      </c>
      <c r="R670" s="25">
        <v>0</v>
      </c>
      <c r="S670" s="25">
        <v>0</v>
      </c>
      <c r="T670" s="25">
        <v>4.7619047619047616E-2</v>
      </c>
    </row>
    <row r="671" spans="1:20" x14ac:dyDescent="0.25">
      <c r="A671" s="8" t="s">
        <v>1412</v>
      </c>
      <c r="B671" s="8" t="s">
        <v>1413</v>
      </c>
      <c r="C671" s="8" t="s">
        <v>3540</v>
      </c>
      <c r="D671" s="8">
        <v>410</v>
      </c>
      <c r="E671" s="24">
        <v>0.62926828861236495</v>
      </c>
      <c r="F671" s="24">
        <v>0.370731711387634</v>
      </c>
      <c r="G671" s="23">
        <v>0</v>
      </c>
      <c r="H671" s="23">
        <v>4.1463416069745997E-2</v>
      </c>
      <c r="I671" s="24">
        <v>0.57317072153091397</v>
      </c>
      <c r="J671" s="24">
        <v>0.32195121049880898</v>
      </c>
      <c r="K671" s="23">
        <v>9.7560975700616993E-3</v>
      </c>
      <c r="L671" s="23">
        <v>1.21951214969158E-2</v>
      </c>
      <c r="M671" s="23">
        <v>3.65853644907475E-2</v>
      </c>
      <c r="N671" s="23">
        <v>4.8780487850308002E-3</v>
      </c>
      <c r="O671" s="23">
        <v>0.17560975253582001</v>
      </c>
      <c r="P671" s="23">
        <v>2.68292687833309E-2</v>
      </c>
      <c r="Q671" s="24">
        <v>0.80487805604934604</v>
      </c>
      <c r="R671" s="25">
        <v>0</v>
      </c>
      <c r="S671" s="25">
        <v>0</v>
      </c>
      <c r="T671" s="25">
        <v>0.17560975609756097</v>
      </c>
    </row>
    <row r="672" spans="1:20" x14ac:dyDescent="0.25">
      <c r="A672" s="8" t="s">
        <v>1414</v>
      </c>
      <c r="B672" s="8" t="s">
        <v>1415</v>
      </c>
      <c r="C672" s="8" t="s">
        <v>3540</v>
      </c>
      <c r="D672" s="8">
        <v>763</v>
      </c>
      <c r="E672" s="24">
        <v>0.49934470653533902</v>
      </c>
      <c r="F672" s="24">
        <v>0.49934470653533902</v>
      </c>
      <c r="G672" s="23">
        <v>1.3106160331517E-3</v>
      </c>
      <c r="H672" s="23">
        <v>5.7667102664709098E-2</v>
      </c>
      <c r="I672" s="24">
        <v>0.36304062604904103</v>
      </c>
      <c r="J672" s="24">
        <v>0.13237221539020499</v>
      </c>
      <c r="K672" s="23">
        <v>6.8152032792568207E-2</v>
      </c>
      <c r="L672" s="23">
        <v>1.17955440655351E-2</v>
      </c>
      <c r="M672" s="24">
        <v>0.366972476243972</v>
      </c>
      <c r="N672" s="23">
        <v>0</v>
      </c>
      <c r="O672" s="24">
        <v>0.17824377119541099</v>
      </c>
      <c r="P672" s="23">
        <v>2.88335513323545E-2</v>
      </c>
      <c r="Q672" s="23">
        <v>0.35779815912246699</v>
      </c>
      <c r="R672" s="25">
        <v>2.6212319790301442E-3</v>
      </c>
      <c r="S672" s="25">
        <v>0</v>
      </c>
      <c r="T672" s="25">
        <v>0.17169069462647443</v>
      </c>
    </row>
    <row r="673" spans="1:20" x14ac:dyDescent="0.25">
      <c r="A673" s="8" t="s">
        <v>1416</v>
      </c>
      <c r="B673" s="8" t="s">
        <v>1417</v>
      </c>
      <c r="C673" s="8" t="s">
        <v>3540</v>
      </c>
      <c r="D673" s="8">
        <v>354</v>
      </c>
      <c r="E673" s="23">
        <v>1</v>
      </c>
      <c r="F673" s="23">
        <v>0</v>
      </c>
      <c r="G673" s="23">
        <v>0</v>
      </c>
      <c r="H673" s="24">
        <v>0.161016955971717</v>
      </c>
      <c r="I673" s="24">
        <v>0.51694917678832997</v>
      </c>
      <c r="J673" s="24">
        <v>0.15254236757755199</v>
      </c>
      <c r="K673" s="23">
        <v>1.4124293811619301E-2</v>
      </c>
      <c r="L673" s="23">
        <v>1.9774010404944399E-2</v>
      </c>
      <c r="M673" s="24">
        <v>0.12711864709854101</v>
      </c>
      <c r="N673" s="23">
        <v>8.4745762869716003E-3</v>
      </c>
      <c r="O673" s="23">
        <v>0.17231638729572299</v>
      </c>
      <c r="P673" s="24">
        <v>0.112994350492954</v>
      </c>
      <c r="Q673" s="24">
        <v>0.82768362760543801</v>
      </c>
      <c r="R673" s="25">
        <v>2.8248587570621469E-3</v>
      </c>
      <c r="S673" s="25">
        <v>2.8248587570621469E-3</v>
      </c>
      <c r="T673" s="25">
        <v>0.17231638418079095</v>
      </c>
    </row>
    <row r="674" spans="1:20" x14ac:dyDescent="0.25">
      <c r="A674" s="8" t="s">
        <v>1418</v>
      </c>
      <c r="B674" s="8" t="s">
        <v>1419</v>
      </c>
      <c r="C674" s="8" t="s">
        <v>3540</v>
      </c>
      <c r="D674" s="8">
        <v>125</v>
      </c>
      <c r="E674" s="24">
        <v>0.479999989271163</v>
      </c>
      <c r="F674" s="24">
        <v>0.51999998092651301</v>
      </c>
      <c r="G674" s="23">
        <v>0</v>
      </c>
      <c r="H674" s="23">
        <v>8.0000003799796E-3</v>
      </c>
      <c r="I674" s="23">
        <v>0.80000001192092896</v>
      </c>
      <c r="J674" s="24">
        <v>0.15999999642372101</v>
      </c>
      <c r="K674" s="23">
        <v>0</v>
      </c>
      <c r="L674" s="23">
        <v>2.4000000208616298E-2</v>
      </c>
      <c r="M674" s="23">
        <v>8.0000003799796E-3</v>
      </c>
      <c r="N674" s="23">
        <v>0</v>
      </c>
      <c r="O674" s="24">
        <v>0.36800000071525502</v>
      </c>
      <c r="P674" s="23">
        <v>3.9999999105930301E-2</v>
      </c>
      <c r="Q674" s="24">
        <v>0.92000001668929998</v>
      </c>
      <c r="R674" s="25">
        <v>0</v>
      </c>
      <c r="S674" s="25">
        <v>0</v>
      </c>
      <c r="T674" s="25">
        <v>0.33600000000000002</v>
      </c>
    </row>
    <row r="675" spans="1:20" x14ac:dyDescent="0.25">
      <c r="A675" s="8" t="s">
        <v>1420</v>
      </c>
      <c r="B675" s="8" t="s">
        <v>1421</v>
      </c>
      <c r="C675" s="8" t="s">
        <v>3540</v>
      </c>
      <c r="D675" s="8">
        <v>223</v>
      </c>
      <c r="E675" s="24">
        <v>0.67713004350662198</v>
      </c>
      <c r="F675" s="24">
        <v>0.32286995649337702</v>
      </c>
      <c r="G675" s="23">
        <v>0</v>
      </c>
      <c r="H675" s="23">
        <v>2.2421523928642301E-2</v>
      </c>
      <c r="I675" s="23">
        <v>0.69506728649139404</v>
      </c>
      <c r="J675" s="24">
        <v>0.215246632695198</v>
      </c>
      <c r="K675" s="23">
        <v>1.34529145434499E-2</v>
      </c>
      <c r="L675" s="23">
        <v>1.34529145434499E-2</v>
      </c>
      <c r="M675" s="23">
        <v>4.0358744561672197E-2</v>
      </c>
      <c r="N675" s="23">
        <v>0</v>
      </c>
      <c r="O675" s="24">
        <v>0.35426008701324402</v>
      </c>
      <c r="P675" s="23">
        <v>2.6905829086899799E-2</v>
      </c>
      <c r="Q675" s="24">
        <v>0.82959640026092496</v>
      </c>
      <c r="R675" s="25">
        <v>0</v>
      </c>
      <c r="S675" s="25">
        <v>0</v>
      </c>
      <c r="T675" s="25">
        <v>0.35426008968609868</v>
      </c>
    </row>
    <row r="676" spans="1:20" x14ac:dyDescent="0.25">
      <c r="A676" s="8" t="s">
        <v>1422</v>
      </c>
      <c r="B676" s="8" t="s">
        <v>1423</v>
      </c>
      <c r="C676" s="8" t="s">
        <v>3540</v>
      </c>
      <c r="D676" s="8">
        <v>338</v>
      </c>
      <c r="E676" s="23">
        <v>0.52366864681243896</v>
      </c>
      <c r="F676" s="23">
        <v>0.47633135318756098</v>
      </c>
      <c r="G676" s="23">
        <v>0</v>
      </c>
      <c r="H676" s="23">
        <v>6.2130179256200797E-2</v>
      </c>
      <c r="I676" s="24">
        <v>0.67455619573593095</v>
      </c>
      <c r="J676" s="24">
        <v>0.17455621063709201</v>
      </c>
      <c r="K676" s="23">
        <v>8.8757397606969001E-3</v>
      </c>
      <c r="L676" s="23">
        <v>5.9171598404645998E-3</v>
      </c>
      <c r="M676" s="23">
        <v>4.7337278723716701E-2</v>
      </c>
      <c r="N676" s="23">
        <v>2.66272183507681E-2</v>
      </c>
      <c r="O676" s="23">
        <v>0.16568046808242801</v>
      </c>
      <c r="P676" s="23">
        <v>0</v>
      </c>
      <c r="Q676" s="24">
        <v>0.76923078298568703</v>
      </c>
      <c r="R676" s="25">
        <v>0</v>
      </c>
      <c r="S676" s="25">
        <v>0</v>
      </c>
      <c r="T676" s="25">
        <v>0.15680473372781065</v>
      </c>
    </row>
    <row r="677" spans="1:20" x14ac:dyDescent="0.25">
      <c r="A677" s="8" t="s">
        <v>1424</v>
      </c>
      <c r="B677" s="8" t="s">
        <v>1425</v>
      </c>
      <c r="C677" s="8" t="s">
        <v>3540</v>
      </c>
      <c r="D677" s="8">
        <v>558</v>
      </c>
      <c r="E677" s="24">
        <v>0.274193555116653</v>
      </c>
      <c r="F677" s="24">
        <v>0.72580647468566795</v>
      </c>
      <c r="G677" s="23">
        <v>0</v>
      </c>
      <c r="H677" s="23">
        <v>4.4802866876125301E-2</v>
      </c>
      <c r="I677" s="24">
        <v>0.56989246606826705</v>
      </c>
      <c r="J677" s="24">
        <v>0.32795697450637801</v>
      </c>
      <c r="K677" s="23">
        <v>1.07526881620288E-2</v>
      </c>
      <c r="L677" s="23">
        <v>1.07526881620288E-2</v>
      </c>
      <c r="M677" s="23">
        <v>3.4050177782773999E-2</v>
      </c>
      <c r="N677" s="23">
        <v>1.7921146936715E-3</v>
      </c>
      <c r="O677" s="24">
        <v>0.26344084739684998</v>
      </c>
      <c r="P677" s="23">
        <v>4.6594981104135499E-2</v>
      </c>
      <c r="Q677" s="24">
        <v>0.89068102836608798</v>
      </c>
      <c r="R677" s="25">
        <v>0</v>
      </c>
      <c r="S677" s="25">
        <v>0</v>
      </c>
      <c r="T677" s="25">
        <v>0.23655913978494625</v>
      </c>
    </row>
    <row r="678" spans="1:20" x14ac:dyDescent="0.25">
      <c r="A678" s="8" t="s">
        <v>1426</v>
      </c>
      <c r="B678" s="8" t="s">
        <v>1427</v>
      </c>
      <c r="C678" s="8" t="s">
        <v>3540</v>
      </c>
      <c r="D678" s="8">
        <v>170</v>
      </c>
      <c r="E678" s="23">
        <v>0.52941179275512695</v>
      </c>
      <c r="F678" s="24">
        <v>0.47058823704719499</v>
      </c>
      <c r="G678" s="23">
        <v>0</v>
      </c>
      <c r="H678" s="23">
        <v>1.7647059634327899E-2</v>
      </c>
      <c r="I678" s="24">
        <v>0.53529411554336503</v>
      </c>
      <c r="J678" s="23">
        <v>0.42941176891326899</v>
      </c>
      <c r="K678" s="23">
        <v>0</v>
      </c>
      <c r="L678" s="23">
        <v>5.8823530562222004E-3</v>
      </c>
      <c r="M678" s="23">
        <v>1.1764706112444401E-2</v>
      </c>
      <c r="N678" s="23">
        <v>0</v>
      </c>
      <c r="O678" s="24">
        <v>0.37058824300765902</v>
      </c>
      <c r="P678" s="23">
        <v>7.0588238537311596E-2</v>
      </c>
      <c r="Q678" s="24">
        <v>0.95294117927551203</v>
      </c>
      <c r="R678" s="25">
        <v>0</v>
      </c>
      <c r="S678" s="25">
        <v>0</v>
      </c>
      <c r="T678" s="25">
        <v>0.3</v>
      </c>
    </row>
    <row r="679" spans="1:20" x14ac:dyDescent="0.25">
      <c r="A679" s="8" t="s">
        <v>1428</v>
      </c>
      <c r="B679" s="8" t="s">
        <v>1429</v>
      </c>
      <c r="C679" s="8" t="s">
        <v>3540</v>
      </c>
      <c r="D679" s="8">
        <v>852</v>
      </c>
      <c r="E679" s="24">
        <v>0.51643192768096902</v>
      </c>
      <c r="F679" s="24">
        <v>0.48356807231902998</v>
      </c>
      <c r="G679" s="23">
        <v>0</v>
      </c>
      <c r="H679" s="23">
        <v>1.4084506779909099E-2</v>
      </c>
      <c r="I679" s="24">
        <v>0.76760566234588601</v>
      </c>
      <c r="J679" s="24">
        <v>0.153755873441696</v>
      </c>
      <c r="K679" s="23">
        <v>2.3474178742617E-3</v>
      </c>
      <c r="L679" s="23">
        <v>1.4084506779909099E-2</v>
      </c>
      <c r="M679" s="23">
        <v>1.7605634406208999E-2</v>
      </c>
      <c r="N679" s="23">
        <v>3.0516432598233199E-2</v>
      </c>
      <c r="O679" s="24">
        <v>0.13849765062332101</v>
      </c>
      <c r="P679" s="23">
        <v>4.6948357485234998E-3</v>
      </c>
      <c r="Q679" s="24">
        <v>0.768779337406158</v>
      </c>
      <c r="R679" s="25">
        <v>0</v>
      </c>
      <c r="S679" s="25">
        <v>0</v>
      </c>
      <c r="T679" s="25">
        <v>0.12441314553990611</v>
      </c>
    </row>
    <row r="680" spans="1:20" x14ac:dyDescent="0.25">
      <c r="A680" s="8" t="s">
        <v>1430</v>
      </c>
      <c r="B680" s="8" t="s">
        <v>1431</v>
      </c>
      <c r="C680" s="8" t="s">
        <v>3540</v>
      </c>
      <c r="D680" s="8">
        <v>442</v>
      </c>
      <c r="E680" s="24">
        <v>0.21266968548297799</v>
      </c>
      <c r="F680" s="24">
        <v>0.78733032941818204</v>
      </c>
      <c r="G680" s="23">
        <v>0</v>
      </c>
      <c r="H680" s="23">
        <v>8.5972853004932404E-2</v>
      </c>
      <c r="I680" s="24">
        <v>0.60180997848510698</v>
      </c>
      <c r="J680" s="23">
        <v>0.25339367985725397</v>
      </c>
      <c r="K680" s="23">
        <v>2.4886878207325901E-2</v>
      </c>
      <c r="L680" s="23">
        <v>1.5837104991078401E-2</v>
      </c>
      <c r="M680" s="23">
        <v>1.8099548295140301E-2</v>
      </c>
      <c r="N680" s="23">
        <v>0</v>
      </c>
      <c r="O680" s="24">
        <v>0.20361991226673101</v>
      </c>
      <c r="P680" s="23">
        <v>4.9773756414651898E-2</v>
      </c>
      <c r="Q680" s="24">
        <v>0.74886876344680697</v>
      </c>
      <c r="R680" s="25">
        <v>0</v>
      </c>
      <c r="S680" s="25">
        <v>0</v>
      </c>
      <c r="T680" s="25">
        <v>0.19457013574660634</v>
      </c>
    </row>
    <row r="681" spans="1:20" x14ac:dyDescent="0.25">
      <c r="A681" s="8" t="s">
        <v>1432</v>
      </c>
      <c r="B681" s="8" t="s">
        <v>1433</v>
      </c>
      <c r="C681" s="8" t="s">
        <v>3540</v>
      </c>
      <c r="D681" s="8">
        <v>229</v>
      </c>
      <c r="E681" s="24">
        <v>0.39301308989524802</v>
      </c>
      <c r="F681" s="24">
        <v>0.60698688030242898</v>
      </c>
      <c r="G681" s="23">
        <v>0</v>
      </c>
      <c r="H681" s="23">
        <v>3.4934498369693798E-2</v>
      </c>
      <c r="I681" s="24">
        <v>0.41921398043632502</v>
      </c>
      <c r="J681" s="24">
        <v>0.248908296227455</v>
      </c>
      <c r="K681" s="23">
        <v>7.8602619469165802E-2</v>
      </c>
      <c r="L681" s="23">
        <v>1.31004368886352E-2</v>
      </c>
      <c r="M681" s="24">
        <v>0.20524017512798301</v>
      </c>
      <c r="N681" s="23">
        <v>0</v>
      </c>
      <c r="O681" s="24">
        <v>0.28820961713790799</v>
      </c>
      <c r="P681" s="24">
        <v>0.104803495109081</v>
      </c>
      <c r="Q681" s="24">
        <v>0.63755458593368497</v>
      </c>
      <c r="R681" s="25">
        <v>1.3100436681222707E-2</v>
      </c>
      <c r="S681" s="25">
        <v>2.6200873362445413E-2</v>
      </c>
      <c r="T681" s="25">
        <v>0.25327510917030566</v>
      </c>
    </row>
    <row r="682" spans="1:20" x14ac:dyDescent="0.25">
      <c r="A682" s="8" t="s">
        <v>1434</v>
      </c>
      <c r="B682" s="8" t="s">
        <v>1435</v>
      </c>
      <c r="C682" s="8" t="s">
        <v>3540</v>
      </c>
      <c r="D682" s="8">
        <v>300</v>
      </c>
      <c r="E682" s="24">
        <v>0.496666669845581</v>
      </c>
      <c r="F682" s="24">
        <v>0.50333333015441795</v>
      </c>
      <c r="G682" s="23">
        <v>0</v>
      </c>
      <c r="H682" s="23">
        <v>6.6666670143604306E-2</v>
      </c>
      <c r="I682" s="24">
        <v>0.38666665554046598</v>
      </c>
      <c r="J682" s="24">
        <v>0.18666666746139499</v>
      </c>
      <c r="K682" s="23">
        <v>8.6666665971279103E-2</v>
      </c>
      <c r="L682" s="23">
        <v>1.6666667535901101E-2</v>
      </c>
      <c r="M682" s="23">
        <v>0.25</v>
      </c>
      <c r="N682" s="23">
        <v>6.6666668280958999E-3</v>
      </c>
      <c r="O682" s="24">
        <v>0.266666680574417</v>
      </c>
      <c r="P682" s="23">
        <v>2.66666673123837E-2</v>
      </c>
      <c r="Q682" s="24">
        <v>0.46666666865348799</v>
      </c>
      <c r="R682" s="25">
        <v>3.6666666666666667E-2</v>
      </c>
      <c r="S682" s="25">
        <v>0.03</v>
      </c>
      <c r="T682" s="25">
        <v>0.20333333333333334</v>
      </c>
    </row>
    <row r="683" spans="1:20" x14ac:dyDescent="0.25">
      <c r="A683" s="8" t="s">
        <v>1436</v>
      </c>
      <c r="B683" s="8" t="s">
        <v>1437</v>
      </c>
      <c r="C683" s="8" t="s">
        <v>3540</v>
      </c>
      <c r="D683" s="8">
        <v>162</v>
      </c>
      <c r="E683" s="24">
        <v>0.54320985078811601</v>
      </c>
      <c r="F683" s="24">
        <v>0.44444444775581299</v>
      </c>
      <c r="G683" s="23">
        <v>1.2345679104328201E-2</v>
      </c>
      <c r="H683" s="23">
        <v>4.9382716417312601E-2</v>
      </c>
      <c r="I683" s="24">
        <v>0.40740740299224798</v>
      </c>
      <c r="J683" s="24">
        <v>0.27160492539405801</v>
      </c>
      <c r="K683" s="23">
        <v>4.9382716417312601E-2</v>
      </c>
      <c r="L683" s="23">
        <v>1.2345679104328201E-2</v>
      </c>
      <c r="M683" s="24">
        <v>0.123456791043281</v>
      </c>
      <c r="N683" s="23">
        <v>8.6419753730297103E-2</v>
      </c>
      <c r="O683" s="24">
        <v>0.27160492539405801</v>
      </c>
      <c r="P683" s="23">
        <v>2.4691358208656301E-2</v>
      </c>
      <c r="Q683" s="24">
        <v>0.62345677614212003</v>
      </c>
      <c r="R683" s="25">
        <v>0</v>
      </c>
      <c r="S683" s="25">
        <v>0</v>
      </c>
      <c r="T683" s="25">
        <v>0.27777777777777779</v>
      </c>
    </row>
    <row r="684" spans="1:20" x14ac:dyDescent="0.25">
      <c r="A684" s="8" t="s">
        <v>1438</v>
      </c>
      <c r="B684" s="8" t="s">
        <v>1439</v>
      </c>
      <c r="C684" s="8" t="s">
        <v>3540</v>
      </c>
      <c r="D684" s="8">
        <v>175</v>
      </c>
      <c r="E684" s="24">
        <v>0.48571428656577997</v>
      </c>
      <c r="F684" s="24">
        <v>0.51428574323654097</v>
      </c>
      <c r="G684" s="23">
        <v>0</v>
      </c>
      <c r="H684" s="23">
        <v>1.71428564935923E-2</v>
      </c>
      <c r="I684" s="24">
        <v>0.32571429014205899</v>
      </c>
      <c r="J684" s="24">
        <v>0.60571426153182895</v>
      </c>
      <c r="K684" s="23">
        <v>5.7142856530845E-3</v>
      </c>
      <c r="L684" s="23">
        <v>2.8571428731083901E-2</v>
      </c>
      <c r="M684" s="23">
        <v>1.71428564935923E-2</v>
      </c>
      <c r="N684" s="23">
        <v>0</v>
      </c>
      <c r="O684" s="24">
        <v>0.27428570389747597</v>
      </c>
      <c r="P684" s="24">
        <v>0.11428571492433499</v>
      </c>
      <c r="Q684" s="23">
        <v>0.95428574085235596</v>
      </c>
      <c r="R684" s="25">
        <v>0.11428571428571428</v>
      </c>
      <c r="S684" s="25">
        <v>1.1428571428571429E-2</v>
      </c>
      <c r="T684" s="25">
        <v>0.14285714285714285</v>
      </c>
    </row>
    <row r="685" spans="1:20" x14ac:dyDescent="0.25">
      <c r="A685" s="8" t="s">
        <v>1440</v>
      </c>
      <c r="B685" s="8" t="s">
        <v>1441</v>
      </c>
      <c r="C685" s="8" t="s">
        <v>3540</v>
      </c>
      <c r="D685" s="8">
        <v>199</v>
      </c>
      <c r="E685" s="24">
        <v>0.50251257419586104</v>
      </c>
      <c r="F685" s="24">
        <v>0.49748742580413802</v>
      </c>
      <c r="G685" s="23">
        <v>0</v>
      </c>
      <c r="H685" s="23">
        <v>5.0251255743205998E-3</v>
      </c>
      <c r="I685" s="23">
        <v>9.5477387309074402E-2</v>
      </c>
      <c r="J685" s="24">
        <v>0.814070343971252</v>
      </c>
      <c r="K685" s="23">
        <v>5.0251255743205998E-3</v>
      </c>
      <c r="L685" s="23">
        <v>1.0050251148641101E-2</v>
      </c>
      <c r="M685" s="23">
        <v>7.0351757109165206E-2</v>
      </c>
      <c r="N685" s="23">
        <v>0</v>
      </c>
      <c r="O685" s="24">
        <v>0.35175880789756703</v>
      </c>
      <c r="P685" s="24">
        <v>0.11557789146900101</v>
      </c>
      <c r="Q685" s="24">
        <v>0.87939697504043501</v>
      </c>
      <c r="R685" s="25">
        <v>0.12562814070351758</v>
      </c>
      <c r="S685" s="25">
        <v>4.5226130653266333E-2</v>
      </c>
      <c r="T685" s="25">
        <v>0.16080402010050251</v>
      </c>
    </row>
    <row r="686" spans="1:20" x14ac:dyDescent="0.25">
      <c r="A686" s="8" t="s">
        <v>1442</v>
      </c>
      <c r="B686" s="8" t="s">
        <v>1443</v>
      </c>
      <c r="C686" s="8" t="s">
        <v>3540</v>
      </c>
      <c r="D686" s="8">
        <v>151</v>
      </c>
      <c r="E686" s="24">
        <v>0.49668875336647</v>
      </c>
      <c r="F686" s="24">
        <v>0.50331127643585205</v>
      </c>
      <c r="G686" s="23">
        <v>0</v>
      </c>
      <c r="H686" s="23">
        <v>0</v>
      </c>
      <c r="I686" s="24">
        <v>0.13245032727718301</v>
      </c>
      <c r="J686" s="24">
        <v>0.67549669742584195</v>
      </c>
      <c r="K686" s="23">
        <v>3.3112581819295897E-2</v>
      </c>
      <c r="L686" s="23">
        <v>1.32450331002474E-2</v>
      </c>
      <c r="M686" s="24">
        <v>0.14569535851478499</v>
      </c>
      <c r="N686" s="23">
        <v>0</v>
      </c>
      <c r="O686" s="24">
        <v>0.21192052960395799</v>
      </c>
      <c r="P686" s="24">
        <v>0.15231788158416701</v>
      </c>
      <c r="Q686" s="23">
        <v>0.74834436178207397</v>
      </c>
      <c r="R686" s="25">
        <v>0</v>
      </c>
      <c r="S686" s="25">
        <v>0</v>
      </c>
      <c r="T686" s="25">
        <v>0.23841059602649006</v>
      </c>
    </row>
    <row r="687" spans="1:20" x14ac:dyDescent="0.25">
      <c r="A687" s="8" t="s">
        <v>1444</v>
      </c>
      <c r="B687" s="8" t="s">
        <v>1445</v>
      </c>
      <c r="C687" s="8" t="s">
        <v>3540</v>
      </c>
      <c r="D687" s="8">
        <v>240</v>
      </c>
      <c r="E687" s="24">
        <v>0.47083333134651101</v>
      </c>
      <c r="F687" s="24">
        <v>0.52916663885116499</v>
      </c>
      <c r="G687" s="23">
        <v>0</v>
      </c>
      <c r="H687" s="23">
        <v>4.1666668839753004E-3</v>
      </c>
      <c r="I687" s="24">
        <v>0.47499999403953502</v>
      </c>
      <c r="J687" s="24">
        <v>0.49583333730697599</v>
      </c>
      <c r="K687" s="23">
        <v>4.1666668839753004E-3</v>
      </c>
      <c r="L687" s="23">
        <v>0</v>
      </c>
      <c r="M687" s="23">
        <v>2.0833333954215001E-2</v>
      </c>
      <c r="N687" s="23">
        <v>0</v>
      </c>
      <c r="O687" s="24">
        <v>0.30416667461395203</v>
      </c>
      <c r="P687" s="24">
        <v>0.15000000596046401</v>
      </c>
      <c r="Q687" s="24">
        <v>0.93333333730697599</v>
      </c>
      <c r="R687" s="25">
        <v>0.1125</v>
      </c>
      <c r="S687" s="25">
        <v>8.3333333333333332E-3</v>
      </c>
      <c r="T687" s="25">
        <v>0.21666666666666667</v>
      </c>
    </row>
    <row r="688" spans="1:20" x14ac:dyDescent="0.25">
      <c r="A688" s="8" t="s">
        <v>1446</v>
      </c>
      <c r="B688" s="8" t="s">
        <v>1447</v>
      </c>
      <c r="C688" s="8" t="s">
        <v>3540</v>
      </c>
      <c r="D688" s="8">
        <v>643</v>
      </c>
      <c r="E688" s="24">
        <v>0.48055988550186102</v>
      </c>
      <c r="F688" s="24">
        <v>0.51944011449813798</v>
      </c>
      <c r="G688" s="23">
        <v>0</v>
      </c>
      <c r="H688" s="23">
        <v>7.1539655327796894E-2</v>
      </c>
      <c r="I688" s="23">
        <v>6.0653187334537499E-2</v>
      </c>
      <c r="J688" s="24">
        <v>0.334370136260986</v>
      </c>
      <c r="K688" s="23">
        <v>6.6874027252197293E-2</v>
      </c>
      <c r="L688" s="23">
        <v>0</v>
      </c>
      <c r="M688" s="24">
        <v>0.46656298637390098</v>
      </c>
      <c r="N688" s="23">
        <v>0</v>
      </c>
      <c r="O688" s="24">
        <v>0.15863141417503299</v>
      </c>
      <c r="P688" s="23">
        <v>5.4432347416877698E-2</v>
      </c>
      <c r="Q688" s="24">
        <v>0.48211508989334101</v>
      </c>
      <c r="R688" s="25">
        <v>3.5769828926905133E-2</v>
      </c>
      <c r="S688" s="25">
        <v>0</v>
      </c>
      <c r="T688" s="25">
        <v>0.12752721617418353</v>
      </c>
    </row>
    <row r="689" spans="1:20" x14ac:dyDescent="0.25">
      <c r="A689" s="8" t="s">
        <v>1448</v>
      </c>
      <c r="B689" s="8" t="s">
        <v>1449</v>
      </c>
      <c r="C689" s="8" t="s">
        <v>3540</v>
      </c>
      <c r="D689" s="8">
        <v>435</v>
      </c>
      <c r="E689" s="24">
        <v>0.46206897497177102</v>
      </c>
      <c r="F689" s="24">
        <v>0.53793102502822798</v>
      </c>
      <c r="G689" s="23">
        <v>0</v>
      </c>
      <c r="H689" s="23">
        <v>4.59770113229752E-2</v>
      </c>
      <c r="I689" s="23">
        <v>1.6091953963041299E-2</v>
      </c>
      <c r="J689" s="24">
        <v>0.15172414481639801</v>
      </c>
      <c r="K689" s="23">
        <v>9.8850578069686904E-2</v>
      </c>
      <c r="L689" s="23">
        <v>0</v>
      </c>
      <c r="M689" s="24">
        <v>0.68505746126174905</v>
      </c>
      <c r="N689" s="23">
        <v>2.2988505661488E-3</v>
      </c>
      <c r="O689" s="24">
        <v>0.14712643623352001</v>
      </c>
      <c r="P689" s="23">
        <v>5.0574712455272702E-2</v>
      </c>
      <c r="Q689" s="24">
        <v>0.227586209774017</v>
      </c>
      <c r="R689" s="25">
        <v>2.2988505747126436E-3</v>
      </c>
      <c r="S689" s="25">
        <v>0</v>
      </c>
      <c r="T689" s="25">
        <v>0.15632183908045977</v>
      </c>
    </row>
    <row r="690" spans="1:20" x14ac:dyDescent="0.25">
      <c r="A690" s="8" t="s">
        <v>1450</v>
      </c>
      <c r="B690" s="8" t="s">
        <v>1451</v>
      </c>
      <c r="C690" s="8" t="s">
        <v>3540</v>
      </c>
      <c r="D690" s="8">
        <v>403</v>
      </c>
      <c r="E690" s="24">
        <v>0.48883375525474498</v>
      </c>
      <c r="F690" s="24">
        <v>0.51116627454757602</v>
      </c>
      <c r="G690" s="23">
        <v>0</v>
      </c>
      <c r="H690" s="23">
        <v>2.4813896045088799E-2</v>
      </c>
      <c r="I690" s="24">
        <v>0.21339949965476901</v>
      </c>
      <c r="J690" s="24">
        <v>0.63027292490005404</v>
      </c>
      <c r="K690" s="23">
        <v>1.48883378133178E-2</v>
      </c>
      <c r="L690" s="23">
        <v>1.24069480225444E-2</v>
      </c>
      <c r="M690" s="24">
        <v>0.104218363761901</v>
      </c>
      <c r="N690" s="23">
        <v>0</v>
      </c>
      <c r="O690" s="24">
        <v>0.27791562676429699</v>
      </c>
      <c r="P690" s="24">
        <v>0.168734490871429</v>
      </c>
      <c r="Q690" s="24">
        <v>0.85111659765243497</v>
      </c>
      <c r="R690" s="25">
        <v>0.10918114143920596</v>
      </c>
      <c r="S690" s="25">
        <v>0</v>
      </c>
      <c r="T690" s="25">
        <v>0.17866004962779156</v>
      </c>
    </row>
    <row r="691" spans="1:20" x14ac:dyDescent="0.25">
      <c r="A691" s="8" t="s">
        <v>1453</v>
      </c>
      <c r="B691" s="8" t="s">
        <v>1454</v>
      </c>
      <c r="C691" s="8" t="s">
        <v>3540</v>
      </c>
      <c r="D691" s="8">
        <v>287</v>
      </c>
      <c r="E691" s="24">
        <v>0.50871080160140902</v>
      </c>
      <c r="F691" s="24">
        <v>0.48432055115699701</v>
      </c>
      <c r="G691" s="23">
        <v>6.9686411879957E-3</v>
      </c>
      <c r="H691" s="23">
        <v>1.3937282375991299E-2</v>
      </c>
      <c r="I691" s="24">
        <v>0.46341463923454201</v>
      </c>
      <c r="J691" s="24">
        <v>0.49128919839858998</v>
      </c>
      <c r="K691" s="23">
        <v>1.0452961549162899E-2</v>
      </c>
      <c r="L691" s="23">
        <v>1.0452961549162899E-2</v>
      </c>
      <c r="M691" s="23">
        <v>1.0452961549162899E-2</v>
      </c>
      <c r="N691" s="23">
        <v>0</v>
      </c>
      <c r="O691" s="23">
        <v>0.25783970952034002</v>
      </c>
      <c r="P691" s="24">
        <v>0.13937282562255801</v>
      </c>
      <c r="Q691" s="24">
        <v>0.94773519039153997</v>
      </c>
      <c r="R691" s="25">
        <v>8.0139372822299645E-2</v>
      </c>
      <c r="S691" s="25">
        <v>0</v>
      </c>
      <c r="T691" s="25">
        <v>0.1672473867595819</v>
      </c>
    </row>
    <row r="692" spans="1:20" x14ac:dyDescent="0.25">
      <c r="A692" s="8" t="s">
        <v>1456</v>
      </c>
      <c r="B692" s="8" t="s">
        <v>1457</v>
      </c>
      <c r="C692" s="8" t="s">
        <v>3540</v>
      </c>
      <c r="D692" s="8">
        <v>473</v>
      </c>
      <c r="E692" s="24">
        <v>0.47357293963432301</v>
      </c>
      <c r="F692" s="24">
        <v>0.52642709016799905</v>
      </c>
      <c r="G692" s="23">
        <v>0</v>
      </c>
      <c r="H692" s="23">
        <v>4.2283297516405999E-3</v>
      </c>
      <c r="I692" s="24">
        <v>0.23044396936893399</v>
      </c>
      <c r="J692" s="24">
        <v>0.72304439544677701</v>
      </c>
      <c r="K692" s="23">
        <v>0</v>
      </c>
      <c r="L692" s="23">
        <v>8.4566595032810991E-3</v>
      </c>
      <c r="M692" s="23">
        <v>3.3826638013124501E-2</v>
      </c>
      <c r="N692" s="23">
        <v>0</v>
      </c>
      <c r="O692" s="24">
        <v>0.30021142959594699</v>
      </c>
      <c r="P692" s="24">
        <v>0.31501057744026101</v>
      </c>
      <c r="Q692" s="24">
        <v>0.94503170251846302</v>
      </c>
      <c r="R692" s="25">
        <v>4.2283298097251587E-3</v>
      </c>
      <c r="S692" s="25">
        <v>4.8625792811839326E-2</v>
      </c>
      <c r="T692" s="25">
        <v>0.24101479915433405</v>
      </c>
    </row>
    <row r="693" spans="1:20" x14ac:dyDescent="0.25">
      <c r="A693" s="8" t="s">
        <v>1458</v>
      </c>
      <c r="B693" s="8" t="s">
        <v>1459</v>
      </c>
      <c r="C693" s="8" t="s">
        <v>3540</v>
      </c>
      <c r="D693" s="8">
        <v>636</v>
      </c>
      <c r="E693" s="24">
        <v>0.51729559898376398</v>
      </c>
      <c r="F693" s="24">
        <v>0.48270440101623502</v>
      </c>
      <c r="G693" s="23">
        <v>0</v>
      </c>
      <c r="H693" s="23">
        <v>2.9874213039874999E-2</v>
      </c>
      <c r="I693" s="23">
        <v>4.5597482472658199E-2</v>
      </c>
      <c r="J693" s="24">
        <v>0.60220128297805697</v>
      </c>
      <c r="K693" s="23">
        <v>5.9748426079750103E-2</v>
      </c>
      <c r="L693" s="23">
        <v>3.1446539796889002E-3</v>
      </c>
      <c r="M693" s="24">
        <v>0.25943395495414701</v>
      </c>
      <c r="N693" s="23">
        <v>0</v>
      </c>
      <c r="O693" s="24">
        <v>0.246855348348617</v>
      </c>
      <c r="P693" s="24">
        <v>0.116352200508117</v>
      </c>
      <c r="Q693" s="24">
        <v>0.58333331346511796</v>
      </c>
      <c r="R693" s="25">
        <v>0</v>
      </c>
      <c r="S693" s="25">
        <v>1.5723270440251573E-3</v>
      </c>
      <c r="T693" s="25">
        <v>0.25628930817610063</v>
      </c>
    </row>
    <row r="694" spans="1:20" x14ac:dyDescent="0.25">
      <c r="A694" s="8" t="s">
        <v>1460</v>
      </c>
      <c r="B694" s="8" t="s">
        <v>1461</v>
      </c>
      <c r="C694" s="8" t="s">
        <v>3540</v>
      </c>
      <c r="D694" s="8">
        <v>493</v>
      </c>
      <c r="E694" s="23">
        <v>0.476673424243927</v>
      </c>
      <c r="F694" s="24">
        <v>0.51926976442337003</v>
      </c>
      <c r="G694" s="23">
        <v>4.0567950345576E-3</v>
      </c>
      <c r="H694" s="23">
        <v>2.2312372922897301E-2</v>
      </c>
      <c r="I694" s="23">
        <v>2.8397565707564399E-2</v>
      </c>
      <c r="J694" s="24">
        <v>0.18661257624626101</v>
      </c>
      <c r="K694" s="24">
        <v>0.115618661046028</v>
      </c>
      <c r="L694" s="23">
        <v>0</v>
      </c>
      <c r="M694" s="24">
        <v>0.64705884456634499</v>
      </c>
      <c r="N694" s="23">
        <v>0</v>
      </c>
      <c r="O694" s="24">
        <v>0.103448279201984</v>
      </c>
      <c r="P694" s="23">
        <v>3.2454360276460599E-2</v>
      </c>
      <c r="Q694" s="24">
        <v>0.24340771138667999</v>
      </c>
      <c r="R694" s="25">
        <v>2.231237322515213E-2</v>
      </c>
      <c r="S694" s="25">
        <v>2.0283975659229209E-3</v>
      </c>
      <c r="T694" s="25">
        <v>7.5050709939148072E-2</v>
      </c>
    </row>
    <row r="695" spans="1:20" x14ac:dyDescent="0.25">
      <c r="A695" s="8" t="s">
        <v>1462</v>
      </c>
      <c r="B695" s="8" t="s">
        <v>1463</v>
      </c>
      <c r="C695" s="8" t="s">
        <v>3540</v>
      </c>
      <c r="D695" s="8">
        <v>294</v>
      </c>
      <c r="E695" s="24">
        <v>0.489795923233032</v>
      </c>
      <c r="F695" s="24">
        <v>0.510204076766967</v>
      </c>
      <c r="G695" s="23">
        <v>0</v>
      </c>
      <c r="H695" s="23">
        <v>1.3605441898107499E-2</v>
      </c>
      <c r="I695" s="24">
        <v>0.251700669527053</v>
      </c>
      <c r="J695" s="24">
        <v>0.67687076330184903</v>
      </c>
      <c r="K695" s="23">
        <v>6.8027209490537999E-3</v>
      </c>
      <c r="L695" s="23">
        <v>1.02040814235806E-2</v>
      </c>
      <c r="M695" s="23">
        <v>4.08163256943226E-2</v>
      </c>
      <c r="N695" s="23">
        <v>0</v>
      </c>
      <c r="O695" s="24">
        <v>0.27210885286331099</v>
      </c>
      <c r="P695" s="24">
        <v>0.23809523880481701</v>
      </c>
      <c r="Q695" s="24">
        <v>0.94897961616516102</v>
      </c>
      <c r="R695" s="25">
        <v>0.1360544217687075</v>
      </c>
      <c r="S695" s="25">
        <v>0</v>
      </c>
      <c r="T695" s="25">
        <v>0.12585034013605442</v>
      </c>
    </row>
    <row r="696" spans="1:20" x14ac:dyDescent="0.25">
      <c r="A696" s="8" t="s">
        <v>1464</v>
      </c>
      <c r="B696" s="8" t="s">
        <v>1465</v>
      </c>
      <c r="C696" s="8" t="s">
        <v>3540</v>
      </c>
      <c r="D696" s="8">
        <v>162</v>
      </c>
      <c r="E696" s="24">
        <v>0.481481492519378</v>
      </c>
      <c r="F696" s="24">
        <v>0.518518507480621</v>
      </c>
      <c r="G696" s="23">
        <v>0</v>
      </c>
      <c r="H696" s="23">
        <v>3.0864197760820399E-2</v>
      </c>
      <c r="I696" s="24">
        <v>0.33333334326744002</v>
      </c>
      <c r="J696" s="24">
        <v>0.506172835826873</v>
      </c>
      <c r="K696" s="23">
        <v>1.8518518656492199E-2</v>
      </c>
      <c r="L696" s="23">
        <v>6.1728395521641003E-3</v>
      </c>
      <c r="M696" s="23">
        <v>0.104938268661499</v>
      </c>
      <c r="N696" s="23">
        <v>0</v>
      </c>
      <c r="O696" s="24">
        <v>0.30246913433074901</v>
      </c>
      <c r="P696" s="24">
        <v>0.117283947765827</v>
      </c>
      <c r="Q696" s="24">
        <v>0.87037038803100497</v>
      </c>
      <c r="R696" s="25">
        <v>0.11728395061728394</v>
      </c>
      <c r="S696" s="25">
        <v>1.2345679012345678E-2</v>
      </c>
      <c r="T696" s="25">
        <v>0.1728395061728395</v>
      </c>
    </row>
    <row r="697" spans="1:20" x14ac:dyDescent="0.25">
      <c r="A697" s="8" t="s">
        <v>1467</v>
      </c>
      <c r="B697" s="8" t="s">
        <v>1468</v>
      </c>
      <c r="C697" s="8" t="s">
        <v>3540</v>
      </c>
      <c r="D697" s="8">
        <v>565</v>
      </c>
      <c r="E697" s="24">
        <v>0.49203538894653298</v>
      </c>
      <c r="F697" s="24">
        <v>0.50796461105346602</v>
      </c>
      <c r="G697" s="23">
        <v>0</v>
      </c>
      <c r="H697" s="23">
        <v>5.84070794284344E-2</v>
      </c>
      <c r="I697" s="24">
        <v>0.109734512865543</v>
      </c>
      <c r="J697" s="24">
        <v>0.33097344636917098</v>
      </c>
      <c r="K697" s="23">
        <v>6.3716813921928406E-2</v>
      </c>
      <c r="L697" s="23">
        <v>5.309734493494E-3</v>
      </c>
      <c r="M697" s="24">
        <v>0.430088490247726</v>
      </c>
      <c r="N697" s="23">
        <v>1.7699114978312999E-3</v>
      </c>
      <c r="O697" s="24">
        <v>0.16283185780048301</v>
      </c>
      <c r="P697" s="23">
        <v>5.3097344934940303E-2</v>
      </c>
      <c r="Q697" s="23">
        <v>0.45840707421302801</v>
      </c>
      <c r="R697" s="25">
        <v>2.1238938053097345E-2</v>
      </c>
      <c r="S697" s="25">
        <v>0</v>
      </c>
      <c r="T697" s="25">
        <v>0.13982300884955753</v>
      </c>
    </row>
    <row r="698" spans="1:20" x14ac:dyDescent="0.25">
      <c r="A698" s="8" t="s">
        <v>1469</v>
      </c>
      <c r="B698" s="8" t="s">
        <v>1470</v>
      </c>
      <c r="C698" s="8" t="s">
        <v>3540</v>
      </c>
      <c r="D698" s="8">
        <v>171</v>
      </c>
      <c r="E698" s="24">
        <v>0.450292408466339</v>
      </c>
      <c r="F698" s="24">
        <v>0.54970759153366</v>
      </c>
      <c r="G698" s="23">
        <v>0</v>
      </c>
      <c r="H698" s="23">
        <v>3.5087719559669502E-2</v>
      </c>
      <c r="I698" s="24">
        <v>0.25146198272705</v>
      </c>
      <c r="J698" s="24">
        <v>0.59649121761321999</v>
      </c>
      <c r="K698" s="23">
        <v>6.4327485859394101E-2</v>
      </c>
      <c r="L698" s="23">
        <v>5.8479532599449002E-3</v>
      </c>
      <c r="M698" s="23">
        <v>4.6783626079559298E-2</v>
      </c>
      <c r="N698" s="23">
        <v>0</v>
      </c>
      <c r="O698" s="24">
        <v>0.26315790414810097</v>
      </c>
      <c r="P698" s="24">
        <v>0.175438597798347</v>
      </c>
      <c r="Q698" s="24">
        <v>0.87719297409057595</v>
      </c>
      <c r="R698" s="25">
        <v>0.12280701754385964</v>
      </c>
      <c r="S698" s="25">
        <v>0</v>
      </c>
      <c r="T698" s="25">
        <v>0.14619883040935672</v>
      </c>
    </row>
    <row r="699" spans="1:20" x14ac:dyDescent="0.25">
      <c r="A699" s="8" t="s">
        <v>1471</v>
      </c>
      <c r="B699" s="8" t="s">
        <v>1472</v>
      </c>
      <c r="C699" s="8" t="s">
        <v>3540</v>
      </c>
      <c r="D699" s="8">
        <v>393</v>
      </c>
      <c r="E699" s="24">
        <v>0.43002545833587602</v>
      </c>
      <c r="F699" s="24">
        <v>0.56997454166412298</v>
      </c>
      <c r="G699" s="23">
        <v>0</v>
      </c>
      <c r="H699" s="23">
        <v>1.7811704427003899E-2</v>
      </c>
      <c r="I699" s="23">
        <v>8.3969466388225597E-2</v>
      </c>
      <c r="J699" s="24">
        <v>0.85496181249618497</v>
      </c>
      <c r="K699" s="23">
        <v>5.0890585407615003E-3</v>
      </c>
      <c r="L699" s="23">
        <v>5.0890585407615003E-3</v>
      </c>
      <c r="M699" s="23">
        <v>3.3078879117965698E-2</v>
      </c>
      <c r="N699" s="23">
        <v>0</v>
      </c>
      <c r="O699" s="24">
        <v>0.14758269488811401</v>
      </c>
      <c r="P699" s="24">
        <v>0.48091602325439398</v>
      </c>
      <c r="Q699" s="24">
        <v>0.88295167684554998</v>
      </c>
      <c r="R699" s="25">
        <v>2.7989821882951654E-2</v>
      </c>
      <c r="S699" s="25">
        <v>0</v>
      </c>
      <c r="T699" s="25">
        <v>0.12468193384223919</v>
      </c>
    </row>
    <row r="700" spans="1:20" x14ac:dyDescent="0.25">
      <c r="A700" s="8" t="s">
        <v>1473</v>
      </c>
      <c r="B700" s="8" t="s">
        <v>1474</v>
      </c>
      <c r="C700" s="8" t="s">
        <v>3540</v>
      </c>
      <c r="D700" s="8">
        <v>290</v>
      </c>
      <c r="E700" s="24">
        <v>0.53793102502822798</v>
      </c>
      <c r="F700" s="24">
        <v>0.46206897497177102</v>
      </c>
      <c r="G700" s="23">
        <v>0</v>
      </c>
      <c r="H700" s="23">
        <v>0</v>
      </c>
      <c r="I700" s="23">
        <v>0.22413793206214899</v>
      </c>
      <c r="J700" s="24">
        <v>0.66206896305084195</v>
      </c>
      <c r="K700" s="23">
        <v>3.1034482643008201E-2</v>
      </c>
      <c r="L700" s="23">
        <v>3.4482758492231E-3</v>
      </c>
      <c r="M700" s="23">
        <v>7.9310342669487E-2</v>
      </c>
      <c r="N700" s="23">
        <v>0</v>
      </c>
      <c r="O700" s="24">
        <v>0.26206895709037697</v>
      </c>
      <c r="P700" s="23">
        <v>7.9310342669487E-2</v>
      </c>
      <c r="Q700" s="24">
        <v>0.78965514898300104</v>
      </c>
      <c r="R700" s="25">
        <v>9.3103448275862075E-2</v>
      </c>
      <c r="S700" s="25">
        <v>0</v>
      </c>
      <c r="T700" s="25">
        <v>0.15517241379310345</v>
      </c>
    </row>
    <row r="701" spans="1:20" x14ac:dyDescent="0.25">
      <c r="A701" s="8" t="s">
        <v>1475</v>
      </c>
      <c r="B701" s="8" t="s">
        <v>1476</v>
      </c>
      <c r="C701" s="8" t="s">
        <v>3540</v>
      </c>
      <c r="D701" s="8">
        <v>262</v>
      </c>
      <c r="E701" s="24">
        <v>0.48091602325439398</v>
      </c>
      <c r="F701" s="24">
        <v>0.51908397674560502</v>
      </c>
      <c r="G701" s="23">
        <v>0</v>
      </c>
      <c r="H701" s="24">
        <v>0.11832061409950199</v>
      </c>
      <c r="I701" s="24">
        <v>0.1412213742733</v>
      </c>
      <c r="J701" s="24">
        <v>0.70610684156417802</v>
      </c>
      <c r="K701" s="23">
        <v>3.8167939055711001E-3</v>
      </c>
      <c r="L701" s="23">
        <v>3.8167939055711001E-3</v>
      </c>
      <c r="M701" s="23">
        <v>2.6717556640505801E-2</v>
      </c>
      <c r="N701" s="23">
        <v>0</v>
      </c>
      <c r="O701" s="24">
        <v>0.23282442986965099</v>
      </c>
      <c r="P701" s="24">
        <v>0.171755731105804</v>
      </c>
      <c r="Q701" s="24">
        <v>0.87786257266998202</v>
      </c>
      <c r="R701" s="25">
        <v>9.1603053435114504E-2</v>
      </c>
      <c r="S701" s="25">
        <v>0</v>
      </c>
      <c r="T701" s="25">
        <v>0.14885496183206107</v>
      </c>
    </row>
    <row r="702" spans="1:20" x14ac:dyDescent="0.25">
      <c r="A702" s="8" t="s">
        <v>1477</v>
      </c>
      <c r="B702" s="8" t="s">
        <v>1478</v>
      </c>
      <c r="C702" s="8" t="s">
        <v>3540</v>
      </c>
      <c r="D702" s="8">
        <v>447</v>
      </c>
      <c r="E702" s="24">
        <v>0.48545861244201599</v>
      </c>
      <c r="F702" s="24">
        <v>0.51454138755798295</v>
      </c>
      <c r="G702" s="23">
        <v>0</v>
      </c>
      <c r="H702" s="23">
        <v>4.4742729514836996E-3</v>
      </c>
      <c r="I702" s="24">
        <v>0.221476510167121</v>
      </c>
      <c r="J702" s="24">
        <v>0.74049216508865301</v>
      </c>
      <c r="K702" s="23">
        <v>6.7114094272256002E-3</v>
      </c>
      <c r="L702" s="23">
        <v>8.9485459029674998E-3</v>
      </c>
      <c r="M702" s="23">
        <v>1.7897091805934899E-2</v>
      </c>
      <c r="N702" s="23">
        <v>0</v>
      </c>
      <c r="O702" s="24">
        <v>0.37807607650756803</v>
      </c>
      <c r="P702" s="24">
        <v>0.203579410910606</v>
      </c>
      <c r="Q702" s="24">
        <v>0.92841166257858199</v>
      </c>
      <c r="R702" s="25">
        <v>0.20805369127516779</v>
      </c>
      <c r="S702" s="25">
        <v>2.2371364653243847E-3</v>
      </c>
      <c r="T702" s="25">
        <v>0.14093959731543623</v>
      </c>
    </row>
    <row r="703" spans="1:20" x14ac:dyDescent="0.25">
      <c r="A703" s="8" t="s">
        <v>1479</v>
      </c>
      <c r="B703" s="8" t="s">
        <v>1480</v>
      </c>
      <c r="C703" s="8" t="s">
        <v>3540</v>
      </c>
      <c r="D703" s="8">
        <v>203</v>
      </c>
      <c r="E703" s="24">
        <v>0.487684726715087</v>
      </c>
      <c r="F703" s="24">
        <v>0.512315273284912</v>
      </c>
      <c r="G703" s="23">
        <v>0</v>
      </c>
      <c r="H703" s="23">
        <v>4.9261082895100004E-3</v>
      </c>
      <c r="I703" s="24">
        <v>0.42857143282890298</v>
      </c>
      <c r="J703" s="24">
        <v>0.53201967477798395</v>
      </c>
      <c r="K703" s="23">
        <v>0</v>
      </c>
      <c r="L703" s="23">
        <v>4.9261082895100004E-3</v>
      </c>
      <c r="M703" s="23">
        <v>2.95566506683826E-2</v>
      </c>
      <c r="N703" s="23">
        <v>0</v>
      </c>
      <c r="O703" s="24">
        <v>0.36453202366828902</v>
      </c>
      <c r="P703" s="24">
        <v>0.152709364891052</v>
      </c>
      <c r="Q703" s="24">
        <v>0.95073890686035101</v>
      </c>
      <c r="R703" s="25">
        <v>3.4482758620689655E-2</v>
      </c>
      <c r="S703" s="25">
        <v>0</v>
      </c>
      <c r="T703" s="25">
        <v>0.33990147783251229</v>
      </c>
    </row>
    <row r="704" spans="1:20" x14ac:dyDescent="0.25">
      <c r="A704" s="8" t="s">
        <v>1481</v>
      </c>
      <c r="B704" s="8" t="s">
        <v>1482</v>
      </c>
      <c r="C704" s="8" t="s">
        <v>3540</v>
      </c>
      <c r="D704" s="8">
        <v>1028</v>
      </c>
      <c r="E704" s="24">
        <v>0.45428016781806901</v>
      </c>
      <c r="F704" s="24">
        <v>0.544747054576873</v>
      </c>
      <c r="G704" s="23">
        <v>9.7276264568790002E-4</v>
      </c>
      <c r="H704" s="23">
        <v>5.8365758508443798E-2</v>
      </c>
      <c r="I704" s="24">
        <v>0.17412450909614499</v>
      </c>
      <c r="J704" s="24">
        <v>0.42120623588562001</v>
      </c>
      <c r="K704" s="23">
        <v>4.1828792542219197E-2</v>
      </c>
      <c r="L704" s="23">
        <v>4.8638130538166003E-3</v>
      </c>
      <c r="M704" s="24">
        <v>0.29766535758972101</v>
      </c>
      <c r="N704" s="23">
        <v>1.9455252913758E-3</v>
      </c>
      <c r="O704" s="24">
        <v>0.20817120373249001</v>
      </c>
      <c r="P704" s="23">
        <v>4.7665368765592603E-2</v>
      </c>
      <c r="Q704" s="24">
        <v>0.60894942283630304</v>
      </c>
      <c r="R704" s="25">
        <v>5.642023346303502E-2</v>
      </c>
      <c r="S704" s="25">
        <v>1.7509727626459144E-2</v>
      </c>
      <c r="T704" s="25">
        <v>0.13910505836575876</v>
      </c>
    </row>
    <row r="705" spans="1:20" x14ac:dyDescent="0.25">
      <c r="A705" s="8" t="s">
        <v>1483</v>
      </c>
      <c r="B705" s="8" t="s">
        <v>1484</v>
      </c>
      <c r="C705" s="8" t="s">
        <v>3540</v>
      </c>
      <c r="D705" s="8">
        <v>83</v>
      </c>
      <c r="E705" s="24">
        <v>0.60240966081619196</v>
      </c>
      <c r="F705" s="24">
        <v>0.39759036898612898</v>
      </c>
      <c r="G705" s="23">
        <v>0</v>
      </c>
      <c r="H705" s="23">
        <v>1.20481923222542E-2</v>
      </c>
      <c r="I705" s="23">
        <v>9.6385538578033406E-2</v>
      </c>
      <c r="J705" s="24">
        <v>0.66265058517455999</v>
      </c>
      <c r="K705" s="23">
        <v>1.20481923222542E-2</v>
      </c>
      <c r="L705" s="23">
        <v>1.20481923222542E-2</v>
      </c>
      <c r="M705" s="24">
        <v>0.20481927692890101</v>
      </c>
      <c r="N705" s="23">
        <v>0</v>
      </c>
      <c r="O705" s="24">
        <v>0.15662650763988401</v>
      </c>
      <c r="P705" s="24">
        <v>0.18072289228439301</v>
      </c>
      <c r="Q705" s="24">
        <v>0.60240966081619196</v>
      </c>
      <c r="R705" s="25">
        <v>0</v>
      </c>
      <c r="S705" s="25">
        <v>0</v>
      </c>
      <c r="T705" s="25">
        <v>0.10843373493975904</v>
      </c>
    </row>
    <row r="706" spans="1:20" x14ac:dyDescent="0.25">
      <c r="A706" s="8" t="s">
        <v>1485</v>
      </c>
      <c r="B706" s="8" t="s">
        <v>1486</v>
      </c>
      <c r="C706" s="8" t="s">
        <v>3540</v>
      </c>
      <c r="D706" s="8">
        <v>393</v>
      </c>
      <c r="E706" s="24">
        <v>0.45038166642188998</v>
      </c>
      <c r="F706" s="24">
        <v>0.54961830377578702</v>
      </c>
      <c r="G706" s="23">
        <v>0</v>
      </c>
      <c r="H706" s="23">
        <v>2.0356234163045901E-2</v>
      </c>
      <c r="I706" s="24">
        <v>0.201017811894416</v>
      </c>
      <c r="J706" s="24">
        <v>0.69465649127960205</v>
      </c>
      <c r="K706" s="23">
        <v>1.27226458862424E-2</v>
      </c>
      <c r="L706" s="23">
        <v>5.0890585407615003E-3</v>
      </c>
      <c r="M706" s="23">
        <v>6.6157758235931396E-2</v>
      </c>
      <c r="N706" s="23">
        <v>0</v>
      </c>
      <c r="O706" s="24">
        <v>0.36895674467086698</v>
      </c>
      <c r="P706" s="24">
        <v>0.145038172602653</v>
      </c>
      <c r="Q706" s="24">
        <v>0.90076333284377996</v>
      </c>
      <c r="R706" s="25">
        <v>0.15776081424936386</v>
      </c>
      <c r="S706" s="25">
        <v>3.0534351145038167E-2</v>
      </c>
      <c r="T706" s="25">
        <v>0.17302798982188294</v>
      </c>
    </row>
    <row r="707" spans="1:20" x14ac:dyDescent="0.25">
      <c r="A707" s="8" t="s">
        <v>1487</v>
      </c>
      <c r="B707" s="8" t="s">
        <v>1488</v>
      </c>
      <c r="C707" s="8" t="s">
        <v>3540</v>
      </c>
      <c r="D707" s="8">
        <v>556</v>
      </c>
      <c r="E707" s="24">
        <v>0.50899279117584195</v>
      </c>
      <c r="F707" s="24">
        <v>0.49100720882415699</v>
      </c>
      <c r="G707" s="23">
        <v>0</v>
      </c>
      <c r="H707" s="23">
        <v>5.5755395442247398E-2</v>
      </c>
      <c r="I707" s="23">
        <v>2.3381294682622001E-2</v>
      </c>
      <c r="J707" s="24">
        <v>0.50899279117584195</v>
      </c>
      <c r="K707" s="23">
        <v>6.8345323204994202E-2</v>
      </c>
      <c r="L707" s="23">
        <v>3.5971223842353002E-3</v>
      </c>
      <c r="M707" s="24">
        <v>0.33992806077003401</v>
      </c>
      <c r="N707" s="23">
        <v>0</v>
      </c>
      <c r="O707" s="24">
        <v>0.21762590110301899</v>
      </c>
      <c r="P707" s="23">
        <v>5.7553958147764199E-2</v>
      </c>
      <c r="Q707" s="24">
        <v>0.48920863866806003</v>
      </c>
      <c r="R707" s="25">
        <v>1.2589928057553957E-2</v>
      </c>
      <c r="S707" s="25">
        <v>0</v>
      </c>
      <c r="T707" s="25">
        <v>0.20863309352517986</v>
      </c>
    </row>
    <row r="708" spans="1:20" x14ac:dyDescent="0.25">
      <c r="A708" s="8" t="s">
        <v>1489</v>
      </c>
      <c r="B708" s="8" t="s">
        <v>1490</v>
      </c>
      <c r="C708" s="8" t="s">
        <v>3540</v>
      </c>
      <c r="D708" s="8">
        <v>773</v>
      </c>
      <c r="E708" s="24">
        <v>0.43855109810829102</v>
      </c>
      <c r="F708" s="24">
        <v>0.56015521287918002</v>
      </c>
      <c r="G708" s="23">
        <v>1.2936610728502E-3</v>
      </c>
      <c r="H708" s="23">
        <v>0.48124191164970398</v>
      </c>
      <c r="I708" s="23">
        <v>9.9611900746822399E-2</v>
      </c>
      <c r="J708" s="24">
        <v>0.106080204248428</v>
      </c>
      <c r="K708" s="23">
        <v>2.9754204675555201E-2</v>
      </c>
      <c r="L708" s="23">
        <v>9.0556275099516002E-3</v>
      </c>
      <c r="M708" s="24">
        <v>0.210866749286651</v>
      </c>
      <c r="N708" s="23">
        <v>6.3389390707016005E-2</v>
      </c>
      <c r="O708" s="23">
        <v>3.4928847104311003E-2</v>
      </c>
      <c r="P708" s="23">
        <v>0</v>
      </c>
      <c r="Q708" s="23">
        <v>0.54592496156692505</v>
      </c>
      <c r="R708" s="25">
        <v>0</v>
      </c>
      <c r="S708" s="25">
        <v>0</v>
      </c>
      <c r="T708" s="25">
        <v>3.3635187580853813E-2</v>
      </c>
    </row>
    <row r="709" spans="1:20" x14ac:dyDescent="0.25">
      <c r="A709" s="8" t="s">
        <v>1491</v>
      </c>
      <c r="B709" s="8" t="s">
        <v>1492</v>
      </c>
      <c r="C709" s="8" t="s">
        <v>3540</v>
      </c>
      <c r="D709" s="8">
        <v>425</v>
      </c>
      <c r="E709" s="24">
        <v>0.41176471114158603</v>
      </c>
      <c r="F709" s="24">
        <v>0.58823531866073597</v>
      </c>
      <c r="G709" s="23">
        <v>0</v>
      </c>
      <c r="H709" s="23">
        <v>3.0588235706090899E-2</v>
      </c>
      <c r="I709" s="24">
        <v>0.25411763787269498</v>
      </c>
      <c r="J709" s="24">
        <v>0.62117648124694802</v>
      </c>
      <c r="K709" s="23">
        <v>9.4117643311620001E-3</v>
      </c>
      <c r="L709" s="23">
        <v>1.41176469624043E-2</v>
      </c>
      <c r="M709" s="23">
        <v>3.7647057324647903E-2</v>
      </c>
      <c r="N709" s="23">
        <v>3.2941177487373401E-2</v>
      </c>
      <c r="O709" s="23">
        <v>0.239999994635582</v>
      </c>
      <c r="P709" s="24">
        <v>0.129411771893501</v>
      </c>
      <c r="Q709" s="24">
        <v>0.79764705896377497</v>
      </c>
      <c r="R709" s="25">
        <v>2.352941176470588E-3</v>
      </c>
      <c r="S709" s="25">
        <v>0</v>
      </c>
      <c r="T709" s="25">
        <v>0.21411764705882352</v>
      </c>
    </row>
    <row r="710" spans="1:20" x14ac:dyDescent="0.25">
      <c r="A710" s="8" t="s">
        <v>1493</v>
      </c>
      <c r="B710" s="8" t="s">
        <v>1494</v>
      </c>
      <c r="C710" s="8" t="s">
        <v>3540</v>
      </c>
      <c r="D710" s="8">
        <v>422</v>
      </c>
      <c r="E710" s="24">
        <v>0.44549763202667197</v>
      </c>
      <c r="F710" s="24">
        <v>0.55213272571563698</v>
      </c>
      <c r="G710" s="23">
        <v>2.3696683347224998E-3</v>
      </c>
      <c r="H710" s="23">
        <v>7.1090045385062998E-3</v>
      </c>
      <c r="I710" s="24">
        <v>0.158767774701118</v>
      </c>
      <c r="J710" s="24">
        <v>0.80568718910217196</v>
      </c>
      <c r="K710" s="23">
        <v>2.3696683347224998E-3</v>
      </c>
      <c r="L710" s="23">
        <v>7.1090045385062998E-3</v>
      </c>
      <c r="M710" s="23">
        <v>1.18483416736126E-2</v>
      </c>
      <c r="N710" s="23">
        <v>7.1090045385062998E-3</v>
      </c>
      <c r="O710" s="24">
        <v>0.23222748935222601</v>
      </c>
      <c r="P710" s="23">
        <v>0.37914693355560303</v>
      </c>
      <c r="Q710" s="24">
        <v>0.95260661840438798</v>
      </c>
      <c r="R710" s="25">
        <v>0</v>
      </c>
      <c r="S710" s="25">
        <v>6.398104265402843E-2</v>
      </c>
      <c r="T710" s="25">
        <v>0.1872037914691943</v>
      </c>
    </row>
    <row r="711" spans="1:20" x14ac:dyDescent="0.25">
      <c r="A711" s="8" t="s">
        <v>1495</v>
      </c>
      <c r="B711" s="8" t="s">
        <v>1496</v>
      </c>
      <c r="C711" s="8" t="s">
        <v>3540</v>
      </c>
      <c r="D711" s="8">
        <v>489</v>
      </c>
      <c r="E711" s="24">
        <v>0.46830266714096003</v>
      </c>
      <c r="F711" s="24">
        <v>0.53169733285903897</v>
      </c>
      <c r="G711" s="23">
        <v>0</v>
      </c>
      <c r="H711" s="23">
        <v>1.2269938364625E-2</v>
      </c>
      <c r="I711" s="24">
        <v>0.13496932387351901</v>
      </c>
      <c r="J711" s="24">
        <v>0.77505111694335904</v>
      </c>
      <c r="K711" s="23">
        <v>0</v>
      </c>
      <c r="L711" s="23">
        <v>2.0449897274375001E-3</v>
      </c>
      <c r="M711" s="23">
        <v>2.4539876729249999E-2</v>
      </c>
      <c r="N711" s="23">
        <v>5.112474411726E-2</v>
      </c>
      <c r="O711" s="24">
        <v>0.18200409412384</v>
      </c>
      <c r="P711" s="24">
        <v>0.41717791557312001</v>
      </c>
      <c r="Q711" s="24">
        <v>0.86298567056655795</v>
      </c>
      <c r="R711" s="25">
        <v>2.0449897750511249E-3</v>
      </c>
      <c r="S711" s="25">
        <v>0</v>
      </c>
      <c r="T711" s="25">
        <v>0.16564417177914109</v>
      </c>
    </row>
    <row r="712" spans="1:20" x14ac:dyDescent="0.25">
      <c r="A712" s="8" t="s">
        <v>1497</v>
      </c>
      <c r="B712" s="8" t="s">
        <v>1498</v>
      </c>
      <c r="C712" s="8" t="s">
        <v>3540</v>
      </c>
      <c r="D712" s="8">
        <v>527</v>
      </c>
      <c r="E712" s="24">
        <v>0.34724858403205799</v>
      </c>
      <c r="F712" s="24">
        <v>0.65275144577026301</v>
      </c>
      <c r="G712" s="23">
        <v>0</v>
      </c>
      <c r="H712" s="23">
        <v>3.2258063554763801E-2</v>
      </c>
      <c r="I712" s="24">
        <v>0.187855780124664</v>
      </c>
      <c r="J712" s="24">
        <v>0.70777988433837802</v>
      </c>
      <c r="K712" s="23">
        <v>0</v>
      </c>
      <c r="L712" s="23">
        <v>3.7950663827360002E-3</v>
      </c>
      <c r="M712" s="23">
        <v>2.4667931720614399E-2</v>
      </c>
      <c r="N712" s="23">
        <v>4.3643262237310403E-2</v>
      </c>
      <c r="O712" s="24">
        <v>0.201138526201248</v>
      </c>
      <c r="P712" s="24">
        <v>0.27134725451469399</v>
      </c>
      <c r="Q712" s="24">
        <v>0.84250473976135198</v>
      </c>
      <c r="R712" s="25">
        <v>0</v>
      </c>
      <c r="S712" s="25">
        <v>0</v>
      </c>
      <c r="T712" s="25">
        <v>0.17836812144212524</v>
      </c>
    </row>
    <row r="713" spans="1:20" x14ac:dyDescent="0.25">
      <c r="A713" s="8" t="s">
        <v>1499</v>
      </c>
      <c r="B713" s="8" t="s">
        <v>1500</v>
      </c>
      <c r="C713" s="8" t="s">
        <v>3540</v>
      </c>
      <c r="D713" s="8">
        <v>590</v>
      </c>
      <c r="E713" s="24">
        <v>0.58983051776885898</v>
      </c>
      <c r="F713" s="24">
        <v>0.41016948223114003</v>
      </c>
      <c r="G713" s="23">
        <v>0</v>
      </c>
      <c r="H713" s="23">
        <v>1.5254237689077899E-2</v>
      </c>
      <c r="I713" s="24">
        <v>0.39661017060279802</v>
      </c>
      <c r="J713" s="24">
        <v>0.52711862325668302</v>
      </c>
      <c r="K713" s="23">
        <v>5.0847455859183996E-3</v>
      </c>
      <c r="L713" s="23">
        <v>8.4745762869716003E-3</v>
      </c>
      <c r="M713" s="23">
        <v>2.0338982343673699E-2</v>
      </c>
      <c r="N713" s="23">
        <v>2.7118643745780002E-2</v>
      </c>
      <c r="O713" s="24">
        <v>0.166101694107055</v>
      </c>
      <c r="P713" s="23">
        <v>5.2542373538017301E-2</v>
      </c>
      <c r="Q713" s="24">
        <v>0.86101692914962702</v>
      </c>
      <c r="R713" s="25">
        <v>0</v>
      </c>
      <c r="S713" s="25">
        <v>0</v>
      </c>
      <c r="T713" s="25">
        <v>0.15254237288135594</v>
      </c>
    </row>
    <row r="714" spans="1:20" x14ac:dyDescent="0.25">
      <c r="A714" s="8" t="s">
        <v>1501</v>
      </c>
      <c r="B714" s="8" t="s">
        <v>1502</v>
      </c>
      <c r="C714" s="8" t="s">
        <v>3540</v>
      </c>
      <c r="D714" s="8">
        <v>624</v>
      </c>
      <c r="E714" s="24">
        <v>0.39903846383094699</v>
      </c>
      <c r="F714" s="24">
        <v>0.60096156597137396</v>
      </c>
      <c r="G714" s="23">
        <v>0</v>
      </c>
      <c r="H714" s="23">
        <v>3.36538478732109E-2</v>
      </c>
      <c r="I714" s="24">
        <v>0.25641027092933599</v>
      </c>
      <c r="J714" s="24">
        <v>0.63141024112701405</v>
      </c>
      <c r="K714" s="23">
        <v>9.6153849735856004E-3</v>
      </c>
      <c r="L714" s="23">
        <v>8.0128209665418001E-3</v>
      </c>
      <c r="M714" s="23">
        <v>5.6089743971824597E-2</v>
      </c>
      <c r="N714" s="23">
        <v>4.8076924867928002E-3</v>
      </c>
      <c r="O714" s="24">
        <v>0.24038460850715601</v>
      </c>
      <c r="P714" s="23">
        <v>4.8076923936605502E-2</v>
      </c>
      <c r="Q714" s="24">
        <v>0.86538463830947798</v>
      </c>
      <c r="R714" s="25">
        <v>0</v>
      </c>
      <c r="S714" s="25">
        <v>1.6025641025641025E-3</v>
      </c>
      <c r="T714" s="25">
        <v>0.24358974358974358</v>
      </c>
    </row>
    <row r="715" spans="1:20" x14ac:dyDescent="0.25">
      <c r="A715" s="8" t="s">
        <v>1503</v>
      </c>
      <c r="B715" s="8" t="s">
        <v>1504</v>
      </c>
      <c r="C715" s="8" t="s">
        <v>3540</v>
      </c>
      <c r="D715" s="8">
        <v>668</v>
      </c>
      <c r="E715" s="24">
        <v>0.49850299954414301</v>
      </c>
      <c r="F715" s="24">
        <v>0.50149703025817804</v>
      </c>
      <c r="G715" s="23">
        <v>0</v>
      </c>
      <c r="H715" s="23">
        <v>2.8443112969398499E-2</v>
      </c>
      <c r="I715" s="24">
        <v>0.173652693629264</v>
      </c>
      <c r="J715" s="23">
        <v>0.70359283685684204</v>
      </c>
      <c r="K715" s="23">
        <v>5.9880241751671002E-3</v>
      </c>
      <c r="L715" s="23">
        <v>2.9940120875834998E-3</v>
      </c>
      <c r="M715" s="23">
        <v>5.0898201763629899E-2</v>
      </c>
      <c r="N715" s="23">
        <v>3.4431137144565603E-2</v>
      </c>
      <c r="O715" s="24">
        <v>0.25299400091171198</v>
      </c>
      <c r="P715" s="23">
        <v>6.4371258020401001E-2</v>
      </c>
      <c r="Q715" s="24">
        <v>0.85479038953781095</v>
      </c>
      <c r="R715" s="25">
        <v>1.4970059880239522E-3</v>
      </c>
      <c r="S715" s="25">
        <v>1.4970059880239522E-3</v>
      </c>
      <c r="T715" s="25">
        <v>0.23802395209580837</v>
      </c>
    </row>
    <row r="716" spans="1:20" x14ac:dyDescent="0.25">
      <c r="A716" s="8" t="s">
        <v>1505</v>
      </c>
      <c r="B716" s="8" t="s">
        <v>1506</v>
      </c>
      <c r="C716" s="8" t="s">
        <v>3540</v>
      </c>
      <c r="D716" s="8">
        <v>370</v>
      </c>
      <c r="E716" s="24">
        <v>0.529729723930358</v>
      </c>
      <c r="F716" s="24">
        <v>0.470270276069641</v>
      </c>
      <c r="G716" s="23">
        <v>0</v>
      </c>
      <c r="H716" s="23">
        <v>2.70270276814699E-2</v>
      </c>
      <c r="I716" s="23">
        <v>9.4594597816467299E-2</v>
      </c>
      <c r="J716" s="24">
        <v>0.62972974777221602</v>
      </c>
      <c r="K716" s="23">
        <v>8.1081083044409995E-3</v>
      </c>
      <c r="L716" s="23">
        <v>8.1081083044409995E-3</v>
      </c>
      <c r="M716" s="24">
        <v>0.23243242502212499</v>
      </c>
      <c r="N716" s="23">
        <v>0</v>
      </c>
      <c r="O716" s="24">
        <v>0.29189190268516502</v>
      </c>
      <c r="P716" s="23">
        <v>6.4864866435527802E-2</v>
      </c>
      <c r="Q716" s="23">
        <v>0.74594593048095703</v>
      </c>
      <c r="R716" s="25">
        <v>0</v>
      </c>
      <c r="S716" s="25">
        <v>7.8378378378378383E-2</v>
      </c>
      <c r="T716" s="25">
        <v>0.21081081081081082</v>
      </c>
    </row>
    <row r="717" spans="1:20" x14ac:dyDescent="0.25">
      <c r="A717" s="8" t="s">
        <v>1507</v>
      </c>
      <c r="B717" s="8" t="s">
        <v>1508</v>
      </c>
      <c r="C717" s="8" t="s">
        <v>3540</v>
      </c>
      <c r="D717" s="8">
        <v>335</v>
      </c>
      <c r="E717" s="24">
        <v>0.43880596756935097</v>
      </c>
      <c r="F717" s="24">
        <v>0.55820894241332997</v>
      </c>
      <c r="G717" s="23">
        <v>2.9850746504962002E-3</v>
      </c>
      <c r="H717" s="23">
        <v>2.9850746504962002E-3</v>
      </c>
      <c r="I717" s="24">
        <v>0.19104477763175901</v>
      </c>
      <c r="J717" s="24">
        <v>0.76417911052703802</v>
      </c>
      <c r="K717" s="23">
        <v>1.49253727868199E-2</v>
      </c>
      <c r="L717" s="23">
        <v>5.9701493009925001E-3</v>
      </c>
      <c r="M717" s="23">
        <v>2.0895522087812399E-2</v>
      </c>
      <c r="N717" s="23">
        <v>0</v>
      </c>
      <c r="O717" s="24">
        <v>0.31044775247573803</v>
      </c>
      <c r="P717" s="24">
        <v>0.128358215093612</v>
      </c>
      <c r="Q717" s="24">
        <v>0.85373133420944203</v>
      </c>
      <c r="R717" s="25">
        <v>8.0597014925373134E-2</v>
      </c>
      <c r="S717" s="25">
        <v>2.9850746268656716E-2</v>
      </c>
      <c r="T717" s="25">
        <v>0.19402985074626866</v>
      </c>
    </row>
    <row r="718" spans="1:20" x14ac:dyDescent="0.25">
      <c r="A718" s="8" t="s">
        <v>1509</v>
      </c>
      <c r="B718" s="8" t="s">
        <v>1510</v>
      </c>
      <c r="C718" s="8" t="s">
        <v>3540</v>
      </c>
      <c r="D718" s="8">
        <v>364</v>
      </c>
      <c r="E718" s="24">
        <v>0.44780218601226801</v>
      </c>
      <c r="F718" s="24">
        <v>0.55219781398773105</v>
      </c>
      <c r="G718" s="23">
        <v>0</v>
      </c>
      <c r="H718" s="23">
        <v>2.7472528163344002E-3</v>
      </c>
      <c r="I718" s="24">
        <v>0.35989010334014798</v>
      </c>
      <c r="J718" s="24">
        <v>0.54395604133605902</v>
      </c>
      <c r="K718" s="23">
        <v>1.09890112653375E-2</v>
      </c>
      <c r="L718" s="23">
        <v>1.09890112653375E-2</v>
      </c>
      <c r="M718" s="23">
        <v>2.7472527697682401E-2</v>
      </c>
      <c r="N718" s="23">
        <v>4.3956045061349897E-2</v>
      </c>
      <c r="O718" s="24">
        <v>0.35989010334014798</v>
      </c>
      <c r="P718" s="24">
        <v>0.14285714924335399</v>
      </c>
      <c r="Q718" s="24">
        <v>0.92307692766189497</v>
      </c>
      <c r="R718" s="25">
        <v>5.4945054945054949E-3</v>
      </c>
      <c r="S718" s="25">
        <v>0</v>
      </c>
      <c r="T718" s="25">
        <v>0.33791208791208793</v>
      </c>
    </row>
    <row r="719" spans="1:20" x14ac:dyDescent="0.25">
      <c r="A719" s="8" t="s">
        <v>1511</v>
      </c>
      <c r="B719" s="8" t="s">
        <v>1512</v>
      </c>
      <c r="C719" s="8" t="s">
        <v>3540</v>
      </c>
      <c r="D719" s="8">
        <v>440</v>
      </c>
      <c r="E719" s="24">
        <v>0.113636367022991</v>
      </c>
      <c r="F719" s="24">
        <v>0.886363625526428</v>
      </c>
      <c r="G719" s="23">
        <v>0</v>
      </c>
      <c r="H719" s="23">
        <v>2.04545445740223E-2</v>
      </c>
      <c r="I719" s="24">
        <v>0.40000000596046398</v>
      </c>
      <c r="J719" s="24">
        <v>0.50909090042114202</v>
      </c>
      <c r="K719" s="23">
        <v>6.8181818351150001E-3</v>
      </c>
      <c r="L719" s="23">
        <v>1.8181817606091499E-2</v>
      </c>
      <c r="M719" s="23">
        <v>3.1818181276321397E-2</v>
      </c>
      <c r="N719" s="23">
        <v>1.36363636702299E-2</v>
      </c>
      <c r="O719" s="24">
        <v>0.284090906381607</v>
      </c>
      <c r="P719" s="23">
        <v>4.7727271914482103E-2</v>
      </c>
      <c r="Q719" s="24">
        <v>0.863636374473571</v>
      </c>
      <c r="R719" s="25">
        <v>2.2727272727272726E-3</v>
      </c>
      <c r="S719" s="25">
        <v>2.9545454545454545E-2</v>
      </c>
      <c r="T719" s="25">
        <v>0.24318181818181819</v>
      </c>
    </row>
    <row r="720" spans="1:20" x14ac:dyDescent="0.25">
      <c r="A720" s="8" t="s">
        <v>1513</v>
      </c>
      <c r="B720" s="8" t="s">
        <v>1514</v>
      </c>
      <c r="C720" s="8" t="s">
        <v>3540</v>
      </c>
      <c r="D720" s="8">
        <v>254</v>
      </c>
      <c r="E720" s="23">
        <v>1</v>
      </c>
      <c r="F720" s="23">
        <v>0</v>
      </c>
      <c r="G720" s="23">
        <v>0</v>
      </c>
      <c r="H720" s="23">
        <v>6.69291317462921E-2</v>
      </c>
      <c r="I720" s="24">
        <v>0.46062991023063599</v>
      </c>
      <c r="J720" s="24">
        <v>0.40157479047775202</v>
      </c>
      <c r="K720" s="23">
        <v>3.9370078593493002E-3</v>
      </c>
      <c r="L720" s="23">
        <v>7.8740157186984999E-3</v>
      </c>
      <c r="M720" s="23">
        <v>5.5118110030889497E-2</v>
      </c>
      <c r="N720" s="23">
        <v>3.9370078593493002E-3</v>
      </c>
      <c r="O720" s="24">
        <v>0.26771652698516801</v>
      </c>
      <c r="P720" s="24">
        <v>0.12992125749587999</v>
      </c>
      <c r="Q720" s="24">
        <v>0.90944880247116</v>
      </c>
      <c r="R720" s="25">
        <v>3.937007874015748E-3</v>
      </c>
      <c r="S720" s="25">
        <v>7.874015748031496E-3</v>
      </c>
      <c r="T720" s="25">
        <v>0.20866141732283464</v>
      </c>
    </row>
    <row r="721" spans="1:20" x14ac:dyDescent="0.25">
      <c r="A721" s="8" t="s">
        <v>1515</v>
      </c>
      <c r="B721" s="8" t="s">
        <v>1516</v>
      </c>
      <c r="C721" s="8" t="s">
        <v>3540</v>
      </c>
      <c r="D721" s="8">
        <v>182</v>
      </c>
      <c r="E721" s="24">
        <v>0.50549453496932895</v>
      </c>
      <c r="F721" s="24">
        <v>0.494505494832992</v>
      </c>
      <c r="G721" s="23">
        <v>0</v>
      </c>
      <c r="H721" s="23">
        <v>0</v>
      </c>
      <c r="I721" s="24">
        <v>0.14285714924335399</v>
      </c>
      <c r="J721" s="24">
        <v>0.83516484498977595</v>
      </c>
      <c r="K721" s="23">
        <v>0</v>
      </c>
      <c r="L721" s="23">
        <v>0</v>
      </c>
      <c r="M721" s="23">
        <v>5.4945056326686998E-3</v>
      </c>
      <c r="N721" s="23">
        <v>1.6483517363667499E-2</v>
      </c>
      <c r="O721" s="24">
        <v>0.340659350156784</v>
      </c>
      <c r="P721" s="24">
        <v>0.241758242249488</v>
      </c>
      <c r="Q721" s="24">
        <v>0.89010989665985096</v>
      </c>
      <c r="R721" s="25">
        <v>0</v>
      </c>
      <c r="S721" s="25">
        <v>0</v>
      </c>
      <c r="T721" s="25">
        <v>0.2967032967032967</v>
      </c>
    </row>
    <row r="722" spans="1:20" x14ac:dyDescent="0.25">
      <c r="A722" s="8" t="s">
        <v>1517</v>
      </c>
      <c r="B722" s="8" t="s">
        <v>1518</v>
      </c>
      <c r="C722" s="8" t="s">
        <v>3540</v>
      </c>
      <c r="D722" s="8">
        <v>668</v>
      </c>
      <c r="E722" s="23">
        <v>0.52994012832641602</v>
      </c>
      <c r="F722" s="23">
        <v>0.47005987167358398</v>
      </c>
      <c r="G722" s="23">
        <v>0</v>
      </c>
      <c r="H722" s="23">
        <v>4.49101813137531E-2</v>
      </c>
      <c r="I722" s="23">
        <v>1.04790423065424E-2</v>
      </c>
      <c r="J722" s="24">
        <v>0.90419161319732599</v>
      </c>
      <c r="K722" s="23">
        <v>1.4970060437918E-3</v>
      </c>
      <c r="L722" s="23">
        <v>0</v>
      </c>
      <c r="M722" s="23">
        <v>3.8922157138586003E-2</v>
      </c>
      <c r="N722" s="23">
        <v>0</v>
      </c>
      <c r="O722" s="24">
        <v>0.197604790329933</v>
      </c>
      <c r="P722" s="23">
        <v>0.45808383822441101</v>
      </c>
      <c r="Q722" s="24">
        <v>0.92215567827224698</v>
      </c>
      <c r="R722" s="25">
        <v>4.1916167664670656E-2</v>
      </c>
      <c r="S722" s="25">
        <v>0</v>
      </c>
      <c r="T722" s="25">
        <v>0.15269461077844312</v>
      </c>
    </row>
    <row r="723" spans="1:20" x14ac:dyDescent="0.25">
      <c r="A723" s="8" t="s">
        <v>1519</v>
      </c>
      <c r="B723" s="8" t="s">
        <v>1520</v>
      </c>
      <c r="C723" s="8" t="s">
        <v>3540</v>
      </c>
      <c r="D723" s="8">
        <v>844</v>
      </c>
      <c r="E723" s="23">
        <v>0.52132701873779297</v>
      </c>
      <c r="F723" s="23">
        <v>0.47867298126220698</v>
      </c>
      <c r="G723" s="23">
        <v>0</v>
      </c>
      <c r="H723" s="24">
        <v>0.10545023530721601</v>
      </c>
      <c r="I723" s="23">
        <v>5.8056872338056599E-2</v>
      </c>
      <c r="J723" s="24">
        <v>0.22630332410335499</v>
      </c>
      <c r="K723" s="24">
        <v>0.110189571976661</v>
      </c>
      <c r="L723" s="23">
        <v>0</v>
      </c>
      <c r="M723" s="23">
        <v>0.5</v>
      </c>
      <c r="N723" s="23">
        <v>0</v>
      </c>
      <c r="O723" s="24">
        <v>0.212085306644439</v>
      </c>
      <c r="P723" s="23">
        <v>4.0284361690282801E-2</v>
      </c>
      <c r="Q723" s="24">
        <v>0.216824650764465</v>
      </c>
      <c r="R723" s="25">
        <v>2.7251184834123223E-2</v>
      </c>
      <c r="S723" s="25">
        <v>0</v>
      </c>
      <c r="T723" s="25">
        <v>0.17890995260663506</v>
      </c>
    </row>
    <row r="724" spans="1:20" x14ac:dyDescent="0.25">
      <c r="A724" s="8" t="s">
        <v>1521</v>
      </c>
      <c r="B724" s="8" t="s">
        <v>1522</v>
      </c>
      <c r="C724" s="8" t="s">
        <v>3540</v>
      </c>
      <c r="D724" s="8">
        <v>399</v>
      </c>
      <c r="E724" s="24">
        <v>0.42606517672538702</v>
      </c>
      <c r="F724" s="24">
        <v>0.57393485307693404</v>
      </c>
      <c r="G724" s="23">
        <v>0</v>
      </c>
      <c r="H724" s="23">
        <v>1.50375943630934E-2</v>
      </c>
      <c r="I724" s="24">
        <v>0.37593984603881803</v>
      </c>
      <c r="J724" s="24">
        <v>0.433583945035934</v>
      </c>
      <c r="K724" s="23">
        <v>3.5087719559669502E-2</v>
      </c>
      <c r="L724" s="23">
        <v>2.5062656495720001E-3</v>
      </c>
      <c r="M724" s="24">
        <v>0.13784460723400099</v>
      </c>
      <c r="N724" s="23">
        <v>0</v>
      </c>
      <c r="O724" s="24">
        <v>0.49122807383537198</v>
      </c>
      <c r="P724" s="23">
        <v>8.5213035345077501E-2</v>
      </c>
      <c r="Q724" s="24">
        <v>0.85714286565780595</v>
      </c>
      <c r="R724" s="25">
        <v>0.13784461152882205</v>
      </c>
      <c r="S724" s="25">
        <v>5.0125313283208017E-3</v>
      </c>
      <c r="T724" s="25">
        <v>0.33082706766917291</v>
      </c>
    </row>
    <row r="725" spans="1:20" x14ac:dyDescent="0.25">
      <c r="A725" s="8" t="s">
        <v>1523</v>
      </c>
      <c r="B725" s="8" t="s">
        <v>1524</v>
      </c>
      <c r="C725" s="8" t="s">
        <v>3540</v>
      </c>
      <c r="D725" s="8">
        <v>545</v>
      </c>
      <c r="E725" s="24">
        <v>0.50275230407714799</v>
      </c>
      <c r="F725" s="24">
        <v>0.49724769592285101</v>
      </c>
      <c r="G725" s="23">
        <v>0</v>
      </c>
      <c r="H725" s="23">
        <v>4.5871559530496597E-2</v>
      </c>
      <c r="I725" s="23">
        <v>2.5688072666525799E-2</v>
      </c>
      <c r="J725" s="24">
        <v>0.85688072443008401</v>
      </c>
      <c r="K725" s="23">
        <v>7.3394495993852997E-3</v>
      </c>
      <c r="L725" s="23">
        <v>5.5045871995389002E-3</v>
      </c>
      <c r="M725" s="23">
        <v>5.8715596795082099E-2</v>
      </c>
      <c r="N725" s="23">
        <v>0</v>
      </c>
      <c r="O725" s="24">
        <v>0.27522936463356001</v>
      </c>
      <c r="P725" s="24">
        <v>0.44220182299613903</v>
      </c>
      <c r="Q725" s="24">
        <v>0.91192662715911799</v>
      </c>
      <c r="R725" s="25">
        <v>5.5045871559633031E-3</v>
      </c>
      <c r="S725" s="25">
        <v>6.9724770642201839E-2</v>
      </c>
      <c r="T725" s="25">
        <v>0.20183486238532111</v>
      </c>
    </row>
    <row r="726" spans="1:20" x14ac:dyDescent="0.25">
      <c r="A726" s="8" t="s">
        <v>1525</v>
      </c>
      <c r="B726" s="8" t="s">
        <v>1526</v>
      </c>
      <c r="C726" s="8" t="s">
        <v>3540</v>
      </c>
      <c r="D726" s="8">
        <v>710</v>
      </c>
      <c r="E726" s="23">
        <v>0.51690143346786499</v>
      </c>
      <c r="F726" s="24">
        <v>0.48309859633445701</v>
      </c>
      <c r="G726" s="23">
        <v>0</v>
      </c>
      <c r="H726" s="23">
        <v>7.1830987930297893E-2</v>
      </c>
      <c r="I726" s="23">
        <v>8.4507046267390008E-3</v>
      </c>
      <c r="J726" s="23">
        <v>0.114084504544735</v>
      </c>
      <c r="K726" s="23">
        <v>0.114084504544735</v>
      </c>
      <c r="L726" s="23">
        <v>0</v>
      </c>
      <c r="M726" s="23">
        <v>0.68873238563537598</v>
      </c>
      <c r="N726" s="23">
        <v>2.8169013094156998E-3</v>
      </c>
      <c r="O726" s="24">
        <v>0.18169014155864699</v>
      </c>
      <c r="P726" s="23">
        <v>2.2535210475325598E-2</v>
      </c>
      <c r="Q726" s="24">
        <v>0.13380281627178101</v>
      </c>
      <c r="R726" s="25">
        <v>1.4084507042253522E-3</v>
      </c>
      <c r="S726" s="25">
        <v>0</v>
      </c>
      <c r="T726" s="25">
        <v>0.18591549295774648</v>
      </c>
    </row>
    <row r="727" spans="1:20" x14ac:dyDescent="0.25">
      <c r="A727" s="8" t="s">
        <v>1527</v>
      </c>
      <c r="B727" s="8" t="s">
        <v>1528</v>
      </c>
      <c r="C727" s="8" t="s">
        <v>3540</v>
      </c>
      <c r="D727" s="8">
        <v>485</v>
      </c>
      <c r="E727" s="24">
        <v>0.46391752362251198</v>
      </c>
      <c r="F727" s="24">
        <v>0.53608244657516402</v>
      </c>
      <c r="G727" s="23">
        <v>0</v>
      </c>
      <c r="H727" s="23">
        <v>8.6597941815853105E-2</v>
      </c>
      <c r="I727" s="24">
        <v>0.160824745893478</v>
      </c>
      <c r="J727" s="24">
        <v>0.22680412232875799</v>
      </c>
      <c r="K727" s="23">
        <v>7.0103093981742901E-2</v>
      </c>
      <c r="L727" s="23">
        <v>4.1237114928663002E-3</v>
      </c>
      <c r="M727" s="24">
        <v>0.44948452711105302</v>
      </c>
      <c r="N727" s="23">
        <v>2.0618557464330998E-3</v>
      </c>
      <c r="O727" s="24">
        <v>0.31958761811256398</v>
      </c>
      <c r="P727" s="23">
        <v>3.9175257086753797E-2</v>
      </c>
      <c r="Q727" s="24">
        <v>0.354639172554016</v>
      </c>
      <c r="R727" s="25">
        <v>2.268041237113402E-2</v>
      </c>
      <c r="S727" s="25">
        <v>2.0618556701030928E-3</v>
      </c>
      <c r="T727" s="25">
        <v>0.27835051546391754</v>
      </c>
    </row>
    <row r="728" spans="1:20" x14ac:dyDescent="0.25">
      <c r="A728" s="8" t="s">
        <v>1529</v>
      </c>
      <c r="B728" s="8" t="s">
        <v>1530</v>
      </c>
      <c r="C728" s="8" t="s">
        <v>3540</v>
      </c>
      <c r="D728" s="8">
        <v>546</v>
      </c>
      <c r="E728" s="24">
        <v>0.49633699655532798</v>
      </c>
      <c r="F728" s="24">
        <v>0.50366300344467096</v>
      </c>
      <c r="G728" s="23">
        <v>0</v>
      </c>
      <c r="H728" s="24">
        <v>0.108058609068393</v>
      </c>
      <c r="I728" s="23">
        <v>0.23992674052715299</v>
      </c>
      <c r="J728" s="24">
        <v>0.25824177265167197</v>
      </c>
      <c r="K728" s="24">
        <v>0.102564103901386</v>
      </c>
      <c r="L728" s="23">
        <v>3.6630036775023001E-3</v>
      </c>
      <c r="M728" s="24">
        <v>0.28754580020904502</v>
      </c>
      <c r="N728" s="23">
        <v>0</v>
      </c>
      <c r="O728" s="24">
        <v>0.14835165441036199</v>
      </c>
      <c r="P728" s="23">
        <v>2.7472527697682401E-2</v>
      </c>
      <c r="Q728" s="24">
        <v>0.44139194488525302</v>
      </c>
      <c r="R728" s="25">
        <v>0</v>
      </c>
      <c r="S728" s="25">
        <v>0</v>
      </c>
      <c r="T728" s="25">
        <v>0.14102564102564102</v>
      </c>
    </row>
    <row r="729" spans="1:20" x14ac:dyDescent="0.25">
      <c r="A729" s="8" t="s">
        <v>1531</v>
      </c>
      <c r="B729" s="8" t="s">
        <v>1532</v>
      </c>
      <c r="C729" s="8" t="s">
        <v>3540</v>
      </c>
      <c r="D729" s="8">
        <v>365</v>
      </c>
      <c r="E729" s="24">
        <v>0.51506847143173196</v>
      </c>
      <c r="F729" s="24">
        <v>0.48219177126884399</v>
      </c>
      <c r="G729" s="23">
        <v>2.7397261001169998E-3</v>
      </c>
      <c r="H729" s="23">
        <v>9.5890410244464902E-2</v>
      </c>
      <c r="I729" s="23">
        <v>5.47945201396942E-2</v>
      </c>
      <c r="J729" s="23">
        <v>9.3150682747364003E-2</v>
      </c>
      <c r="K729" s="24">
        <v>0.11780822277069</v>
      </c>
      <c r="L729" s="23">
        <v>0</v>
      </c>
      <c r="M729" s="24">
        <v>0.63835614919662398</v>
      </c>
      <c r="N729" s="23">
        <v>0</v>
      </c>
      <c r="O729" s="24">
        <v>0.167123287916183</v>
      </c>
      <c r="P729" s="23">
        <v>2.73972600698471E-2</v>
      </c>
      <c r="Q729" s="24">
        <v>0.14794521033763799</v>
      </c>
      <c r="R729" s="25">
        <v>0</v>
      </c>
      <c r="S729" s="25">
        <v>0</v>
      </c>
      <c r="T729" s="25">
        <v>0.17260273972602741</v>
      </c>
    </row>
    <row r="730" spans="1:20" x14ac:dyDescent="0.25">
      <c r="A730" s="8" t="s">
        <v>1533</v>
      </c>
      <c r="B730" s="8" t="s">
        <v>1534</v>
      </c>
      <c r="C730" s="8" t="s">
        <v>3540</v>
      </c>
      <c r="D730" s="8">
        <v>1035</v>
      </c>
      <c r="E730" s="24">
        <v>0.51980674266815097</v>
      </c>
      <c r="F730" s="24">
        <v>0.48019322752952498</v>
      </c>
      <c r="G730" s="23">
        <v>0</v>
      </c>
      <c r="H730" s="24">
        <v>0.27342996001243502</v>
      </c>
      <c r="I730" s="23">
        <v>6.9565214216709095E-2</v>
      </c>
      <c r="J730" s="23">
        <v>0.32173913717269897</v>
      </c>
      <c r="K730" s="23">
        <v>7.1497581899166093E-2</v>
      </c>
      <c r="L730" s="23">
        <v>2.8985508251935001E-3</v>
      </c>
      <c r="M730" s="23">
        <v>0.26086956262588501</v>
      </c>
      <c r="N730" s="23">
        <v>0</v>
      </c>
      <c r="O730" s="24">
        <v>0.194202899932861</v>
      </c>
      <c r="P730" s="23">
        <v>4.6376813203096397E-2</v>
      </c>
      <c r="Q730" s="24">
        <v>0.58937197923660201</v>
      </c>
      <c r="R730" s="25">
        <v>2.8985507246376812E-2</v>
      </c>
      <c r="S730" s="25">
        <v>4.830917874396135E-3</v>
      </c>
      <c r="T730" s="25">
        <v>0.15652173913043479</v>
      </c>
    </row>
    <row r="731" spans="1:20" x14ac:dyDescent="0.25">
      <c r="A731" s="8" t="s">
        <v>1535</v>
      </c>
      <c r="B731" s="8" t="s">
        <v>1536</v>
      </c>
      <c r="C731" s="8" t="s">
        <v>3540</v>
      </c>
      <c r="D731" s="8">
        <v>756</v>
      </c>
      <c r="E731" s="24">
        <v>0.51455026865005404</v>
      </c>
      <c r="F731" s="24">
        <v>0.48412698507308899</v>
      </c>
      <c r="G731" s="23">
        <v>1.3227512827142999E-3</v>
      </c>
      <c r="H731" s="23">
        <v>5.15873022377491E-2</v>
      </c>
      <c r="I731" s="23">
        <v>5.15873022377491E-2</v>
      </c>
      <c r="J731" s="24">
        <v>0.109788358211517</v>
      </c>
      <c r="K731" s="23">
        <v>0.115079365670681</v>
      </c>
      <c r="L731" s="23">
        <v>0</v>
      </c>
      <c r="M731" s="23">
        <v>0.670634925365448</v>
      </c>
      <c r="N731" s="23">
        <v>1.3227512827142999E-3</v>
      </c>
      <c r="O731" s="24">
        <v>0.17592592537403101</v>
      </c>
      <c r="P731" s="23">
        <v>3.7037037312984501E-2</v>
      </c>
      <c r="Q731" s="24">
        <v>0.109788358211517</v>
      </c>
      <c r="R731" s="25">
        <v>0</v>
      </c>
      <c r="S731" s="25">
        <v>1.3227513227513227E-3</v>
      </c>
      <c r="T731" s="25">
        <v>0.16666666666666666</v>
      </c>
    </row>
    <row r="732" spans="1:20" x14ac:dyDescent="0.25">
      <c r="A732" s="8" t="s">
        <v>1537</v>
      </c>
      <c r="B732" s="8" t="s">
        <v>1538</v>
      </c>
      <c r="C732" s="8" t="s">
        <v>3540</v>
      </c>
      <c r="D732" s="8">
        <v>841</v>
      </c>
      <c r="E732" s="24">
        <v>0.45422115921974099</v>
      </c>
      <c r="F732" s="24">
        <v>0.54458975791931097</v>
      </c>
      <c r="G732" s="23">
        <v>1.1890606256202E-3</v>
      </c>
      <c r="H732" s="23">
        <v>9.75029692053795E-2</v>
      </c>
      <c r="I732" s="24">
        <v>0.17360284924507099</v>
      </c>
      <c r="J732" s="24">
        <v>0.458977401256561</v>
      </c>
      <c r="K732" s="23">
        <v>3.4482758492231397E-2</v>
      </c>
      <c r="L732" s="23">
        <v>5.9453030116856003E-3</v>
      </c>
      <c r="M732" s="24">
        <v>0.22948870062828</v>
      </c>
      <c r="N732" s="23">
        <v>0</v>
      </c>
      <c r="O732" s="24">
        <v>0.30915576219558699</v>
      </c>
      <c r="P732" s="23">
        <v>0.12485136836767199</v>
      </c>
      <c r="Q732" s="24">
        <v>0.63139122724533003</v>
      </c>
      <c r="R732" s="25">
        <v>6.5398335315101072E-2</v>
      </c>
      <c r="S732" s="25">
        <v>0</v>
      </c>
      <c r="T732" s="25">
        <v>0.24375743162901309</v>
      </c>
    </row>
    <row r="733" spans="1:20" x14ac:dyDescent="0.25">
      <c r="A733" s="8" t="s">
        <v>1539</v>
      </c>
      <c r="B733" s="8" t="s">
        <v>1540</v>
      </c>
      <c r="C733" s="8" t="s">
        <v>3540</v>
      </c>
      <c r="D733" s="8">
        <v>830</v>
      </c>
      <c r="E733" s="24">
        <v>0.46626505255699102</v>
      </c>
      <c r="F733" s="23">
        <v>0.53373491764068604</v>
      </c>
      <c r="G733" s="23">
        <v>0</v>
      </c>
      <c r="H733" s="24">
        <v>0.62168675661087003</v>
      </c>
      <c r="I733" s="23">
        <v>1.2048193020745999E-3</v>
      </c>
      <c r="J733" s="24">
        <v>0.35662651062011702</v>
      </c>
      <c r="K733" s="23">
        <v>0</v>
      </c>
      <c r="L733" s="23">
        <v>0</v>
      </c>
      <c r="M733" s="23">
        <v>2.0481927320361099E-2</v>
      </c>
      <c r="N733" s="23">
        <v>0</v>
      </c>
      <c r="O733" s="24">
        <v>0.148192778229713</v>
      </c>
      <c r="P733" s="24">
        <v>0.52048194408416704</v>
      </c>
      <c r="Q733" s="24">
        <v>0.98192769289016701</v>
      </c>
      <c r="R733" s="25">
        <v>5.903614457831325E-2</v>
      </c>
      <c r="S733" s="25">
        <v>0</v>
      </c>
      <c r="T733" s="25">
        <v>9.7590361445783133E-2</v>
      </c>
    </row>
    <row r="734" spans="1:20" x14ac:dyDescent="0.25">
      <c r="A734" s="8" t="s">
        <v>1542</v>
      </c>
      <c r="B734" s="8" t="s">
        <v>1543</v>
      </c>
      <c r="C734" s="8" t="s">
        <v>3540</v>
      </c>
      <c r="D734" s="8">
        <v>538</v>
      </c>
      <c r="E734" s="24">
        <v>0.51486986875534002</v>
      </c>
      <c r="F734" s="24">
        <v>0.48327139019966098</v>
      </c>
      <c r="G734" s="23">
        <v>1.8587360391393E-3</v>
      </c>
      <c r="H734" s="23">
        <v>7.8066915273666396E-2</v>
      </c>
      <c r="I734" s="23">
        <v>1.48698883131146E-2</v>
      </c>
      <c r="J734" s="24">
        <v>0.104089222848415</v>
      </c>
      <c r="K734" s="24">
        <v>0.10966543108224799</v>
      </c>
      <c r="L734" s="23">
        <v>0</v>
      </c>
      <c r="M734" s="24">
        <v>0.69330853223800604</v>
      </c>
      <c r="N734" s="23">
        <v>0</v>
      </c>
      <c r="O734" s="24">
        <v>0.206319704651832</v>
      </c>
      <c r="P734" s="23">
        <v>9.2936800792813006E-3</v>
      </c>
      <c r="Q734" s="23">
        <v>8.1784389913082095E-2</v>
      </c>
      <c r="R734" s="25">
        <v>0</v>
      </c>
      <c r="S734" s="25">
        <v>0</v>
      </c>
      <c r="T734" s="25">
        <v>0.21933085501858737</v>
      </c>
    </row>
    <row r="735" spans="1:20" x14ac:dyDescent="0.25">
      <c r="A735" s="8" t="s">
        <v>1544</v>
      </c>
      <c r="B735" s="8" t="s">
        <v>1545</v>
      </c>
      <c r="C735" s="8" t="s">
        <v>3540</v>
      </c>
      <c r="D735" s="8">
        <v>202</v>
      </c>
      <c r="E735" s="24">
        <v>0.50990098714828402</v>
      </c>
      <c r="F735" s="24">
        <v>0.49009901285171498</v>
      </c>
      <c r="G735" s="23">
        <v>0</v>
      </c>
      <c r="H735" s="23">
        <v>7.9207919538021102E-2</v>
      </c>
      <c r="I735" s="23">
        <v>3.4653466194868102E-2</v>
      </c>
      <c r="J735" s="24">
        <v>0.20792078971862701</v>
      </c>
      <c r="K735" s="24">
        <v>0.113861389458179</v>
      </c>
      <c r="L735" s="23">
        <v>0</v>
      </c>
      <c r="M735" s="24">
        <v>0.55940592288970903</v>
      </c>
      <c r="N735" s="23">
        <v>4.9504949711262998E-3</v>
      </c>
      <c r="O735" s="24">
        <v>0.19306930899620001</v>
      </c>
      <c r="P735" s="23">
        <v>9.9009901285171495E-2</v>
      </c>
      <c r="Q735" s="24">
        <v>0.18811881542205799</v>
      </c>
      <c r="R735" s="25">
        <v>0</v>
      </c>
      <c r="S735" s="25">
        <v>0</v>
      </c>
      <c r="T735" s="25">
        <v>0.20297029702970298</v>
      </c>
    </row>
    <row r="736" spans="1:20" x14ac:dyDescent="0.25">
      <c r="A736" s="8" t="s">
        <v>1546</v>
      </c>
      <c r="B736" s="8" t="s">
        <v>1547</v>
      </c>
      <c r="C736" s="8" t="s">
        <v>3540</v>
      </c>
      <c r="D736" s="8">
        <v>307</v>
      </c>
      <c r="E736" s="24">
        <v>0.50814330577850297</v>
      </c>
      <c r="F736" s="24">
        <v>0.49185666441917397</v>
      </c>
      <c r="G736" s="23">
        <v>0</v>
      </c>
      <c r="H736" s="23">
        <v>3.5830620676279103E-2</v>
      </c>
      <c r="I736" s="23">
        <v>0.23127035796642301</v>
      </c>
      <c r="J736" s="24">
        <v>0.54397392272949197</v>
      </c>
      <c r="K736" s="23">
        <v>6.84039071202278E-2</v>
      </c>
      <c r="L736" s="23">
        <v>3.2573288772255E-3</v>
      </c>
      <c r="M736" s="24">
        <v>0.114006511867046</v>
      </c>
      <c r="N736" s="23">
        <v>3.2573288772255E-3</v>
      </c>
      <c r="O736" s="24">
        <v>0.24429967999458299</v>
      </c>
      <c r="P736" s="24">
        <v>0.19543974101543399</v>
      </c>
      <c r="Q736" s="24">
        <v>0.80781757831573398</v>
      </c>
      <c r="R736" s="25">
        <v>6.8403908794788276E-2</v>
      </c>
      <c r="S736" s="25">
        <v>1.6286644951140065E-2</v>
      </c>
      <c r="T736" s="25">
        <v>0.1758957654723127</v>
      </c>
    </row>
    <row r="737" spans="1:20" x14ac:dyDescent="0.25">
      <c r="A737" s="8" t="s">
        <v>1548</v>
      </c>
      <c r="B737" s="8" t="s">
        <v>1549</v>
      </c>
      <c r="C737" s="8" t="s">
        <v>3540</v>
      </c>
      <c r="D737" s="8">
        <v>897</v>
      </c>
      <c r="E737" s="24">
        <v>0.49498328566551197</v>
      </c>
      <c r="F737" s="24">
        <v>0.50390189886093095</v>
      </c>
      <c r="G737" s="23">
        <v>1.1148272315040001E-3</v>
      </c>
      <c r="H737" s="24">
        <v>0.13154961168766</v>
      </c>
      <c r="I737" s="23">
        <v>5.9085842221975299E-2</v>
      </c>
      <c r="J737" s="24">
        <v>0.191750273108482</v>
      </c>
      <c r="K737" s="23">
        <v>6.0200668871402699E-2</v>
      </c>
      <c r="L737" s="23">
        <v>8.9186178520322002E-3</v>
      </c>
      <c r="M737" s="24">
        <v>0.54849499464035001</v>
      </c>
      <c r="N737" s="23">
        <v>0</v>
      </c>
      <c r="O737" s="24">
        <v>0.18729096651077201</v>
      </c>
      <c r="P737" s="23">
        <v>4.6822741627693197E-2</v>
      </c>
      <c r="Q737" s="24">
        <v>0.28651058673858598</v>
      </c>
      <c r="R737" s="25">
        <v>0</v>
      </c>
      <c r="S737" s="25">
        <v>0</v>
      </c>
      <c r="T737" s="25">
        <v>0.19175027870680045</v>
      </c>
    </row>
    <row r="738" spans="1:20" x14ac:dyDescent="0.25">
      <c r="A738" s="8" t="s">
        <v>1550</v>
      </c>
      <c r="B738" s="8" t="s">
        <v>1551</v>
      </c>
      <c r="C738" s="8" t="s">
        <v>3540</v>
      </c>
      <c r="D738" s="8">
        <v>500</v>
      </c>
      <c r="E738" s="24">
        <v>0.490000009536743</v>
      </c>
      <c r="F738" s="24">
        <v>0.50999999046325595</v>
      </c>
      <c r="G738" s="23">
        <v>0</v>
      </c>
      <c r="H738" s="24">
        <v>0.34400001168250999</v>
      </c>
      <c r="I738" s="23">
        <v>1.2000000104308101E-2</v>
      </c>
      <c r="J738" s="24">
        <v>0.54400002956390303</v>
      </c>
      <c r="K738" s="23">
        <v>8.0000003799796E-3</v>
      </c>
      <c r="L738" s="23">
        <v>1.2000000104308101E-2</v>
      </c>
      <c r="M738" s="23">
        <v>7.9999998211860698E-2</v>
      </c>
      <c r="N738" s="23">
        <v>0</v>
      </c>
      <c r="O738" s="24">
        <v>0.22400000691413799</v>
      </c>
      <c r="P738" s="24">
        <v>0.30399999022483798</v>
      </c>
      <c r="Q738" s="24">
        <v>0.96399998664855902</v>
      </c>
      <c r="R738" s="25">
        <v>8.7999999999999995E-2</v>
      </c>
      <c r="S738" s="25">
        <v>2E-3</v>
      </c>
      <c r="T738" s="25">
        <v>0.13600000000000001</v>
      </c>
    </row>
    <row r="739" spans="1:20" x14ac:dyDescent="0.25">
      <c r="A739" s="8" t="s">
        <v>1552</v>
      </c>
      <c r="B739" s="8" t="s">
        <v>1553</v>
      </c>
      <c r="C739" s="8" t="s">
        <v>3540</v>
      </c>
      <c r="D739" s="8">
        <v>478</v>
      </c>
      <c r="E739" s="24">
        <v>0.52928870916366499</v>
      </c>
      <c r="F739" s="24">
        <v>0.47071129083633401</v>
      </c>
      <c r="G739" s="23">
        <v>0</v>
      </c>
      <c r="H739" s="23">
        <v>5.0209205597639098E-2</v>
      </c>
      <c r="I739" s="23">
        <v>1.46443517878652E-2</v>
      </c>
      <c r="J739" s="24">
        <v>0.88493722677230802</v>
      </c>
      <c r="K739" s="23">
        <v>8.3682006224989995E-3</v>
      </c>
      <c r="L739" s="23">
        <v>2.0920501556247E-3</v>
      </c>
      <c r="M739" s="23">
        <v>3.9748955518007299E-2</v>
      </c>
      <c r="N739" s="23">
        <v>0</v>
      </c>
      <c r="O739" s="24">
        <v>0.263598322868347</v>
      </c>
      <c r="P739" s="24">
        <v>0.347280323505401</v>
      </c>
      <c r="Q739" s="24">
        <v>0.91422593593597401</v>
      </c>
      <c r="R739" s="25">
        <v>5.2301255230125521E-2</v>
      </c>
      <c r="S739" s="25">
        <v>1.0460251046025104E-2</v>
      </c>
      <c r="T739" s="25">
        <v>0.19874476987447698</v>
      </c>
    </row>
    <row r="740" spans="1:20" x14ac:dyDescent="0.25">
      <c r="A740" s="8" t="s">
        <v>1554</v>
      </c>
      <c r="B740" s="8" t="s">
        <v>1555</v>
      </c>
      <c r="C740" s="8" t="s">
        <v>3540</v>
      </c>
      <c r="D740" s="8">
        <v>638</v>
      </c>
      <c r="E740" s="24">
        <v>0.48119121789932201</v>
      </c>
      <c r="F740" s="24">
        <v>0.51567399501800504</v>
      </c>
      <c r="G740" s="23">
        <v>3.1347961630672E-3</v>
      </c>
      <c r="H740" s="23">
        <v>4.7021944075822802E-2</v>
      </c>
      <c r="I740" s="24">
        <v>0.12695924937725001</v>
      </c>
      <c r="J740" s="24">
        <v>0.23040752112865401</v>
      </c>
      <c r="K740" s="24">
        <v>0.14420062303542999</v>
      </c>
      <c r="L740" s="23">
        <v>1.5673980815336E-3</v>
      </c>
      <c r="M740" s="24">
        <v>0.44984325766563399</v>
      </c>
      <c r="N740" s="23">
        <v>0</v>
      </c>
      <c r="O740" s="24">
        <v>0.24764890968799499</v>
      </c>
      <c r="P740" s="23">
        <v>3.2915361225604997E-2</v>
      </c>
      <c r="Q740" s="24">
        <v>0.37460815906524603</v>
      </c>
      <c r="R740" s="25">
        <v>0</v>
      </c>
      <c r="S740" s="25">
        <v>0</v>
      </c>
      <c r="T740" s="25">
        <v>0.2413793103448276</v>
      </c>
    </row>
    <row r="741" spans="1:20" x14ac:dyDescent="0.25">
      <c r="A741" s="8" t="s">
        <v>1556</v>
      </c>
      <c r="B741" s="8" t="s">
        <v>1557</v>
      </c>
      <c r="C741" s="8" t="s">
        <v>3540</v>
      </c>
      <c r="D741" s="8">
        <v>400</v>
      </c>
      <c r="E741" s="23">
        <v>0.48750001192092901</v>
      </c>
      <c r="F741" s="23">
        <v>0.51249998807907104</v>
      </c>
      <c r="G741" s="23">
        <v>0</v>
      </c>
      <c r="H741" s="23">
        <v>7.0000000298023196E-2</v>
      </c>
      <c r="I741" s="23">
        <v>3.9999999105930301E-2</v>
      </c>
      <c r="J741" s="24">
        <v>0.12749999761581399</v>
      </c>
      <c r="K741" s="23">
        <v>8.7499998509883894E-2</v>
      </c>
      <c r="L741" s="23">
        <v>2.4999999441206E-3</v>
      </c>
      <c r="M741" s="24">
        <v>0.67250001430511397</v>
      </c>
      <c r="N741" s="23">
        <v>0</v>
      </c>
      <c r="O741" s="23">
        <v>0.197500005364418</v>
      </c>
      <c r="P741" s="23">
        <v>1.4999999664723899E-2</v>
      </c>
      <c r="Q741" s="24">
        <v>0.13750000298023199</v>
      </c>
      <c r="R741" s="25">
        <v>0</v>
      </c>
      <c r="S741" s="25">
        <v>0</v>
      </c>
      <c r="T741" s="25">
        <v>0.20250000000000001</v>
      </c>
    </row>
    <row r="742" spans="1:20" x14ac:dyDescent="0.25">
      <c r="A742" s="8" t="s">
        <v>1558</v>
      </c>
      <c r="B742" s="8" t="s">
        <v>1559</v>
      </c>
      <c r="C742" s="8" t="s">
        <v>3540</v>
      </c>
      <c r="D742" s="8">
        <v>763</v>
      </c>
      <c r="E742" s="24">
        <v>0.47706422209739602</v>
      </c>
      <c r="F742" s="24">
        <v>0.52293580770492498</v>
      </c>
      <c r="G742" s="23">
        <v>0</v>
      </c>
      <c r="H742" s="24">
        <v>0.589777171611785</v>
      </c>
      <c r="I742" s="23">
        <v>3.9318478666245998E-3</v>
      </c>
      <c r="J742" s="24">
        <v>0.37090432643890298</v>
      </c>
      <c r="K742" s="23">
        <v>3.9318478666245998E-3</v>
      </c>
      <c r="L742" s="23">
        <v>1.3106160331517E-3</v>
      </c>
      <c r="M742" s="23">
        <v>3.0144168063998202E-2</v>
      </c>
      <c r="N742" s="23">
        <v>0</v>
      </c>
      <c r="O742" s="24">
        <v>0.20707732439041099</v>
      </c>
      <c r="P742" s="23">
        <v>0.554390549659729</v>
      </c>
      <c r="Q742" s="24">
        <v>0.964613378047943</v>
      </c>
      <c r="R742" s="25">
        <v>5.7667103538663174E-2</v>
      </c>
      <c r="S742" s="25">
        <v>0</v>
      </c>
      <c r="T742" s="25">
        <v>0.14285714285714285</v>
      </c>
    </row>
    <row r="743" spans="1:20" x14ac:dyDescent="0.25">
      <c r="A743" s="8" t="s">
        <v>1560</v>
      </c>
      <c r="B743" s="8" t="s">
        <v>1561</v>
      </c>
      <c r="C743" s="8" t="s">
        <v>3540</v>
      </c>
      <c r="D743" s="8">
        <v>386</v>
      </c>
      <c r="E743" s="24">
        <v>0.51036268472671498</v>
      </c>
      <c r="F743" s="24">
        <v>0.48963731527328402</v>
      </c>
      <c r="G743" s="23">
        <v>0</v>
      </c>
      <c r="H743" s="23">
        <v>8.29015523195267E-2</v>
      </c>
      <c r="I743" s="23">
        <v>4.92227971553802E-2</v>
      </c>
      <c r="J743" s="24">
        <v>0.64766842126846302</v>
      </c>
      <c r="K743" s="23">
        <v>3.1088082119822499E-2</v>
      </c>
      <c r="L743" s="23">
        <v>7.7720205299556004E-3</v>
      </c>
      <c r="M743" s="24">
        <v>0.181347146630287</v>
      </c>
      <c r="N743" s="23">
        <v>0</v>
      </c>
      <c r="O743" s="24">
        <v>0.28497409820556602</v>
      </c>
      <c r="P743" s="24">
        <v>0.18652850389480499</v>
      </c>
      <c r="Q743" s="24">
        <v>0.74352329969406095</v>
      </c>
      <c r="R743" s="25">
        <v>0</v>
      </c>
      <c r="S743" s="25">
        <v>0</v>
      </c>
      <c r="T743" s="25">
        <v>0.29015544041450775</v>
      </c>
    </row>
    <row r="744" spans="1:20" x14ac:dyDescent="0.25">
      <c r="A744" s="8" t="s">
        <v>1562</v>
      </c>
      <c r="B744" s="8" t="s">
        <v>1563</v>
      </c>
      <c r="C744" s="8" t="s">
        <v>3540</v>
      </c>
      <c r="D744" s="8">
        <v>920</v>
      </c>
      <c r="E744" s="24">
        <v>0.51304346323013295</v>
      </c>
      <c r="F744" s="24">
        <v>0.48586955666541998</v>
      </c>
      <c r="G744" s="23">
        <v>1.0869564721361E-3</v>
      </c>
      <c r="H744" s="24">
        <v>0.492391318082809</v>
      </c>
      <c r="I744" s="23">
        <v>1.7391303554177302E-2</v>
      </c>
      <c r="J744" s="24">
        <v>0.34021738171577398</v>
      </c>
      <c r="K744" s="23">
        <v>2.7173912152648E-2</v>
      </c>
      <c r="L744" s="23">
        <v>2.1739129442722E-3</v>
      </c>
      <c r="M744" s="24">
        <v>0.120652176439762</v>
      </c>
      <c r="N744" s="23">
        <v>0</v>
      </c>
      <c r="O744" s="24">
        <v>0.18913044035434701</v>
      </c>
      <c r="P744" s="24">
        <v>0.26413044333457902</v>
      </c>
      <c r="Q744" s="23">
        <v>0.77934783697128296</v>
      </c>
      <c r="R744" s="25">
        <v>3.6956521739130437E-2</v>
      </c>
      <c r="S744" s="25">
        <v>0</v>
      </c>
      <c r="T744" s="25">
        <v>0.14456521739130435</v>
      </c>
    </row>
    <row r="745" spans="1:20" x14ac:dyDescent="0.25">
      <c r="A745" s="8" t="s">
        <v>1564</v>
      </c>
      <c r="B745" s="8" t="s">
        <v>1565</v>
      </c>
      <c r="C745" s="8" t="s">
        <v>3540</v>
      </c>
      <c r="D745" s="8">
        <v>569</v>
      </c>
      <c r="E745" s="24">
        <v>0.53427064418792702</v>
      </c>
      <c r="F745" s="23">
        <v>0.46397188305854797</v>
      </c>
      <c r="G745" s="23">
        <v>1.7574692610651001E-3</v>
      </c>
      <c r="H745" s="23">
        <v>6.85413032770157E-2</v>
      </c>
      <c r="I745" s="24">
        <v>0.13532513380050601</v>
      </c>
      <c r="J745" s="24">
        <v>0.18980668485164601</v>
      </c>
      <c r="K745" s="24">
        <v>0.10544815659523001</v>
      </c>
      <c r="L745" s="23">
        <v>3.5149385221302999E-3</v>
      </c>
      <c r="M745" s="23">
        <v>0.49736380577087402</v>
      </c>
      <c r="N745" s="23">
        <v>0</v>
      </c>
      <c r="O745" s="24">
        <v>0.20913884043693501</v>
      </c>
      <c r="P745" s="23">
        <v>2.98769772052765E-2</v>
      </c>
      <c r="Q745" s="24">
        <v>0.295254826545715</v>
      </c>
      <c r="R745" s="25">
        <v>5.272407732864675E-3</v>
      </c>
      <c r="S745" s="25">
        <v>1.7574692442882249E-3</v>
      </c>
      <c r="T745" s="25">
        <v>0.20562390158172231</v>
      </c>
    </row>
    <row r="746" spans="1:20" x14ac:dyDescent="0.25">
      <c r="A746" s="8" t="s">
        <v>1566</v>
      </c>
      <c r="B746" s="8" t="s">
        <v>1567</v>
      </c>
      <c r="C746" s="8" t="s">
        <v>3540</v>
      </c>
      <c r="D746" s="8">
        <v>204</v>
      </c>
      <c r="E746" s="24">
        <v>0.48529410362243602</v>
      </c>
      <c r="F746" s="24">
        <v>0.51470589637756303</v>
      </c>
      <c r="G746" s="23">
        <v>0</v>
      </c>
      <c r="H746" s="23">
        <v>4.4117648154497098E-2</v>
      </c>
      <c r="I746" s="23">
        <v>5.39215691387653E-2</v>
      </c>
      <c r="J746" s="24">
        <v>0.46568626165389998</v>
      </c>
      <c r="K746" s="23">
        <v>4.9019608646631199E-2</v>
      </c>
      <c r="L746" s="23">
        <v>0</v>
      </c>
      <c r="M746" s="24">
        <v>0.38725489377975397</v>
      </c>
      <c r="N746" s="23">
        <v>0</v>
      </c>
      <c r="O746" s="24">
        <v>0.24509803950786499</v>
      </c>
      <c r="P746" s="24">
        <v>0.18137255311012199</v>
      </c>
      <c r="Q746" s="24">
        <v>0.55882352590560902</v>
      </c>
      <c r="R746" s="25">
        <v>4.9019607843137254E-3</v>
      </c>
      <c r="S746" s="25">
        <v>0</v>
      </c>
      <c r="T746" s="25">
        <v>0.22549019607843138</v>
      </c>
    </row>
    <row r="747" spans="1:20" x14ac:dyDescent="0.25">
      <c r="A747" s="8" t="s">
        <v>1568</v>
      </c>
      <c r="B747" s="8" t="s">
        <v>1569</v>
      </c>
      <c r="C747" s="8" t="s">
        <v>3540</v>
      </c>
      <c r="D747" s="8">
        <v>1309</v>
      </c>
      <c r="E747" s="24">
        <v>0.50878530740737904</v>
      </c>
      <c r="F747" s="24">
        <v>0.49121466279029802</v>
      </c>
      <c r="G747" s="23">
        <v>0</v>
      </c>
      <c r="H747" s="23">
        <v>8.7853319942951202E-2</v>
      </c>
      <c r="I747" s="23">
        <v>2.4446142837405201E-2</v>
      </c>
      <c r="J747" s="23">
        <v>9.7784571349620805E-2</v>
      </c>
      <c r="K747" s="24">
        <v>0.13368983566761</v>
      </c>
      <c r="L747" s="23">
        <v>3.8197096437216E-3</v>
      </c>
      <c r="M747" s="24">
        <v>0.65240639448165805</v>
      </c>
      <c r="N747" s="23">
        <v>0</v>
      </c>
      <c r="O747" s="24">
        <v>0.16959510743618</v>
      </c>
      <c r="P747" s="23">
        <v>9.1673033311962995E-3</v>
      </c>
      <c r="Q747" s="23">
        <v>5.9587471187114702E-2</v>
      </c>
      <c r="R747" s="25">
        <v>7.6394194041252863E-4</v>
      </c>
      <c r="S747" s="25">
        <v>0</v>
      </c>
      <c r="T747" s="25">
        <v>0.17647058823529413</v>
      </c>
    </row>
    <row r="748" spans="1:20" x14ac:dyDescent="0.25">
      <c r="A748" s="8" t="s">
        <v>1570</v>
      </c>
      <c r="B748" s="8"/>
      <c r="C748" s="8" t="s">
        <v>3540</v>
      </c>
      <c r="D748" s="8">
        <v>218</v>
      </c>
      <c r="E748" s="24">
        <v>0.47247707843780501</v>
      </c>
      <c r="F748" s="24">
        <v>0.52752292156219405</v>
      </c>
      <c r="G748" s="23">
        <v>0</v>
      </c>
      <c r="H748" s="24">
        <v>0.119266055524349</v>
      </c>
      <c r="I748" s="23">
        <v>5.0458714365959202E-2</v>
      </c>
      <c r="J748" s="24">
        <v>0.215596333146095</v>
      </c>
      <c r="K748" s="23">
        <v>8.2568809390068096E-2</v>
      </c>
      <c r="L748" s="23">
        <v>1.3761468231678E-2</v>
      </c>
      <c r="M748" s="24">
        <v>0.51834863424301103</v>
      </c>
      <c r="N748" s="23">
        <v>0</v>
      </c>
      <c r="O748" s="23">
        <v>0.14220184087753299</v>
      </c>
      <c r="P748" s="23">
        <v>9.1743119060993195E-2</v>
      </c>
      <c r="Q748" s="24">
        <v>0.22477063536643899</v>
      </c>
      <c r="R748" s="25">
        <v>0</v>
      </c>
      <c r="S748" s="25">
        <v>0</v>
      </c>
      <c r="T748" s="25">
        <v>8.2568807339449546E-2</v>
      </c>
    </row>
    <row r="749" spans="1:20" x14ac:dyDescent="0.25">
      <c r="A749" s="8" t="s">
        <v>1572</v>
      </c>
      <c r="B749" s="8" t="s">
        <v>1573</v>
      </c>
      <c r="C749" s="8" t="s">
        <v>3540</v>
      </c>
      <c r="D749" s="8">
        <v>162</v>
      </c>
      <c r="E749" s="24">
        <v>0.45679011940956099</v>
      </c>
      <c r="F749" s="24">
        <v>0.54320985078811601</v>
      </c>
      <c r="G749" s="23">
        <v>0</v>
      </c>
      <c r="H749" s="23">
        <v>4.3209876865148503E-2</v>
      </c>
      <c r="I749" s="24">
        <v>0.56172841787338201</v>
      </c>
      <c r="J749" s="24">
        <v>0.33333334326744002</v>
      </c>
      <c r="K749" s="23">
        <v>6.1728395521641003E-3</v>
      </c>
      <c r="L749" s="23">
        <v>1.2345679104328201E-2</v>
      </c>
      <c r="M749" s="23">
        <v>4.3209876865148503E-2</v>
      </c>
      <c r="N749" s="23">
        <v>0</v>
      </c>
      <c r="O749" s="23">
        <v>0.29012346267700201</v>
      </c>
      <c r="P749" s="24">
        <v>0.16666667163372001</v>
      </c>
      <c r="Q749" s="24">
        <v>0.93827158212661699</v>
      </c>
      <c r="R749" s="25">
        <v>0</v>
      </c>
      <c r="S749" s="25">
        <v>0</v>
      </c>
      <c r="T749" s="25">
        <v>0.26543209876543211</v>
      </c>
    </row>
    <row r="750" spans="1:20" x14ac:dyDescent="0.25">
      <c r="A750" s="8" t="s">
        <v>1574</v>
      </c>
      <c r="B750" s="8" t="s">
        <v>1575</v>
      </c>
      <c r="C750" s="8" t="s">
        <v>3540</v>
      </c>
      <c r="D750" s="8">
        <v>49</v>
      </c>
      <c r="E750" s="24">
        <v>0.46938776969909601</v>
      </c>
      <c r="F750" s="24">
        <v>0.53061223030090299</v>
      </c>
      <c r="G750" s="23">
        <v>0</v>
      </c>
      <c r="H750" s="24">
        <v>0.22448979318141901</v>
      </c>
      <c r="I750" s="23">
        <v>0</v>
      </c>
      <c r="J750" s="24">
        <v>0.73469388484954801</v>
      </c>
      <c r="K750" s="23">
        <v>0</v>
      </c>
      <c r="L750" s="23">
        <v>2.04081628471613E-2</v>
      </c>
      <c r="M750" s="23">
        <v>2.04081628471613E-2</v>
      </c>
      <c r="N750" s="23">
        <v>0</v>
      </c>
      <c r="O750" s="24">
        <v>0.26530611515045099</v>
      </c>
      <c r="P750" s="24">
        <v>0.40816327929496699</v>
      </c>
      <c r="Q750" s="24">
        <v>0.95918369293212802</v>
      </c>
      <c r="R750" s="25">
        <v>0</v>
      </c>
      <c r="S750" s="25">
        <v>0</v>
      </c>
      <c r="T750" s="25">
        <v>0.26530612244897961</v>
      </c>
    </row>
    <row r="751" spans="1:20" x14ac:dyDescent="0.25">
      <c r="A751" s="8" t="s">
        <v>1576</v>
      </c>
      <c r="B751" s="8" t="s">
        <v>1577</v>
      </c>
      <c r="C751" s="8" t="s">
        <v>3540</v>
      </c>
      <c r="D751" s="8">
        <v>295</v>
      </c>
      <c r="E751" s="23">
        <v>0.49152541160583502</v>
      </c>
      <c r="F751" s="23">
        <v>0.50508475303649902</v>
      </c>
      <c r="G751" s="23">
        <v>3.3898304682225002E-3</v>
      </c>
      <c r="H751" s="23">
        <v>4.4067796319723102E-2</v>
      </c>
      <c r="I751" s="24">
        <v>0.440677970647811</v>
      </c>
      <c r="J751" s="24">
        <v>0.41355931758880599</v>
      </c>
      <c r="K751" s="23">
        <v>2.0338982343673699E-2</v>
      </c>
      <c r="L751" s="23">
        <v>1.3559321872890001E-2</v>
      </c>
      <c r="M751" s="23">
        <v>5.7627119123935699E-2</v>
      </c>
      <c r="N751" s="23">
        <v>1.01694911718369E-2</v>
      </c>
      <c r="O751" s="24">
        <v>0.237288132309913</v>
      </c>
      <c r="P751" s="23">
        <v>2.0338982343673699E-2</v>
      </c>
      <c r="Q751" s="24">
        <v>0.71864408254623402</v>
      </c>
      <c r="R751" s="25">
        <v>0</v>
      </c>
      <c r="S751" s="25">
        <v>0</v>
      </c>
      <c r="T751" s="25">
        <v>0.22372881355932203</v>
      </c>
    </row>
    <row r="752" spans="1:20" x14ac:dyDescent="0.25">
      <c r="A752" s="8" t="s">
        <v>1578</v>
      </c>
      <c r="B752" s="8" t="s">
        <v>1579</v>
      </c>
      <c r="C752" s="8" t="s">
        <v>3540</v>
      </c>
      <c r="D752" s="8">
        <v>339</v>
      </c>
      <c r="E752" s="24">
        <v>0.362831860780715</v>
      </c>
      <c r="F752" s="24">
        <v>0.63421827554702703</v>
      </c>
      <c r="G752" s="23">
        <v>2.9498524963855999E-3</v>
      </c>
      <c r="H752" s="24">
        <v>0.115044251084327</v>
      </c>
      <c r="I752" s="23">
        <v>6.7846611142158494E-2</v>
      </c>
      <c r="J752" s="24">
        <v>0.30383479595184298</v>
      </c>
      <c r="K752" s="23">
        <v>7.3746316134929699E-2</v>
      </c>
      <c r="L752" s="23">
        <v>2.9498524963855999E-3</v>
      </c>
      <c r="M752" s="24">
        <v>0.433628320693969</v>
      </c>
      <c r="N752" s="23">
        <v>2.9498524963855999E-3</v>
      </c>
      <c r="O752" s="24">
        <v>0.318584084510803</v>
      </c>
      <c r="P752" s="23">
        <v>1.1799409985542301E-2</v>
      </c>
      <c r="Q752" s="24">
        <v>0.41887906193733199</v>
      </c>
      <c r="R752" s="25">
        <v>0</v>
      </c>
      <c r="S752" s="25">
        <v>0</v>
      </c>
      <c r="T752" s="25">
        <v>0.32448377581120946</v>
      </c>
    </row>
    <row r="753" spans="1:20" x14ac:dyDescent="0.25">
      <c r="A753" s="8" t="s">
        <v>1580</v>
      </c>
      <c r="B753" s="8" t="s">
        <v>1581</v>
      </c>
      <c r="C753" s="8" t="s">
        <v>3540</v>
      </c>
      <c r="D753" s="8">
        <v>546</v>
      </c>
      <c r="E753" s="24">
        <v>0.63736265897750799</v>
      </c>
      <c r="F753" s="23">
        <v>0.36080586910247803</v>
      </c>
      <c r="G753" s="23">
        <v>1.8315018387511E-3</v>
      </c>
      <c r="H753" s="23">
        <v>9.3406595289707198E-2</v>
      </c>
      <c r="I753" s="23">
        <v>5.8608058840036399E-2</v>
      </c>
      <c r="J753" s="24">
        <v>0.33882784843444802</v>
      </c>
      <c r="K753" s="23">
        <v>6.0439560562372201E-2</v>
      </c>
      <c r="L753" s="23">
        <v>3.6630036775023001E-3</v>
      </c>
      <c r="M753" s="24">
        <v>0.44505494832992498</v>
      </c>
      <c r="N753" s="23">
        <v>0</v>
      </c>
      <c r="O753" s="24">
        <v>0.227106228470802</v>
      </c>
      <c r="P753" s="23">
        <v>4.0293041616678203E-2</v>
      </c>
      <c r="Q753" s="24">
        <v>0.38827839493751498</v>
      </c>
      <c r="R753" s="25">
        <v>0</v>
      </c>
      <c r="S753" s="25">
        <v>0</v>
      </c>
      <c r="T753" s="25">
        <v>0.2216117216117216</v>
      </c>
    </row>
    <row r="754" spans="1:20" x14ac:dyDescent="0.25">
      <c r="A754" s="8" t="s">
        <v>1582</v>
      </c>
      <c r="B754" s="8" t="s">
        <v>1583</v>
      </c>
      <c r="C754" s="8" t="s">
        <v>3540</v>
      </c>
      <c r="D754" s="8">
        <v>522</v>
      </c>
      <c r="E754" s="24">
        <v>0.44252872467040999</v>
      </c>
      <c r="F754" s="24">
        <v>0.55747127532958896</v>
      </c>
      <c r="G754" s="23">
        <v>0</v>
      </c>
      <c r="H754" s="24">
        <v>0.139846742153167</v>
      </c>
      <c r="I754" s="24">
        <v>0.103448279201984</v>
      </c>
      <c r="J754" s="24">
        <v>0.23563218116760201</v>
      </c>
      <c r="K754" s="23">
        <v>9.5785439014434801E-2</v>
      </c>
      <c r="L754" s="23">
        <v>3.8314175326377002E-3</v>
      </c>
      <c r="M754" s="24">
        <v>0.42145594954490601</v>
      </c>
      <c r="N754" s="23">
        <v>0</v>
      </c>
      <c r="O754" s="24">
        <v>0.30459770560264499</v>
      </c>
      <c r="P754" s="23">
        <v>1.53256701305509E-2</v>
      </c>
      <c r="Q754" s="24">
        <v>0.42145594954490601</v>
      </c>
      <c r="R754" s="25">
        <v>0</v>
      </c>
      <c r="S754" s="25">
        <v>0</v>
      </c>
      <c r="T754" s="25">
        <v>0.3007662835249042</v>
      </c>
    </row>
    <row r="755" spans="1:20" x14ac:dyDescent="0.25">
      <c r="A755" s="8" t="s">
        <v>1584</v>
      </c>
      <c r="B755" s="8" t="s">
        <v>1585</v>
      </c>
      <c r="C755" s="8" t="s">
        <v>3540</v>
      </c>
      <c r="D755" s="8">
        <v>585</v>
      </c>
      <c r="E755" s="24">
        <v>0.45299145579338002</v>
      </c>
      <c r="F755" s="24">
        <v>0.54700857400894098</v>
      </c>
      <c r="G755" s="23">
        <v>0</v>
      </c>
      <c r="H755" s="23">
        <v>4.2735043913125999E-2</v>
      </c>
      <c r="I755" s="24">
        <v>0.266666680574417</v>
      </c>
      <c r="J755" s="24">
        <v>0.41538462042808499</v>
      </c>
      <c r="K755" s="23">
        <v>3.7606839090585702E-2</v>
      </c>
      <c r="L755" s="23">
        <v>5.1282052882016E-3</v>
      </c>
      <c r="M755" s="24">
        <v>0.227350428700447</v>
      </c>
      <c r="N755" s="23">
        <v>5.1282052882016E-3</v>
      </c>
      <c r="O755" s="24">
        <v>0.33162394165992698</v>
      </c>
      <c r="P755" s="23">
        <v>6.4957268536090906E-2</v>
      </c>
      <c r="Q755" s="24">
        <v>0.65299147367477395</v>
      </c>
      <c r="R755" s="25">
        <v>0</v>
      </c>
      <c r="S755" s="25">
        <v>1.7094017094017094E-3</v>
      </c>
      <c r="T755" s="25">
        <v>0.3264957264957265</v>
      </c>
    </row>
    <row r="756" spans="1:20" x14ac:dyDescent="0.25">
      <c r="A756" s="8" t="s">
        <v>1586</v>
      </c>
      <c r="B756" s="8" t="s">
        <v>1587</v>
      </c>
      <c r="C756" s="8" t="s">
        <v>3540</v>
      </c>
      <c r="D756" s="8">
        <v>116</v>
      </c>
      <c r="E756" s="24">
        <v>0.45689654350280701</v>
      </c>
      <c r="F756" s="24">
        <v>0.54310345649719205</v>
      </c>
      <c r="G756" s="23">
        <v>0</v>
      </c>
      <c r="H756" s="23">
        <v>2.5862069800496101E-2</v>
      </c>
      <c r="I756" s="24">
        <v>0.35344827175140298</v>
      </c>
      <c r="J756" s="24">
        <v>0.172413796186447</v>
      </c>
      <c r="K756" s="23">
        <v>8.62068980932236E-2</v>
      </c>
      <c r="L756" s="23">
        <v>8.6206896230578006E-3</v>
      </c>
      <c r="M756" s="24">
        <v>0.35344827175140298</v>
      </c>
      <c r="N756" s="23">
        <v>0</v>
      </c>
      <c r="O756" s="24">
        <v>0.26724138855934099</v>
      </c>
      <c r="P756" s="23">
        <v>8.6206896230578006E-3</v>
      </c>
      <c r="Q756" s="24">
        <v>0.37931033968925398</v>
      </c>
      <c r="R756" s="25">
        <v>6.8965517241379309E-2</v>
      </c>
      <c r="S756" s="25">
        <v>8.6206896551724137E-3</v>
      </c>
      <c r="T756" s="25">
        <v>0.12931034482758622</v>
      </c>
    </row>
    <row r="757" spans="1:20" x14ac:dyDescent="0.25">
      <c r="A757" s="8" t="s">
        <v>1588</v>
      </c>
      <c r="B757" s="8" t="s">
        <v>1589</v>
      </c>
      <c r="C757" s="8" t="s">
        <v>3540</v>
      </c>
      <c r="D757" s="8">
        <v>451</v>
      </c>
      <c r="E757" s="24">
        <v>0.54101997613906805</v>
      </c>
      <c r="F757" s="24">
        <v>0.45898005366325301</v>
      </c>
      <c r="G757" s="23">
        <v>0</v>
      </c>
      <c r="H757" s="23">
        <v>7.7605322003364605E-2</v>
      </c>
      <c r="I757" s="24">
        <v>0.45898005366325301</v>
      </c>
      <c r="J757" s="24">
        <v>0.379157423973083</v>
      </c>
      <c r="K757" s="23">
        <v>6.6518848761915996E-3</v>
      </c>
      <c r="L757" s="23">
        <v>1.1086474172771E-2</v>
      </c>
      <c r="M757" s="23">
        <v>5.98669610917568E-2</v>
      </c>
      <c r="N757" s="23">
        <v>6.6518848761915996E-3</v>
      </c>
      <c r="O757" s="24">
        <v>0.21729490160942</v>
      </c>
      <c r="P757" s="23">
        <v>9.0909093618392903E-2</v>
      </c>
      <c r="Q757" s="23">
        <v>0.84257203340530396</v>
      </c>
      <c r="R757" s="25">
        <v>0</v>
      </c>
      <c r="S757" s="25">
        <v>0</v>
      </c>
      <c r="T757" s="25">
        <v>0.21286031042128603</v>
      </c>
    </row>
    <row r="758" spans="1:20" x14ac:dyDescent="0.25">
      <c r="A758" s="8" t="s">
        <v>1590</v>
      </c>
      <c r="B758" s="8" t="s">
        <v>1591</v>
      </c>
      <c r="C758" s="8" t="s">
        <v>3540</v>
      </c>
      <c r="D758" s="8">
        <v>267</v>
      </c>
      <c r="E758" s="24">
        <v>0.43445691466331399</v>
      </c>
      <c r="F758" s="24">
        <v>0.56554305553436202</v>
      </c>
      <c r="G758" s="23">
        <v>0</v>
      </c>
      <c r="H758" s="23">
        <v>8.2397006452083602E-2</v>
      </c>
      <c r="I758" s="24">
        <v>0.20224718749523099</v>
      </c>
      <c r="J758" s="23">
        <v>0.55056178569793701</v>
      </c>
      <c r="K758" s="23">
        <v>7.490636780858E-3</v>
      </c>
      <c r="L758" s="23">
        <v>0</v>
      </c>
      <c r="M758" s="23">
        <v>7.8651688992977101E-2</v>
      </c>
      <c r="N758" s="23">
        <v>7.8651688992977101E-2</v>
      </c>
      <c r="O758" s="23">
        <v>0.29588013887405401</v>
      </c>
      <c r="P758" s="24">
        <v>0.32958802580833402</v>
      </c>
      <c r="Q758" s="24">
        <v>0.86516851186752297</v>
      </c>
      <c r="R758" s="25">
        <v>0</v>
      </c>
      <c r="S758" s="25">
        <v>3.7453183520599251E-3</v>
      </c>
      <c r="T758" s="25">
        <v>0.26217228464419473</v>
      </c>
    </row>
    <row r="759" spans="1:20" x14ac:dyDescent="0.25">
      <c r="A759" s="8" t="s">
        <v>1592</v>
      </c>
      <c r="B759" s="8" t="s">
        <v>1593</v>
      </c>
      <c r="C759" s="8" t="s">
        <v>3540</v>
      </c>
      <c r="D759" s="8">
        <v>509</v>
      </c>
      <c r="E759" s="24">
        <v>0.43614929914474398</v>
      </c>
      <c r="F759" s="24">
        <v>0.56385070085525502</v>
      </c>
      <c r="G759" s="23">
        <v>0</v>
      </c>
      <c r="H759" s="23">
        <v>6.4833007752895397E-2</v>
      </c>
      <c r="I759" s="24">
        <v>0.282907664775848</v>
      </c>
      <c r="J759" s="24">
        <v>0.45972496271133401</v>
      </c>
      <c r="K759" s="23">
        <v>3.1434185802936603E-2</v>
      </c>
      <c r="L759" s="23">
        <v>7.8585464507341003E-3</v>
      </c>
      <c r="M759" s="24">
        <v>0.12966601550578999</v>
      </c>
      <c r="N759" s="23">
        <v>2.3575639352202402E-2</v>
      </c>
      <c r="O759" s="24">
        <v>0.23575638234615301</v>
      </c>
      <c r="P759" s="23">
        <v>5.6974459439516102E-2</v>
      </c>
      <c r="Q759" s="23">
        <v>0.68958741426467896</v>
      </c>
      <c r="R759" s="25">
        <v>1.9646365422396855E-3</v>
      </c>
      <c r="S759" s="25">
        <v>0</v>
      </c>
      <c r="T759" s="25">
        <v>0.25147347740667975</v>
      </c>
    </row>
    <row r="760" spans="1:20" x14ac:dyDescent="0.25">
      <c r="A760" s="8" t="s">
        <v>1594</v>
      </c>
      <c r="B760" s="8" t="s">
        <v>1595</v>
      </c>
      <c r="C760" s="8" t="s">
        <v>3540</v>
      </c>
      <c r="D760" s="8">
        <v>741</v>
      </c>
      <c r="E760" s="24">
        <v>0.50877195596694902</v>
      </c>
      <c r="F760" s="24">
        <v>0.48987853527068997</v>
      </c>
      <c r="G760" s="23">
        <v>1.3495276216418E-3</v>
      </c>
      <c r="H760" s="23">
        <v>4.5883942395448699E-2</v>
      </c>
      <c r="I760" s="24">
        <v>0.236167341470718</v>
      </c>
      <c r="J760" s="23">
        <v>0.28070175647735601</v>
      </c>
      <c r="K760" s="23">
        <v>6.6126853227615398E-2</v>
      </c>
      <c r="L760" s="23">
        <v>5.3981104865669996E-3</v>
      </c>
      <c r="M760" s="24">
        <v>0.36302295327186501</v>
      </c>
      <c r="N760" s="23">
        <v>2.6990552432834998E-3</v>
      </c>
      <c r="O760" s="24">
        <v>0.22537112236022899</v>
      </c>
      <c r="P760" s="23">
        <v>5.9379216283559799E-2</v>
      </c>
      <c r="Q760" s="24">
        <v>0.493927121162414</v>
      </c>
      <c r="R760" s="25">
        <v>0</v>
      </c>
      <c r="S760" s="25">
        <v>0</v>
      </c>
      <c r="T760" s="25">
        <v>0.21187584345479082</v>
      </c>
    </row>
    <row r="761" spans="1:20" x14ac:dyDescent="0.25">
      <c r="A761" s="8" t="s">
        <v>1596</v>
      </c>
      <c r="B761" s="8" t="s">
        <v>1597</v>
      </c>
      <c r="C761" s="8" t="s">
        <v>3540</v>
      </c>
      <c r="D761" s="8">
        <v>332</v>
      </c>
      <c r="E761" s="24">
        <v>0.50602412223815896</v>
      </c>
      <c r="F761" s="24">
        <v>0.49397590756416299</v>
      </c>
      <c r="G761" s="23">
        <v>0</v>
      </c>
      <c r="H761" s="23">
        <v>4.2168673127889598E-2</v>
      </c>
      <c r="I761" s="23">
        <v>9.0361442416905993E-3</v>
      </c>
      <c r="J761" s="24">
        <v>0.80421686172485296</v>
      </c>
      <c r="K761" s="23">
        <v>2.1084336563944799E-2</v>
      </c>
      <c r="L761" s="23">
        <v>0</v>
      </c>
      <c r="M761" s="24">
        <v>0.12349397689104</v>
      </c>
      <c r="N761" s="23">
        <v>0</v>
      </c>
      <c r="O761" s="24">
        <v>0.237951800227165</v>
      </c>
      <c r="P761" s="24">
        <v>0.40662649273872298</v>
      </c>
      <c r="Q761" s="24">
        <v>0.80120480060577304</v>
      </c>
      <c r="R761" s="25">
        <v>5.4216867469879519E-2</v>
      </c>
      <c r="S761" s="25">
        <v>0</v>
      </c>
      <c r="T761" s="25">
        <v>0.16867469879518071</v>
      </c>
    </row>
    <row r="762" spans="1:20" x14ac:dyDescent="0.25">
      <c r="A762" s="8" t="s">
        <v>1598</v>
      </c>
      <c r="B762" s="8" t="s">
        <v>1599</v>
      </c>
      <c r="C762" s="8" t="s">
        <v>3540</v>
      </c>
      <c r="D762" s="8">
        <v>322</v>
      </c>
      <c r="E762" s="24">
        <v>0.48136645555496199</v>
      </c>
      <c r="F762" s="24">
        <v>0.51863354444503695</v>
      </c>
      <c r="G762" s="23">
        <v>0</v>
      </c>
      <c r="H762" s="23">
        <v>3.1055901199579201E-2</v>
      </c>
      <c r="I762" s="24">
        <v>0.354037255048751</v>
      </c>
      <c r="J762" s="24">
        <v>0.52484470605850198</v>
      </c>
      <c r="K762" s="23">
        <v>6.2111802399158001E-3</v>
      </c>
      <c r="L762" s="23">
        <v>3.1055901199579E-3</v>
      </c>
      <c r="M762" s="23">
        <v>4.0372669696807903E-2</v>
      </c>
      <c r="N762" s="23">
        <v>4.0372669696807903E-2</v>
      </c>
      <c r="O762" s="24">
        <v>0.232919260859489</v>
      </c>
      <c r="P762" s="24">
        <v>0.369565218687057</v>
      </c>
      <c r="Q762" s="24">
        <v>0.85714286565780595</v>
      </c>
      <c r="R762" s="25">
        <v>0</v>
      </c>
      <c r="S762" s="25">
        <v>5.5900621118012424E-2</v>
      </c>
      <c r="T762" s="25">
        <v>0.16149068322981366</v>
      </c>
    </row>
    <row r="763" spans="1:20" x14ac:dyDescent="0.25">
      <c r="A763" s="8" t="s">
        <v>1600</v>
      </c>
      <c r="B763" s="8" t="s">
        <v>1601</v>
      </c>
      <c r="C763" s="8" t="s">
        <v>3540</v>
      </c>
      <c r="D763" s="8">
        <v>174</v>
      </c>
      <c r="E763" s="23">
        <v>0.54597699642181396</v>
      </c>
      <c r="F763" s="24">
        <v>0.45402297377586298</v>
      </c>
      <c r="G763" s="23">
        <v>0</v>
      </c>
      <c r="H763" s="23">
        <v>7.4712641537189498E-2</v>
      </c>
      <c r="I763" s="23">
        <v>7.4712641537189498E-2</v>
      </c>
      <c r="J763" s="24">
        <v>0.74712646007537797</v>
      </c>
      <c r="K763" s="23">
        <v>5.7471264153719E-3</v>
      </c>
      <c r="L763" s="23">
        <v>5.7471264153719E-3</v>
      </c>
      <c r="M763" s="23">
        <v>9.1954022645950304E-2</v>
      </c>
      <c r="N763" s="23">
        <v>0</v>
      </c>
      <c r="O763" s="24">
        <v>0.33333334326744002</v>
      </c>
      <c r="P763" s="24">
        <v>0.109195403754711</v>
      </c>
      <c r="Q763" s="24">
        <v>0.93678158521652199</v>
      </c>
      <c r="R763" s="25">
        <v>5.7471264367816091E-3</v>
      </c>
      <c r="S763" s="25">
        <v>0</v>
      </c>
      <c r="T763" s="25">
        <v>0.2471264367816092</v>
      </c>
    </row>
    <row r="764" spans="1:20" x14ac:dyDescent="0.25">
      <c r="A764" s="8" t="s">
        <v>1602</v>
      </c>
      <c r="B764" s="8" t="s">
        <v>1603</v>
      </c>
      <c r="C764" s="8" t="s">
        <v>3540</v>
      </c>
      <c r="D764" s="8">
        <v>109</v>
      </c>
      <c r="E764" s="23">
        <v>0.302752286195755</v>
      </c>
      <c r="F764" s="24">
        <v>0.69724768400192205</v>
      </c>
      <c r="G764" s="23">
        <v>0</v>
      </c>
      <c r="H764" s="24">
        <v>0.19266055524349199</v>
      </c>
      <c r="I764" s="24">
        <v>0.28440368175506497</v>
      </c>
      <c r="J764" s="24">
        <v>0.19266055524349199</v>
      </c>
      <c r="K764" s="23">
        <v>9.1743115335703E-3</v>
      </c>
      <c r="L764" s="23">
        <v>1.83486230671406E-2</v>
      </c>
      <c r="M764" s="24">
        <v>0.27522936463356001</v>
      </c>
      <c r="N764" s="23">
        <v>2.7522936463356001E-2</v>
      </c>
      <c r="O764" s="24">
        <v>0.183486238121986</v>
      </c>
      <c r="P764" s="24">
        <v>0.48623853921890198</v>
      </c>
      <c r="Q764" s="24">
        <v>0.94495415687561002</v>
      </c>
      <c r="R764" s="25">
        <v>0</v>
      </c>
      <c r="S764" s="25">
        <v>0</v>
      </c>
      <c r="T764" s="25">
        <v>0.19266055045871561</v>
      </c>
    </row>
    <row r="765" spans="1:20" x14ac:dyDescent="0.25">
      <c r="A765" s="8" t="s">
        <v>1604</v>
      </c>
      <c r="B765" s="8" t="s">
        <v>1605</v>
      </c>
      <c r="C765" s="8" t="s">
        <v>3540</v>
      </c>
      <c r="D765" s="8">
        <v>889</v>
      </c>
      <c r="E765" s="24">
        <v>0.78965127468109098</v>
      </c>
      <c r="F765" s="24">
        <v>0.20922385156154599</v>
      </c>
      <c r="G765" s="23">
        <v>1.1248594382778001E-3</v>
      </c>
      <c r="H765" s="23">
        <v>3.9370078593492501E-2</v>
      </c>
      <c r="I765" s="24">
        <v>0.45894262194633401</v>
      </c>
      <c r="J765" s="24">
        <v>0.29808774590492199</v>
      </c>
      <c r="K765" s="23">
        <v>4.0494937449693701E-2</v>
      </c>
      <c r="L765" s="23">
        <v>4.4994377531110998E-3</v>
      </c>
      <c r="M765" s="24">
        <v>0.13610798120498599</v>
      </c>
      <c r="N765" s="23">
        <v>2.2497188299894302E-2</v>
      </c>
      <c r="O765" s="24">
        <v>0.17097862064838401</v>
      </c>
      <c r="P765" s="23">
        <v>6.7491563968359999E-3</v>
      </c>
      <c r="Q765" s="24">
        <v>0.662542164325714</v>
      </c>
      <c r="R765" s="25">
        <v>0</v>
      </c>
      <c r="S765" s="25">
        <v>2.5871766029246346E-2</v>
      </c>
      <c r="T765" s="25">
        <v>0.1327334083239595</v>
      </c>
    </row>
    <row r="766" spans="1:20" x14ac:dyDescent="0.25">
      <c r="A766" s="8" t="s">
        <v>1606</v>
      </c>
      <c r="B766" s="8" t="s">
        <v>1607</v>
      </c>
      <c r="C766" s="8" t="s">
        <v>3540</v>
      </c>
      <c r="D766" s="8">
        <v>1349</v>
      </c>
      <c r="E766" s="24">
        <v>0.48332098126411399</v>
      </c>
      <c r="F766" s="24">
        <v>0.51593774557113603</v>
      </c>
      <c r="G766" s="23">
        <v>7.4128987034780003E-4</v>
      </c>
      <c r="H766" s="24">
        <v>0.138621196150779</v>
      </c>
      <c r="I766" s="23">
        <v>4.89251315593719E-2</v>
      </c>
      <c r="J766" s="24">
        <v>0.75240921974182096</v>
      </c>
      <c r="K766" s="23">
        <v>1.4825797406957E-3</v>
      </c>
      <c r="L766" s="23">
        <v>3.7064491771161999E-3</v>
      </c>
      <c r="M766" s="23">
        <v>5.1148999482393299E-2</v>
      </c>
      <c r="N766" s="23">
        <v>3.7064491771161999E-3</v>
      </c>
      <c r="O766" s="23">
        <v>0.18606375157833099</v>
      </c>
      <c r="P766" s="24">
        <v>0.29577463865280101</v>
      </c>
      <c r="Q766" s="24">
        <v>0.86212009191512995</v>
      </c>
      <c r="R766" s="25">
        <v>0</v>
      </c>
      <c r="S766" s="25">
        <v>1.8532246108228317E-2</v>
      </c>
      <c r="T766" s="25">
        <v>0.15196441808747221</v>
      </c>
    </row>
    <row r="767" spans="1:20" x14ac:dyDescent="0.25">
      <c r="A767" s="8" t="s">
        <v>1608</v>
      </c>
      <c r="B767" s="8" t="s">
        <v>1609</v>
      </c>
      <c r="C767" s="8" t="s">
        <v>3540</v>
      </c>
      <c r="D767" s="8">
        <v>169</v>
      </c>
      <c r="E767" s="24">
        <v>0.42011833190917902</v>
      </c>
      <c r="F767" s="24">
        <v>0.57988166809081998</v>
      </c>
      <c r="G767" s="23">
        <v>0</v>
      </c>
      <c r="H767" s="23">
        <v>2.3668639361858399E-2</v>
      </c>
      <c r="I767" s="24">
        <v>0.23076923191547299</v>
      </c>
      <c r="J767" s="23">
        <v>0.207100585103035</v>
      </c>
      <c r="K767" s="23">
        <v>8.8757395744323703E-2</v>
      </c>
      <c r="L767" s="23">
        <v>5.9171598404645998E-3</v>
      </c>
      <c r="M767" s="24">
        <v>0.44378697872161799</v>
      </c>
      <c r="N767" s="23">
        <v>0</v>
      </c>
      <c r="O767" s="24">
        <v>0.48520711064338601</v>
      </c>
      <c r="P767" s="23">
        <v>5.3254436701536199E-2</v>
      </c>
      <c r="Q767" s="24">
        <v>0.46153846383094699</v>
      </c>
      <c r="R767" s="25">
        <v>1.7751479289940829E-2</v>
      </c>
      <c r="S767" s="25">
        <v>0</v>
      </c>
      <c r="T767" s="25">
        <v>0.46153846153846156</v>
      </c>
    </row>
    <row r="768" spans="1:20" x14ac:dyDescent="0.25">
      <c r="A768" s="8" t="s">
        <v>1610</v>
      </c>
      <c r="B768" s="8" t="s">
        <v>1611</v>
      </c>
      <c r="C768" s="8" t="s">
        <v>3540</v>
      </c>
      <c r="D768" s="8">
        <v>686</v>
      </c>
      <c r="E768" s="23">
        <v>0.533527672290802</v>
      </c>
      <c r="F768" s="24">
        <v>0.466472297906875</v>
      </c>
      <c r="G768" s="23">
        <v>0</v>
      </c>
      <c r="H768" s="24">
        <v>0.25947523117065402</v>
      </c>
      <c r="I768" s="24">
        <v>0.177842572331428</v>
      </c>
      <c r="J768" s="24">
        <v>0.17492711544036799</v>
      </c>
      <c r="K768" s="23">
        <v>4.5189503580331802E-2</v>
      </c>
      <c r="L768" s="23">
        <v>2.9154520016164E-3</v>
      </c>
      <c r="M768" s="24">
        <v>0.32507288455963101</v>
      </c>
      <c r="N768" s="23">
        <v>1.4577259309589899E-2</v>
      </c>
      <c r="O768" s="24">
        <v>0.16618075966835</v>
      </c>
      <c r="P768" s="23">
        <v>2.9154520016164E-3</v>
      </c>
      <c r="Q768" s="24">
        <v>0.55102038383483798</v>
      </c>
      <c r="R768" s="25">
        <v>0</v>
      </c>
      <c r="S768" s="25">
        <v>0</v>
      </c>
      <c r="T768" s="25">
        <v>0.16763848396501457</v>
      </c>
    </row>
    <row r="769" spans="1:20" x14ac:dyDescent="0.25">
      <c r="A769" s="8" t="s">
        <v>1612</v>
      </c>
      <c r="B769" s="8" t="s">
        <v>1613</v>
      </c>
      <c r="C769" s="8" t="s">
        <v>3540</v>
      </c>
      <c r="D769" s="8">
        <v>159</v>
      </c>
      <c r="E769" s="24">
        <v>0.496855348348617</v>
      </c>
      <c r="F769" s="24">
        <v>0.50314468145370395</v>
      </c>
      <c r="G769" s="23">
        <v>0</v>
      </c>
      <c r="H769" s="23">
        <v>2.5157231837511101E-2</v>
      </c>
      <c r="I769" s="24">
        <v>0.18238992989063199</v>
      </c>
      <c r="J769" s="24">
        <v>0.72327041625976496</v>
      </c>
      <c r="K769" s="23">
        <v>1.25786159187555E-2</v>
      </c>
      <c r="L769" s="23">
        <v>0</v>
      </c>
      <c r="M769" s="23">
        <v>5.6603774428367601E-2</v>
      </c>
      <c r="N769" s="23">
        <v>0</v>
      </c>
      <c r="O769" s="24">
        <v>0.33333334326744002</v>
      </c>
      <c r="P769" s="24">
        <v>0.245283022522926</v>
      </c>
      <c r="Q769" s="24">
        <v>0.94339621067047097</v>
      </c>
      <c r="R769" s="25">
        <v>1.8867924528301886E-2</v>
      </c>
      <c r="S769" s="25">
        <v>0</v>
      </c>
      <c r="T769" s="25">
        <v>0.37735849056603776</v>
      </c>
    </row>
    <row r="770" spans="1:20" x14ac:dyDescent="0.25">
      <c r="A770" s="8" t="s">
        <v>1614</v>
      </c>
      <c r="B770" s="8" t="s">
        <v>1615</v>
      </c>
      <c r="C770" s="8" t="s">
        <v>3540</v>
      </c>
      <c r="D770" s="8">
        <v>391</v>
      </c>
      <c r="E770" s="24">
        <v>0.51662403345107999</v>
      </c>
      <c r="F770" s="24">
        <v>0.48337596654891901</v>
      </c>
      <c r="G770" s="23">
        <v>0</v>
      </c>
      <c r="H770" s="23">
        <v>7.6726339757442502E-2</v>
      </c>
      <c r="I770" s="23">
        <v>5.1150894723832998E-3</v>
      </c>
      <c r="J770" s="24">
        <v>0.85677748918533303</v>
      </c>
      <c r="K770" s="23">
        <v>1.0230178944766501E-2</v>
      </c>
      <c r="L770" s="23">
        <v>0</v>
      </c>
      <c r="M770" s="23">
        <v>4.6035803854465498E-2</v>
      </c>
      <c r="N770" s="23">
        <v>5.1150894723832998E-3</v>
      </c>
      <c r="O770" s="24">
        <v>0.296675205230712</v>
      </c>
      <c r="P770" s="23">
        <v>0.30434781312942499</v>
      </c>
      <c r="Q770" s="24">
        <v>0.89769822359085005</v>
      </c>
      <c r="R770" s="25">
        <v>0</v>
      </c>
      <c r="S770" s="25">
        <v>5.8823529411764705E-2</v>
      </c>
      <c r="T770" s="25">
        <v>0.23273657289002558</v>
      </c>
    </row>
    <row r="771" spans="1:20" x14ac:dyDescent="0.25">
      <c r="A771" s="8" t="s">
        <v>1616</v>
      </c>
      <c r="B771" s="8" t="s">
        <v>1617</v>
      </c>
      <c r="C771" s="8" t="s">
        <v>3540</v>
      </c>
      <c r="D771" s="8">
        <v>314</v>
      </c>
      <c r="E771" s="24">
        <v>0.55095541477203303</v>
      </c>
      <c r="F771" s="24">
        <v>0.44585987925529402</v>
      </c>
      <c r="G771" s="23">
        <v>3.1847134232521001E-3</v>
      </c>
      <c r="H771" s="24">
        <v>0.114649683237075</v>
      </c>
      <c r="I771" s="23">
        <v>7.0063695311546298E-2</v>
      </c>
      <c r="J771" s="24">
        <v>0.32802549004554699</v>
      </c>
      <c r="K771" s="23">
        <v>5.7324841618537903E-2</v>
      </c>
      <c r="L771" s="23">
        <v>0</v>
      </c>
      <c r="M771" s="24">
        <v>0.42356687784194902</v>
      </c>
      <c r="N771" s="23">
        <v>6.3694268465042002E-3</v>
      </c>
      <c r="O771" s="24">
        <v>0.28025478124618503</v>
      </c>
      <c r="P771" s="23">
        <v>5.7324841618537903E-2</v>
      </c>
      <c r="Q771" s="24">
        <v>0.458598732948303</v>
      </c>
      <c r="R771" s="25">
        <v>0</v>
      </c>
      <c r="S771" s="25">
        <v>0</v>
      </c>
      <c r="T771" s="25">
        <v>0.27707006369426751</v>
      </c>
    </row>
    <row r="772" spans="1:20" x14ac:dyDescent="0.25">
      <c r="A772" s="8" t="s">
        <v>1618</v>
      </c>
      <c r="B772" s="8" t="s">
        <v>1619</v>
      </c>
      <c r="C772" s="8" t="s">
        <v>3540</v>
      </c>
      <c r="D772" s="8">
        <v>322</v>
      </c>
      <c r="E772" s="24">
        <v>0.434782594442367</v>
      </c>
      <c r="F772" s="24">
        <v>0.56521737575530995</v>
      </c>
      <c r="G772" s="23">
        <v>0</v>
      </c>
      <c r="H772" s="24">
        <v>0.42236024141311601</v>
      </c>
      <c r="I772" s="23">
        <v>1.2422360479831701E-2</v>
      </c>
      <c r="J772" s="24">
        <v>0.468944102525711</v>
      </c>
      <c r="K772" s="23">
        <v>2.1739130839705498E-2</v>
      </c>
      <c r="L772" s="23">
        <v>3.1055901199579E-3</v>
      </c>
      <c r="M772" s="23">
        <v>7.1428574621677399E-2</v>
      </c>
      <c r="N772" s="23">
        <v>0</v>
      </c>
      <c r="O772" s="24">
        <v>0.28571429848670898</v>
      </c>
      <c r="P772" s="23">
        <v>0.5</v>
      </c>
      <c r="Q772" s="24">
        <v>0.87267082929611195</v>
      </c>
      <c r="R772" s="25">
        <v>0.16459627329192547</v>
      </c>
      <c r="S772" s="25">
        <v>0</v>
      </c>
      <c r="T772" s="25">
        <v>0.11490683229813664</v>
      </c>
    </row>
    <row r="773" spans="1:20" x14ac:dyDescent="0.25">
      <c r="A773" s="8" t="s">
        <v>1620</v>
      </c>
      <c r="B773" s="8" t="s">
        <v>1621</v>
      </c>
      <c r="C773" s="8" t="s">
        <v>3540</v>
      </c>
      <c r="D773" s="8">
        <v>163</v>
      </c>
      <c r="E773" s="24">
        <v>0.36809816956519997</v>
      </c>
      <c r="F773" s="24">
        <v>0.63190186023712103</v>
      </c>
      <c r="G773" s="23">
        <v>0</v>
      </c>
      <c r="H773" s="24">
        <v>0.13496932387351901</v>
      </c>
      <c r="I773" s="23">
        <v>6.134969368577E-2</v>
      </c>
      <c r="J773" s="24">
        <v>0.5644171833992</v>
      </c>
      <c r="K773" s="23">
        <v>3.6809816956520101E-2</v>
      </c>
      <c r="L773" s="23">
        <v>1.2269938364625E-2</v>
      </c>
      <c r="M773" s="24">
        <v>0.19018404185771901</v>
      </c>
      <c r="N773" s="23">
        <v>0</v>
      </c>
      <c r="O773" s="24">
        <v>0.527607381343841</v>
      </c>
      <c r="P773" s="24">
        <v>0.19018404185771901</v>
      </c>
      <c r="Q773" s="24">
        <v>0.63803678750991799</v>
      </c>
      <c r="R773" s="25">
        <v>0.20858895705521471</v>
      </c>
      <c r="S773" s="25">
        <v>0</v>
      </c>
      <c r="T773" s="25">
        <v>0.20245398773006135</v>
      </c>
    </row>
    <row r="774" spans="1:20" x14ac:dyDescent="0.25">
      <c r="A774" s="8" t="s">
        <v>1622</v>
      </c>
      <c r="B774" s="8" t="s">
        <v>1623</v>
      </c>
      <c r="C774" s="8" t="s">
        <v>3540</v>
      </c>
      <c r="D774" s="8">
        <v>217</v>
      </c>
      <c r="E774" s="24">
        <v>0.50691246986389105</v>
      </c>
      <c r="F774" s="24">
        <v>0.49308755993843001</v>
      </c>
      <c r="G774" s="23">
        <v>0</v>
      </c>
      <c r="H774" s="23">
        <v>1.8433179706335099E-2</v>
      </c>
      <c r="I774" s="24">
        <v>0.60829490423202504</v>
      </c>
      <c r="J774" s="23">
        <v>0.18894009292125699</v>
      </c>
      <c r="K774" s="23">
        <v>6.9124422967433902E-2</v>
      </c>
      <c r="L774" s="23">
        <v>9.2165898531674992E-3</v>
      </c>
      <c r="M774" s="24">
        <v>0.105990782380104</v>
      </c>
      <c r="N774" s="23">
        <v>0</v>
      </c>
      <c r="O774" s="24">
        <v>0.271889388561248</v>
      </c>
      <c r="P774" s="23">
        <v>6.9124422967433902E-2</v>
      </c>
      <c r="Q774" s="24">
        <v>0.80645161867141701</v>
      </c>
      <c r="R774" s="25">
        <v>6.9124423963133647E-2</v>
      </c>
      <c r="S774" s="25">
        <v>9.2165898617511521E-3</v>
      </c>
      <c r="T774" s="25">
        <v>0.17972350230414746</v>
      </c>
    </row>
    <row r="775" spans="1:20" x14ac:dyDescent="0.25">
      <c r="A775" s="8" t="s">
        <v>1624</v>
      </c>
      <c r="B775" s="8" t="s">
        <v>1625</v>
      </c>
      <c r="C775" s="8" t="s">
        <v>3540</v>
      </c>
      <c r="D775" s="8">
        <v>441</v>
      </c>
      <c r="E775" s="24">
        <v>0.55328798294067305</v>
      </c>
      <c r="F775" s="24">
        <v>0.44671201705932601</v>
      </c>
      <c r="G775" s="23">
        <v>0</v>
      </c>
      <c r="H775" s="23">
        <v>2.2675737272948001E-3</v>
      </c>
      <c r="I775" s="24">
        <v>0.827664375305175</v>
      </c>
      <c r="J775" s="24">
        <v>0.147392287850379</v>
      </c>
      <c r="K775" s="23">
        <v>6.8027209490537999E-3</v>
      </c>
      <c r="L775" s="23">
        <v>6.8027209490537999E-3</v>
      </c>
      <c r="M775" s="23">
        <v>9.0702949091792003E-3</v>
      </c>
      <c r="N775" s="23">
        <v>0</v>
      </c>
      <c r="O775" s="24">
        <v>0.19954648613929701</v>
      </c>
      <c r="P775" s="23">
        <v>2.9478458687663099E-2</v>
      </c>
      <c r="Q775" s="24">
        <v>0.80045354366302401</v>
      </c>
      <c r="R775" s="25">
        <v>3.8548752834467119E-2</v>
      </c>
      <c r="S775" s="25">
        <v>0</v>
      </c>
      <c r="T775" s="25">
        <v>0.14965986394557823</v>
      </c>
    </row>
    <row r="776" spans="1:20" x14ac:dyDescent="0.25">
      <c r="A776" s="8" t="s">
        <v>3544</v>
      </c>
      <c r="B776" s="8"/>
      <c r="C776" s="8" t="s">
        <v>3540</v>
      </c>
      <c r="D776" s="8">
        <v>52</v>
      </c>
      <c r="E776" s="24">
        <v>0.44230768084526001</v>
      </c>
      <c r="F776" s="23">
        <v>0.55769228935241699</v>
      </c>
      <c r="G776" s="23">
        <v>0</v>
      </c>
      <c r="H776" s="23">
        <v>1.9230769947171201E-2</v>
      </c>
      <c r="I776" s="24">
        <v>0.38461539149284302</v>
      </c>
      <c r="J776" s="23">
        <v>0.55769228935241699</v>
      </c>
      <c r="K776" s="23">
        <v>0</v>
      </c>
      <c r="L776" s="23">
        <v>0</v>
      </c>
      <c r="M776" s="23">
        <v>3.8461539894342402E-2</v>
      </c>
      <c r="N776" s="23">
        <v>0</v>
      </c>
      <c r="O776" s="23">
        <v>9.6153847873210893E-2</v>
      </c>
      <c r="P776" s="23">
        <v>0.5</v>
      </c>
      <c r="Q776" s="24">
        <v>0.98076921701431197</v>
      </c>
      <c r="R776" s="25">
        <v>1.9230769230769232E-2</v>
      </c>
      <c r="S776" s="25">
        <v>0</v>
      </c>
      <c r="T776" s="25">
        <v>0.11538461538461539</v>
      </c>
    </row>
    <row r="777" spans="1:20" x14ac:dyDescent="0.25">
      <c r="A777" s="8" t="s">
        <v>1626</v>
      </c>
      <c r="B777" s="8" t="s">
        <v>1627</v>
      </c>
      <c r="C777" s="8" t="s">
        <v>3540</v>
      </c>
      <c r="D777" s="8">
        <v>214</v>
      </c>
      <c r="E777" s="24">
        <v>0.51869159936904896</v>
      </c>
      <c r="F777" s="24">
        <v>0.48130840063094998</v>
      </c>
      <c r="G777" s="23">
        <v>0</v>
      </c>
      <c r="H777" s="23">
        <v>2.3364486172795299E-2</v>
      </c>
      <c r="I777" s="24">
        <v>0.47663551568984902</v>
      </c>
      <c r="J777" s="24">
        <v>0.36448597908019997</v>
      </c>
      <c r="K777" s="23">
        <v>1.40186911448836E-2</v>
      </c>
      <c r="L777" s="23">
        <v>3.2710280269384398E-2</v>
      </c>
      <c r="M777" s="23">
        <v>8.8785044848918901E-2</v>
      </c>
      <c r="N777" s="23">
        <v>0</v>
      </c>
      <c r="O777" s="24">
        <v>0.242990657687187</v>
      </c>
      <c r="P777" s="24">
        <v>0.26168224215507502</v>
      </c>
      <c r="Q777" s="24">
        <v>0.79439252614974898</v>
      </c>
      <c r="R777" s="25">
        <v>1.4018691588785047E-2</v>
      </c>
      <c r="S777" s="25">
        <v>0</v>
      </c>
      <c r="T777" s="25">
        <v>0.21495327102803738</v>
      </c>
    </row>
    <row r="778" spans="1:20" x14ac:dyDescent="0.25">
      <c r="A778" s="8" t="s">
        <v>1628</v>
      </c>
      <c r="B778" s="8" t="s">
        <v>1629</v>
      </c>
      <c r="C778" s="8" t="s">
        <v>3540</v>
      </c>
      <c r="D778" s="8">
        <v>177</v>
      </c>
      <c r="E778" s="24">
        <v>0.51412427425384499</v>
      </c>
      <c r="F778" s="24">
        <v>0.48587569594383201</v>
      </c>
      <c r="G778" s="23">
        <v>0</v>
      </c>
      <c r="H778" s="23">
        <v>0</v>
      </c>
      <c r="I778" s="24">
        <v>0.841807901859283</v>
      </c>
      <c r="J778" s="24">
        <v>0.13559322059154499</v>
      </c>
      <c r="K778" s="23">
        <v>1.1299435049295399E-2</v>
      </c>
      <c r="L778" s="23">
        <v>5.6497175246476997E-3</v>
      </c>
      <c r="M778" s="23">
        <v>5.6497175246476997E-3</v>
      </c>
      <c r="N778" s="23">
        <v>0</v>
      </c>
      <c r="O778" s="24">
        <v>0.37853106856346103</v>
      </c>
      <c r="P778" s="23">
        <v>1.69491525739431E-2</v>
      </c>
      <c r="Q778" s="23">
        <v>0.90960454940795898</v>
      </c>
      <c r="R778" s="25">
        <v>0</v>
      </c>
      <c r="S778" s="25">
        <v>0.11299435028248588</v>
      </c>
      <c r="T778" s="25">
        <v>0.2711864406779661</v>
      </c>
    </row>
    <row r="779" spans="1:20" x14ac:dyDescent="0.25">
      <c r="A779" s="8" t="s">
        <v>1630</v>
      </c>
      <c r="B779" s="8" t="s">
        <v>1631</v>
      </c>
      <c r="C779" s="8" t="s">
        <v>3540</v>
      </c>
      <c r="D779" s="8">
        <v>469</v>
      </c>
      <c r="E779" s="24">
        <v>0.511727094650268</v>
      </c>
      <c r="F779" s="24">
        <v>0.488272935152053</v>
      </c>
      <c r="G779" s="23">
        <v>0</v>
      </c>
      <c r="H779" s="23">
        <v>3.6247335374355302E-2</v>
      </c>
      <c r="I779" s="24">
        <v>0.66524517536163297</v>
      </c>
      <c r="J779" s="24">
        <v>0.21321961283683699</v>
      </c>
      <c r="K779" s="23">
        <v>2.34541576355696E-2</v>
      </c>
      <c r="L779" s="23">
        <v>8.5287848487495994E-3</v>
      </c>
      <c r="M779" s="23">
        <v>5.3304903209209401E-2</v>
      </c>
      <c r="N779" s="23">
        <v>0</v>
      </c>
      <c r="O779" s="24">
        <v>0.211087420582771</v>
      </c>
      <c r="P779" s="23">
        <v>9.3816630542278304E-2</v>
      </c>
      <c r="Q779" s="23">
        <v>0.89552241563796997</v>
      </c>
      <c r="R779" s="25">
        <v>0.1257995735607676</v>
      </c>
      <c r="S779" s="25">
        <v>0</v>
      </c>
      <c r="T779" s="25">
        <v>8.5287846481876331E-2</v>
      </c>
    </row>
    <row r="780" spans="1:20" x14ac:dyDescent="0.25">
      <c r="A780" s="8" t="s">
        <v>1632</v>
      </c>
      <c r="B780" s="8" t="s">
        <v>1633</v>
      </c>
      <c r="C780" s="8" t="s">
        <v>3540</v>
      </c>
      <c r="D780" s="8">
        <v>78</v>
      </c>
      <c r="E780" s="24">
        <v>0.47435897588729797</v>
      </c>
      <c r="F780" s="24">
        <v>0.52564102411270097</v>
      </c>
      <c r="G780" s="23">
        <v>0</v>
      </c>
      <c r="H780" s="23">
        <v>2.56410259753466E-2</v>
      </c>
      <c r="I780" s="24">
        <v>0.53846156597137396</v>
      </c>
      <c r="J780" s="24">
        <v>0.346153855323791</v>
      </c>
      <c r="K780" s="23">
        <v>1.28205129876733E-2</v>
      </c>
      <c r="L780" s="23">
        <v>1.28205129876733E-2</v>
      </c>
      <c r="M780" s="23">
        <v>6.4102567732334095E-2</v>
      </c>
      <c r="N780" s="23">
        <v>0</v>
      </c>
      <c r="O780" s="24">
        <v>0.38461539149284302</v>
      </c>
      <c r="P780" s="24">
        <v>0.20512820780277199</v>
      </c>
      <c r="Q780" s="24">
        <v>0.93589740991592396</v>
      </c>
      <c r="R780" s="25">
        <v>7.6923076923076927E-2</v>
      </c>
      <c r="S780" s="25">
        <v>5.128205128205128E-2</v>
      </c>
      <c r="T780" s="25">
        <v>0.23076923076923078</v>
      </c>
    </row>
    <row r="781" spans="1:20" x14ac:dyDescent="0.25">
      <c r="A781" s="8" t="s">
        <v>1634</v>
      </c>
      <c r="B781" s="8" t="s">
        <v>1635</v>
      </c>
      <c r="C781" s="8" t="s">
        <v>3540</v>
      </c>
      <c r="D781" s="8">
        <v>183</v>
      </c>
      <c r="E781" s="24">
        <v>0.52459013462066595</v>
      </c>
      <c r="F781" s="24">
        <v>0.475409835577011</v>
      </c>
      <c r="G781" s="23">
        <v>0</v>
      </c>
      <c r="H781" s="23">
        <v>3.8251366466283798E-2</v>
      </c>
      <c r="I781" s="24">
        <v>0.41530054807662897</v>
      </c>
      <c r="J781" s="24">
        <v>0.51912569999694802</v>
      </c>
      <c r="K781" s="23">
        <v>1.63934417068958E-2</v>
      </c>
      <c r="L781" s="23">
        <v>0</v>
      </c>
      <c r="M781" s="23">
        <v>1.09289614483714E-2</v>
      </c>
      <c r="N781" s="23">
        <v>0</v>
      </c>
      <c r="O781" s="24">
        <v>0.26229506731033297</v>
      </c>
      <c r="P781" s="24">
        <v>0.153005465865135</v>
      </c>
      <c r="Q781" s="24">
        <v>0.94535517692565896</v>
      </c>
      <c r="R781" s="25">
        <v>0.12021857923497267</v>
      </c>
      <c r="S781" s="25">
        <v>0</v>
      </c>
      <c r="T781" s="25">
        <v>9.2896174863387984E-2</v>
      </c>
    </row>
    <row r="782" spans="1:20" x14ac:dyDescent="0.25">
      <c r="A782" s="8" t="s">
        <v>1637</v>
      </c>
      <c r="B782" s="8" t="s">
        <v>1638</v>
      </c>
      <c r="C782" s="8" t="s">
        <v>3540</v>
      </c>
      <c r="D782" s="8">
        <v>200</v>
      </c>
      <c r="E782" s="24">
        <v>0.50499999523162797</v>
      </c>
      <c r="F782" s="24">
        <v>0.49500000476837103</v>
      </c>
      <c r="G782" s="23">
        <v>0</v>
      </c>
      <c r="H782" s="23">
        <v>3.9999999105930301E-2</v>
      </c>
      <c r="I782" s="24">
        <v>0.66500002145767201</v>
      </c>
      <c r="J782" s="24">
        <v>0.27500000596046398</v>
      </c>
      <c r="K782" s="23">
        <v>9.9999997764825994E-3</v>
      </c>
      <c r="L782" s="23">
        <v>4.9999998882412997E-3</v>
      </c>
      <c r="M782" s="23">
        <v>4.9999998882412997E-3</v>
      </c>
      <c r="N782" s="23">
        <v>0</v>
      </c>
      <c r="O782" s="24">
        <v>0.21500000357627799</v>
      </c>
      <c r="P782" s="24">
        <v>0.10000000149011599</v>
      </c>
      <c r="Q782" s="24">
        <v>0.93999999761581399</v>
      </c>
      <c r="R782" s="25">
        <v>0.06</v>
      </c>
      <c r="S782" s="25">
        <v>0</v>
      </c>
      <c r="T782" s="25">
        <v>0.155</v>
      </c>
    </row>
    <row r="783" spans="1:20" x14ac:dyDescent="0.25">
      <c r="A783" s="8" t="s">
        <v>1639</v>
      </c>
      <c r="B783" s="8" t="s">
        <v>1640</v>
      </c>
      <c r="C783" s="8" t="s">
        <v>3540</v>
      </c>
      <c r="D783" s="8">
        <v>162</v>
      </c>
      <c r="E783" s="24">
        <v>0.44444444775581299</v>
      </c>
      <c r="F783" s="24">
        <v>0.55555558204650801</v>
      </c>
      <c r="G783" s="23">
        <v>0</v>
      </c>
      <c r="H783" s="23">
        <v>1.2345679104328201E-2</v>
      </c>
      <c r="I783" s="24">
        <v>0.73456788063049305</v>
      </c>
      <c r="J783" s="24">
        <v>0.14814814925193701</v>
      </c>
      <c r="K783" s="23">
        <v>4.3209876865148503E-2</v>
      </c>
      <c r="L783" s="23">
        <v>6.1728395521641003E-3</v>
      </c>
      <c r="M783" s="23">
        <v>5.55555559694767E-2</v>
      </c>
      <c r="N783" s="23">
        <v>0</v>
      </c>
      <c r="O783" s="24">
        <v>0.22839505970478</v>
      </c>
      <c r="P783" s="23">
        <v>1.8518518656492199E-2</v>
      </c>
      <c r="Q783" s="24">
        <v>0.86419755220413197</v>
      </c>
      <c r="R783" s="25">
        <v>3.0864197530864196E-2</v>
      </c>
      <c r="S783" s="25">
        <v>0</v>
      </c>
      <c r="T783" s="25">
        <v>0.19135802469135801</v>
      </c>
    </row>
    <row r="784" spans="1:20" x14ac:dyDescent="0.25">
      <c r="A784" s="8" t="s">
        <v>1641</v>
      </c>
      <c r="B784" s="8" t="s">
        <v>1642</v>
      </c>
      <c r="C784" s="8" t="s">
        <v>3540</v>
      </c>
      <c r="D784" s="8">
        <v>142</v>
      </c>
      <c r="E784" s="24">
        <v>0.56338030099868697</v>
      </c>
      <c r="F784" s="24">
        <v>0.43661972880363398</v>
      </c>
      <c r="G784" s="23">
        <v>0</v>
      </c>
      <c r="H784" s="23">
        <v>2.1126760169863701E-2</v>
      </c>
      <c r="I784" s="24">
        <v>0.61267608404159501</v>
      </c>
      <c r="J784" s="24">
        <v>0.316901415586471</v>
      </c>
      <c r="K784" s="23">
        <v>2.1126760169863701E-2</v>
      </c>
      <c r="L784" s="23">
        <v>1.4084506779909099E-2</v>
      </c>
      <c r="M784" s="23">
        <v>1.4084506779909099E-2</v>
      </c>
      <c r="N784" s="23">
        <v>0</v>
      </c>
      <c r="O784" s="24">
        <v>0.260563373565673</v>
      </c>
      <c r="P784" s="23">
        <v>7.74647891521454E-2</v>
      </c>
      <c r="Q784" s="24">
        <v>0.85915493965148904</v>
      </c>
      <c r="R784" s="25">
        <v>0</v>
      </c>
      <c r="S784" s="25">
        <v>7.0422535211267607E-3</v>
      </c>
      <c r="T784" s="25">
        <v>0.21830985915492956</v>
      </c>
    </row>
    <row r="785" spans="1:20" x14ac:dyDescent="0.25">
      <c r="A785" s="8" t="s">
        <v>1643</v>
      </c>
      <c r="B785" s="8" t="s">
        <v>1644</v>
      </c>
      <c r="C785" s="8" t="s">
        <v>3540</v>
      </c>
      <c r="D785" s="8">
        <v>197</v>
      </c>
      <c r="E785" s="24">
        <v>0.451776653528213</v>
      </c>
      <c r="F785" s="24">
        <v>0.548223376274108</v>
      </c>
      <c r="G785" s="23">
        <v>0</v>
      </c>
      <c r="H785" s="23">
        <v>2.0304568111896501E-2</v>
      </c>
      <c r="I785" s="24">
        <v>0.74619287252426103</v>
      </c>
      <c r="J785" s="24">
        <v>0.18781726062297799</v>
      </c>
      <c r="K785" s="23">
        <v>1.0152284055948301E-2</v>
      </c>
      <c r="L785" s="23">
        <v>5.0761420279741001E-3</v>
      </c>
      <c r="M785" s="23">
        <v>3.04568521678448E-2</v>
      </c>
      <c r="N785" s="23">
        <v>0</v>
      </c>
      <c r="O785" s="24">
        <v>0.28934010863304099</v>
      </c>
      <c r="P785" s="23">
        <v>6.5989844501018496E-2</v>
      </c>
      <c r="Q785" s="24">
        <v>0.93908631801605202</v>
      </c>
      <c r="R785" s="25">
        <v>0.1116751269035533</v>
      </c>
      <c r="S785" s="25">
        <v>1.015228426395939E-2</v>
      </c>
      <c r="T785" s="25">
        <v>0.16751269035532995</v>
      </c>
    </row>
    <row r="786" spans="1:20" x14ac:dyDescent="0.25">
      <c r="A786" s="8" t="s">
        <v>1645</v>
      </c>
      <c r="B786" s="8" t="s">
        <v>1646</v>
      </c>
      <c r="C786" s="8" t="s">
        <v>3540</v>
      </c>
      <c r="D786" s="8">
        <v>202</v>
      </c>
      <c r="E786" s="24">
        <v>0.49009901285171498</v>
      </c>
      <c r="F786" s="24">
        <v>0.50990098714828402</v>
      </c>
      <c r="G786" s="23">
        <v>0</v>
      </c>
      <c r="H786" s="23">
        <v>2.4752475321292901E-2</v>
      </c>
      <c r="I786" s="24">
        <v>0.524752497673034</v>
      </c>
      <c r="J786" s="24">
        <v>0.42574256658553999</v>
      </c>
      <c r="K786" s="23">
        <v>1.48514853790402E-2</v>
      </c>
      <c r="L786" s="23">
        <v>0</v>
      </c>
      <c r="M786" s="23">
        <v>9.9009899422525995E-3</v>
      </c>
      <c r="N786" s="23">
        <v>0</v>
      </c>
      <c r="O786" s="24">
        <v>0.25247526168823198</v>
      </c>
      <c r="P786" s="24">
        <v>0.227722778916358</v>
      </c>
      <c r="Q786" s="24">
        <v>0.86633664369583097</v>
      </c>
      <c r="R786" s="25">
        <v>1.9801980198019802E-2</v>
      </c>
      <c r="S786" s="25">
        <v>6.9306930693069313E-2</v>
      </c>
      <c r="T786" s="25">
        <v>0.15841584158415842</v>
      </c>
    </row>
    <row r="787" spans="1:20" x14ac:dyDescent="0.25">
      <c r="A787" s="8" t="s">
        <v>1647</v>
      </c>
      <c r="B787" s="8" t="s">
        <v>1648</v>
      </c>
      <c r="C787" s="8" t="s">
        <v>3540</v>
      </c>
      <c r="D787" s="8">
        <v>171</v>
      </c>
      <c r="E787" s="24">
        <v>0.46783626079559298</v>
      </c>
      <c r="F787" s="24">
        <v>0.53216373920440596</v>
      </c>
      <c r="G787" s="23">
        <v>0</v>
      </c>
      <c r="H787" s="23">
        <v>5.8479532599449002E-3</v>
      </c>
      <c r="I787" s="24">
        <v>0.78362572193145696</v>
      </c>
      <c r="J787" s="24">
        <v>0.19298245012760101</v>
      </c>
      <c r="K787" s="23">
        <v>5.8479532599449002E-3</v>
      </c>
      <c r="L787" s="23">
        <v>5.8479532599449002E-3</v>
      </c>
      <c r="M787" s="23">
        <v>5.8479532599449002E-3</v>
      </c>
      <c r="N787" s="23">
        <v>0</v>
      </c>
      <c r="O787" s="24">
        <v>0.29824560880661</v>
      </c>
      <c r="P787" s="23">
        <v>2.3391813039779701E-2</v>
      </c>
      <c r="Q787" s="24">
        <v>0.97076022624969405</v>
      </c>
      <c r="R787" s="25">
        <v>0.16959064327485379</v>
      </c>
      <c r="S787" s="25">
        <v>5.8479532163742687E-3</v>
      </c>
      <c r="T787" s="25">
        <v>0.14619883040935672</v>
      </c>
    </row>
    <row r="788" spans="1:20" x14ac:dyDescent="0.25">
      <c r="A788" s="8" t="s">
        <v>1649</v>
      </c>
      <c r="B788" s="8" t="s">
        <v>1650</v>
      </c>
      <c r="C788" s="8" t="s">
        <v>3540</v>
      </c>
      <c r="D788" s="8">
        <v>352</v>
      </c>
      <c r="E788" s="24">
        <v>0.372159093618392</v>
      </c>
      <c r="F788" s="24">
        <v>0.627840936183929</v>
      </c>
      <c r="G788" s="23">
        <v>0</v>
      </c>
      <c r="H788" s="23">
        <v>1.1363636702299101E-2</v>
      </c>
      <c r="I788" s="24">
        <v>0.710227251052856</v>
      </c>
      <c r="J788" s="24">
        <v>0.204545453190803</v>
      </c>
      <c r="K788" s="23">
        <v>8.5227275267243004E-3</v>
      </c>
      <c r="L788" s="23">
        <v>8.5227275267243004E-3</v>
      </c>
      <c r="M788" s="23">
        <v>1.9886363297700899E-2</v>
      </c>
      <c r="N788" s="23">
        <v>3.6931816488504403E-2</v>
      </c>
      <c r="O788" s="23">
        <v>0.34375</v>
      </c>
      <c r="P788" s="23">
        <v>8.2386367022991194E-2</v>
      </c>
      <c r="Q788" s="24">
        <v>0.914772748947143</v>
      </c>
      <c r="R788" s="25">
        <v>2.840909090909091E-3</v>
      </c>
      <c r="S788" s="25">
        <v>0.13068181818181818</v>
      </c>
      <c r="T788" s="25">
        <v>0.18465909090909091</v>
      </c>
    </row>
    <row r="789" spans="1:20" x14ac:dyDescent="0.25">
      <c r="A789" s="8" t="s">
        <v>1651</v>
      </c>
      <c r="B789" s="8" t="s">
        <v>1652</v>
      </c>
      <c r="C789" s="8" t="s">
        <v>3540</v>
      </c>
      <c r="D789" s="8">
        <v>469</v>
      </c>
      <c r="E789" s="24">
        <v>0.464818775653839</v>
      </c>
      <c r="F789" s="24">
        <v>0.53518122434616</v>
      </c>
      <c r="G789" s="23">
        <v>0</v>
      </c>
      <c r="H789" s="23">
        <v>5.1172707229852697E-2</v>
      </c>
      <c r="I789" s="24">
        <v>0.59701490402221602</v>
      </c>
      <c r="J789" s="24">
        <v>0.29637527465820301</v>
      </c>
      <c r="K789" s="23">
        <v>4.2643924243747997E-3</v>
      </c>
      <c r="L789" s="23">
        <v>1.7057569697499299E-2</v>
      </c>
      <c r="M789" s="23">
        <v>2.13219616562128E-2</v>
      </c>
      <c r="N789" s="23">
        <v>1.27931768074632E-2</v>
      </c>
      <c r="O789" s="24">
        <v>0.21321961283683699</v>
      </c>
      <c r="P789" s="23">
        <v>8.3155646920204204E-2</v>
      </c>
      <c r="Q789" s="23">
        <v>0.89552241563796997</v>
      </c>
      <c r="R789" s="25">
        <v>0</v>
      </c>
      <c r="S789" s="25">
        <v>2.1321961620469083E-3</v>
      </c>
      <c r="T789" s="25">
        <v>0.19829424307036247</v>
      </c>
    </row>
    <row r="790" spans="1:20" x14ac:dyDescent="0.25">
      <c r="A790" s="8" t="s">
        <v>1653</v>
      </c>
      <c r="B790" s="8" t="s">
        <v>1654</v>
      </c>
      <c r="C790" s="8" t="s">
        <v>3540</v>
      </c>
      <c r="D790" s="8">
        <v>203</v>
      </c>
      <c r="E790" s="24">
        <v>0.47783252596855103</v>
      </c>
      <c r="F790" s="23">
        <v>0.51724135875701904</v>
      </c>
      <c r="G790" s="23">
        <v>4.9261082895100004E-3</v>
      </c>
      <c r="H790" s="23">
        <v>9.8522165790200008E-3</v>
      </c>
      <c r="I790" s="24">
        <v>0.42364531755447299</v>
      </c>
      <c r="J790" s="24">
        <v>0.40886700153350802</v>
      </c>
      <c r="K790" s="23">
        <v>3.94088663160801E-2</v>
      </c>
      <c r="L790" s="23">
        <v>1.47783253341913E-2</v>
      </c>
      <c r="M790" s="24">
        <v>0.103448279201984</v>
      </c>
      <c r="N790" s="23">
        <v>0</v>
      </c>
      <c r="O790" s="24">
        <v>0.18226601183414401</v>
      </c>
      <c r="P790" s="23">
        <v>9.3596056103706401E-2</v>
      </c>
      <c r="Q790" s="24">
        <v>0.70935958623886097</v>
      </c>
      <c r="R790" s="25">
        <v>5.4187192118226604E-2</v>
      </c>
      <c r="S790" s="25">
        <v>0</v>
      </c>
      <c r="T790" s="25">
        <v>0.13300492610837439</v>
      </c>
    </row>
    <row r="791" spans="1:20" x14ac:dyDescent="0.25">
      <c r="A791" s="8" t="s">
        <v>1655</v>
      </c>
      <c r="B791" s="8" t="s">
        <v>1656</v>
      </c>
      <c r="C791" s="8" t="s">
        <v>3540</v>
      </c>
      <c r="D791" s="8">
        <v>355</v>
      </c>
      <c r="E791" s="24">
        <v>0.53802818059921198</v>
      </c>
      <c r="F791" s="24">
        <v>0.46197181940078702</v>
      </c>
      <c r="G791" s="23">
        <v>0</v>
      </c>
      <c r="H791" s="23">
        <v>4.5070420950651197E-2</v>
      </c>
      <c r="I791" s="24">
        <v>0.51549297571182195</v>
      </c>
      <c r="J791" s="23">
        <v>0.121126763522625</v>
      </c>
      <c r="K791" s="23">
        <v>4.78873252868652E-2</v>
      </c>
      <c r="L791" s="23">
        <v>1.1267605237662799E-2</v>
      </c>
      <c r="M791" s="24">
        <v>0.256338030099868</v>
      </c>
      <c r="N791" s="23">
        <v>2.8169013094156998E-3</v>
      </c>
      <c r="O791" s="24">
        <v>0.112676054239273</v>
      </c>
      <c r="P791" s="23">
        <v>2.8169013094156998E-3</v>
      </c>
      <c r="Q791" s="23">
        <v>0.81408452987670898</v>
      </c>
      <c r="R791" s="25">
        <v>0</v>
      </c>
      <c r="S791" s="25">
        <v>0</v>
      </c>
      <c r="T791" s="25">
        <v>0.11549295774647887</v>
      </c>
    </row>
    <row r="792" spans="1:20" x14ac:dyDescent="0.25">
      <c r="A792" s="8" t="s">
        <v>1657</v>
      </c>
      <c r="B792" s="8" t="s">
        <v>1658</v>
      </c>
      <c r="C792" s="8" t="s">
        <v>3540</v>
      </c>
      <c r="D792" s="8">
        <v>190</v>
      </c>
      <c r="E792" s="24">
        <v>0.43157893419265703</v>
      </c>
      <c r="F792" s="24">
        <v>0.56842106580734197</v>
      </c>
      <c r="G792" s="23">
        <v>0</v>
      </c>
      <c r="H792" s="23">
        <v>5.2631581202149001E-3</v>
      </c>
      <c r="I792" s="24">
        <v>0.70526313781738204</v>
      </c>
      <c r="J792" s="24">
        <v>0.27368420362472501</v>
      </c>
      <c r="K792" s="23">
        <v>1.0526316240429901E-2</v>
      </c>
      <c r="L792" s="23">
        <v>5.2631581202149001E-3</v>
      </c>
      <c r="M792" s="23">
        <v>0</v>
      </c>
      <c r="N792" s="23">
        <v>0</v>
      </c>
      <c r="O792" s="24">
        <v>0.32105264067649802</v>
      </c>
      <c r="P792" s="23">
        <v>2.1052632480859802E-2</v>
      </c>
      <c r="Q792" s="24">
        <v>0.92105263471603305</v>
      </c>
      <c r="R792" s="25">
        <v>0</v>
      </c>
      <c r="S792" s="25">
        <v>0</v>
      </c>
      <c r="T792" s="25">
        <v>0.26842105263157895</v>
      </c>
    </row>
    <row r="793" spans="1:20" x14ac:dyDescent="0.25">
      <c r="A793" s="8" t="s">
        <v>1659</v>
      </c>
      <c r="B793" s="8" t="s">
        <v>1660</v>
      </c>
      <c r="C793" s="8" t="s">
        <v>3540</v>
      </c>
      <c r="D793" s="8">
        <v>181</v>
      </c>
      <c r="E793" s="24">
        <v>0.56353592872619596</v>
      </c>
      <c r="F793" s="24">
        <v>0.43646410107612599</v>
      </c>
      <c r="G793" s="23">
        <v>0</v>
      </c>
      <c r="H793" s="23">
        <v>1.1049724183976701E-2</v>
      </c>
      <c r="I793" s="24">
        <v>0.47513812780380199</v>
      </c>
      <c r="J793" s="24">
        <v>0.46408841013908297</v>
      </c>
      <c r="K793" s="23">
        <v>1.6574585810303698E-2</v>
      </c>
      <c r="L793" s="23">
        <v>1.1049724183976701E-2</v>
      </c>
      <c r="M793" s="23">
        <v>2.20994483679533E-2</v>
      </c>
      <c r="N793" s="23">
        <v>0</v>
      </c>
      <c r="O793" s="24">
        <v>0.292817682027816</v>
      </c>
      <c r="P793" s="24">
        <v>0.30386739969253501</v>
      </c>
      <c r="Q793" s="24">
        <v>0.90607732534408503</v>
      </c>
      <c r="R793" s="25">
        <v>1.1049723756906077E-2</v>
      </c>
      <c r="S793" s="25">
        <v>0.12154696132596685</v>
      </c>
      <c r="T793" s="25">
        <v>0.18232044198895028</v>
      </c>
    </row>
    <row r="794" spans="1:20" x14ac:dyDescent="0.25">
      <c r="A794" s="8" t="s">
        <v>1661</v>
      </c>
      <c r="B794" s="8" t="s">
        <v>1662</v>
      </c>
      <c r="C794" s="8" t="s">
        <v>3540</v>
      </c>
      <c r="D794" s="8">
        <v>226</v>
      </c>
      <c r="E794" s="24">
        <v>0.43805310130119302</v>
      </c>
      <c r="F794" s="24">
        <v>0.56194692850112904</v>
      </c>
      <c r="G794" s="23">
        <v>0</v>
      </c>
      <c r="H794" s="23">
        <v>3.0973451212048499E-2</v>
      </c>
      <c r="I794" s="24">
        <v>0.43805310130119302</v>
      </c>
      <c r="J794" s="24">
        <v>0.43805310130119302</v>
      </c>
      <c r="K794" s="23">
        <v>8.8495574891567005E-3</v>
      </c>
      <c r="L794" s="23">
        <v>3.0973451212048499E-2</v>
      </c>
      <c r="M794" s="23">
        <v>3.5398229956626899E-2</v>
      </c>
      <c r="N794" s="23">
        <v>1.7699114978313401E-2</v>
      </c>
      <c r="O794" s="24">
        <v>0.24336282908916401</v>
      </c>
      <c r="P794" s="24">
        <v>0.30088496208190901</v>
      </c>
      <c r="Q794" s="24">
        <v>0.97345131635665805</v>
      </c>
      <c r="R794" s="25">
        <v>0</v>
      </c>
      <c r="S794" s="25">
        <v>8.8495575221238937E-3</v>
      </c>
      <c r="T794" s="25">
        <v>0.22566371681415928</v>
      </c>
    </row>
    <row r="795" spans="1:20" x14ac:dyDescent="0.25">
      <c r="A795" s="8" t="s">
        <v>1663</v>
      </c>
      <c r="B795" s="8" t="s">
        <v>1664</v>
      </c>
      <c r="C795" s="8" t="s">
        <v>3540</v>
      </c>
      <c r="D795" s="8">
        <v>136</v>
      </c>
      <c r="E795" s="24">
        <v>0.39705881476402199</v>
      </c>
      <c r="F795" s="24">
        <v>0.60294115543365401</v>
      </c>
      <c r="G795" s="23">
        <v>0</v>
      </c>
      <c r="H795" s="23">
        <v>7.3529412038624E-3</v>
      </c>
      <c r="I795" s="23">
        <v>0.75</v>
      </c>
      <c r="J795" s="24">
        <v>0.13235294818878099</v>
      </c>
      <c r="K795" s="23">
        <v>7.3529412038624E-3</v>
      </c>
      <c r="L795" s="23">
        <v>1.4705882407724901E-2</v>
      </c>
      <c r="M795" s="23">
        <v>0</v>
      </c>
      <c r="N795" s="23">
        <v>8.8235296308994293E-2</v>
      </c>
      <c r="O795" s="24">
        <v>0.36764705181121798</v>
      </c>
      <c r="P795" s="23">
        <v>8.0882355570793193E-2</v>
      </c>
      <c r="Q795" s="24">
        <v>0.92647057771682695</v>
      </c>
      <c r="R795" s="25">
        <v>0</v>
      </c>
      <c r="S795" s="25">
        <v>0</v>
      </c>
      <c r="T795" s="25">
        <v>0.36029411764705882</v>
      </c>
    </row>
    <row r="796" spans="1:20" x14ac:dyDescent="0.25">
      <c r="A796" s="8" t="s">
        <v>1665</v>
      </c>
      <c r="B796" s="8" t="s">
        <v>1666</v>
      </c>
      <c r="C796" s="8" t="s">
        <v>3540</v>
      </c>
      <c r="D796" s="8">
        <v>218</v>
      </c>
      <c r="E796" s="24">
        <v>0.51834863424301103</v>
      </c>
      <c r="F796" s="24">
        <v>0.48165136575698803</v>
      </c>
      <c r="G796" s="23">
        <v>0</v>
      </c>
      <c r="H796" s="23">
        <v>1.3761468231678E-2</v>
      </c>
      <c r="I796" s="24">
        <v>0.71559631824493397</v>
      </c>
      <c r="J796" s="23">
        <v>0.169724777340889</v>
      </c>
      <c r="K796" s="23">
        <v>2.2935779765248299E-2</v>
      </c>
      <c r="L796" s="23">
        <v>1.83486230671406E-2</v>
      </c>
      <c r="M796" s="23">
        <v>5.9633027762174599E-2</v>
      </c>
      <c r="N796" s="23">
        <v>0</v>
      </c>
      <c r="O796" s="24">
        <v>0.35321101546287498</v>
      </c>
      <c r="P796" s="23">
        <v>4.5871559530496597E-2</v>
      </c>
      <c r="Q796" s="24">
        <v>0.766055047512054</v>
      </c>
      <c r="R796" s="25">
        <v>6.4220183486238536E-2</v>
      </c>
      <c r="S796" s="25">
        <v>6.8807339449541288E-2</v>
      </c>
      <c r="T796" s="25">
        <v>0.22935779816513763</v>
      </c>
    </row>
    <row r="797" spans="1:20" x14ac:dyDescent="0.25">
      <c r="A797" s="8" t="s">
        <v>1667</v>
      </c>
      <c r="B797" s="8" t="s">
        <v>1668</v>
      </c>
      <c r="C797" s="8" t="s">
        <v>3540</v>
      </c>
      <c r="D797" s="8">
        <v>250</v>
      </c>
      <c r="E797" s="24">
        <v>0.47600001096725397</v>
      </c>
      <c r="F797" s="24">
        <v>0.51999998092651301</v>
      </c>
      <c r="G797" s="23">
        <v>4.0000001899898E-3</v>
      </c>
      <c r="H797" s="23">
        <v>2.8000000864267301E-2</v>
      </c>
      <c r="I797" s="24">
        <v>0.73199999332427901</v>
      </c>
      <c r="J797" s="24">
        <v>0.18000000715255701</v>
      </c>
      <c r="K797" s="23">
        <v>8.0000003799796E-3</v>
      </c>
      <c r="L797" s="23">
        <v>4.0000001899898E-3</v>
      </c>
      <c r="M797" s="23">
        <v>4.39999997615814E-2</v>
      </c>
      <c r="N797" s="23">
        <v>4.0000001899898E-3</v>
      </c>
      <c r="O797" s="24">
        <v>0.25600001215934698</v>
      </c>
      <c r="P797" s="24">
        <v>0.19200000166893</v>
      </c>
      <c r="Q797" s="24">
        <v>0.93199998140335005</v>
      </c>
      <c r="R797" s="25">
        <v>0.12</v>
      </c>
      <c r="S797" s="25">
        <v>1.6E-2</v>
      </c>
      <c r="T797" s="25">
        <v>0.124</v>
      </c>
    </row>
    <row r="798" spans="1:20" x14ac:dyDescent="0.25">
      <c r="A798" s="8" t="s">
        <v>1669</v>
      </c>
      <c r="B798" s="8" t="s">
        <v>1670</v>
      </c>
      <c r="C798" s="8" t="s">
        <v>3540</v>
      </c>
      <c r="D798" s="8">
        <v>610</v>
      </c>
      <c r="E798" s="24">
        <v>0.491803288459777</v>
      </c>
      <c r="F798" s="24">
        <v>0.50819671154022195</v>
      </c>
      <c r="G798" s="23">
        <v>0</v>
      </c>
      <c r="H798" s="23">
        <v>2.29508187621832E-2</v>
      </c>
      <c r="I798" s="24">
        <v>0.63278687000274603</v>
      </c>
      <c r="J798" s="24">
        <v>0.29508197307586598</v>
      </c>
      <c r="K798" s="23">
        <v>8.1967208534479002E-3</v>
      </c>
      <c r="L798" s="23">
        <v>8.1967208534479002E-3</v>
      </c>
      <c r="M798" s="23">
        <v>3.2786883413791698E-2</v>
      </c>
      <c r="N798" s="23">
        <v>0</v>
      </c>
      <c r="O798" s="24">
        <v>0.20327869057655301</v>
      </c>
      <c r="P798" s="24">
        <v>0.25409835577011097</v>
      </c>
      <c r="Q798" s="24">
        <v>0.919672131538391</v>
      </c>
      <c r="R798" s="25">
        <v>6.5573770491803282E-2</v>
      </c>
      <c r="S798" s="25">
        <v>0</v>
      </c>
      <c r="T798" s="25">
        <v>0.13770491803278689</v>
      </c>
    </row>
    <row r="799" spans="1:20" x14ac:dyDescent="0.25">
      <c r="A799" s="8" t="s">
        <v>1671</v>
      </c>
      <c r="B799" s="8" t="s">
        <v>1672</v>
      </c>
      <c r="C799" s="8" t="s">
        <v>3540</v>
      </c>
      <c r="D799" s="8">
        <v>223</v>
      </c>
      <c r="E799" s="24">
        <v>0.443946182727813</v>
      </c>
      <c r="F799" s="24">
        <v>0.55605381727218595</v>
      </c>
      <c r="G799" s="23">
        <v>0</v>
      </c>
      <c r="H799" s="23">
        <v>2.6905829086899799E-2</v>
      </c>
      <c r="I799" s="24">
        <v>0.67713004350662198</v>
      </c>
      <c r="J799" s="23">
        <v>0.21973094344139099</v>
      </c>
      <c r="K799" s="23">
        <v>4.4843051582575E-3</v>
      </c>
      <c r="L799" s="23">
        <v>1.34529145434499E-2</v>
      </c>
      <c r="M799" s="23">
        <v>5.82959651947021E-2</v>
      </c>
      <c r="N799" s="23">
        <v>0</v>
      </c>
      <c r="O799" s="24">
        <v>0.246636778116226</v>
      </c>
      <c r="P799" s="23">
        <v>7.62331858277321E-2</v>
      </c>
      <c r="Q799" s="24">
        <v>0.96412557363510099</v>
      </c>
      <c r="R799" s="25">
        <v>0.10762331838565023</v>
      </c>
      <c r="S799" s="25">
        <v>0</v>
      </c>
      <c r="T799" s="25">
        <v>0.14349775784753363</v>
      </c>
    </row>
    <row r="800" spans="1:20" x14ac:dyDescent="0.25">
      <c r="A800" s="8" t="s">
        <v>1673</v>
      </c>
      <c r="B800" s="8" t="s">
        <v>1674</v>
      </c>
      <c r="C800" s="8" t="s">
        <v>3540</v>
      </c>
      <c r="D800" s="8">
        <v>279</v>
      </c>
      <c r="E800" s="24">
        <v>0.46953403949737499</v>
      </c>
      <c r="F800" s="24">
        <v>0.53046596050262396</v>
      </c>
      <c r="G800" s="23">
        <v>0</v>
      </c>
      <c r="H800" s="23">
        <v>1.79211478680372E-2</v>
      </c>
      <c r="I800" s="24">
        <v>0.80645161867141701</v>
      </c>
      <c r="J800" s="24">
        <v>0.111111111938953</v>
      </c>
      <c r="K800" s="23">
        <v>1.43369175493717E-2</v>
      </c>
      <c r="L800" s="23">
        <v>3.2258063554763801E-2</v>
      </c>
      <c r="M800" s="23">
        <v>1.79211478680372E-2</v>
      </c>
      <c r="N800" s="23">
        <v>0</v>
      </c>
      <c r="O800" s="24">
        <v>0.29032257199287398</v>
      </c>
      <c r="P800" s="23">
        <v>6.8100355565547901E-2</v>
      </c>
      <c r="Q800" s="24">
        <v>0.89247310161590498</v>
      </c>
      <c r="R800" s="25">
        <v>0</v>
      </c>
      <c r="S800" s="25">
        <v>7.5268817204301078E-2</v>
      </c>
      <c r="T800" s="25">
        <v>0.21146953405017921</v>
      </c>
    </row>
    <row r="801" spans="1:20" x14ac:dyDescent="0.25">
      <c r="A801" s="8" t="s">
        <v>1675</v>
      </c>
      <c r="B801" s="8" t="s">
        <v>1676</v>
      </c>
      <c r="C801" s="8" t="s">
        <v>3540</v>
      </c>
      <c r="D801" s="8">
        <v>149</v>
      </c>
      <c r="E801" s="23">
        <v>0.46308726072311401</v>
      </c>
      <c r="F801" s="23">
        <v>0.53691273927688599</v>
      </c>
      <c r="G801" s="23">
        <v>0</v>
      </c>
      <c r="H801" s="23">
        <v>3.3557046204805402E-2</v>
      </c>
      <c r="I801" s="24">
        <v>0.73825502395629805</v>
      </c>
      <c r="J801" s="24">
        <v>0.21476510167121801</v>
      </c>
      <c r="K801" s="23">
        <v>6.7114094272256002E-3</v>
      </c>
      <c r="L801" s="23">
        <v>0</v>
      </c>
      <c r="M801" s="23">
        <v>6.7114094272256002E-3</v>
      </c>
      <c r="N801" s="23">
        <v>0</v>
      </c>
      <c r="O801" s="24">
        <v>0.24161073565482999</v>
      </c>
      <c r="P801" s="24">
        <v>0.18120805919170299</v>
      </c>
      <c r="Q801" s="24">
        <v>0.90604025125503496</v>
      </c>
      <c r="R801" s="25">
        <v>4.6979865771812082E-2</v>
      </c>
      <c r="S801" s="25">
        <v>0</v>
      </c>
      <c r="T801" s="25">
        <v>0.18791946308724833</v>
      </c>
    </row>
    <row r="802" spans="1:20" x14ac:dyDescent="0.25">
      <c r="A802" s="8" t="s">
        <v>1677</v>
      </c>
      <c r="B802" s="8" t="s">
        <v>1678</v>
      </c>
      <c r="C802" s="8" t="s">
        <v>3540</v>
      </c>
      <c r="D802" s="8">
        <v>261</v>
      </c>
      <c r="E802" s="24">
        <v>0.47509577870368902</v>
      </c>
      <c r="F802" s="23">
        <v>0.52490419149398804</v>
      </c>
      <c r="G802" s="23">
        <v>0</v>
      </c>
      <c r="H802" s="23">
        <v>2.6819923892617201E-2</v>
      </c>
      <c r="I802" s="24">
        <v>0.64750957489013605</v>
      </c>
      <c r="J802" s="24">
        <v>0.176245212554931</v>
      </c>
      <c r="K802" s="23">
        <v>3.0651340261101698E-2</v>
      </c>
      <c r="L802" s="23">
        <v>3.0651340261101698E-2</v>
      </c>
      <c r="M802" s="23">
        <v>8.8122606277465806E-2</v>
      </c>
      <c r="N802" s="23">
        <v>0</v>
      </c>
      <c r="O802" s="24">
        <v>0.22988505661487499</v>
      </c>
      <c r="P802" s="24">
        <v>0.19157087802886899</v>
      </c>
      <c r="Q802" s="24">
        <v>0.91954022645950295</v>
      </c>
      <c r="R802" s="25">
        <v>0.11877394636015326</v>
      </c>
      <c r="S802" s="25">
        <v>0</v>
      </c>
      <c r="T802" s="25">
        <v>0.13026819923371646</v>
      </c>
    </row>
    <row r="803" spans="1:20" x14ac:dyDescent="0.25">
      <c r="A803" s="8" t="s">
        <v>1679</v>
      </c>
      <c r="B803" s="8" t="s">
        <v>1680</v>
      </c>
      <c r="C803" s="8" t="s">
        <v>3540</v>
      </c>
      <c r="D803" s="8">
        <v>530</v>
      </c>
      <c r="E803" s="23">
        <v>0.239622637629509</v>
      </c>
      <c r="F803" s="24">
        <v>0.76037734746932895</v>
      </c>
      <c r="G803" s="23">
        <v>0</v>
      </c>
      <c r="H803" s="23">
        <v>3.3962264657020597E-2</v>
      </c>
      <c r="I803" s="24">
        <v>0.82075470685958796</v>
      </c>
      <c r="J803" s="24">
        <v>0.130188673734664</v>
      </c>
      <c r="K803" s="23">
        <v>1.8867924809456E-3</v>
      </c>
      <c r="L803" s="23">
        <v>7.5471699237823001E-3</v>
      </c>
      <c r="M803" s="23">
        <v>5.6603774428367996E-3</v>
      </c>
      <c r="N803" s="23">
        <v>0</v>
      </c>
      <c r="O803" s="24">
        <v>0.186792448163032</v>
      </c>
      <c r="P803" s="23">
        <v>1.8867924809455899E-2</v>
      </c>
      <c r="Q803" s="24">
        <v>0.80188679695129295</v>
      </c>
      <c r="R803" s="25">
        <v>0</v>
      </c>
      <c r="S803" s="25">
        <v>1.8867924528301886E-2</v>
      </c>
      <c r="T803" s="25">
        <v>0.15283018867924528</v>
      </c>
    </row>
    <row r="804" spans="1:20" x14ac:dyDescent="0.25">
      <c r="A804" s="8" t="s">
        <v>1681</v>
      </c>
      <c r="B804" s="8" t="s">
        <v>1682</v>
      </c>
      <c r="C804" s="8" t="s">
        <v>3540</v>
      </c>
      <c r="D804" s="8">
        <v>365</v>
      </c>
      <c r="E804" s="24">
        <v>0.52054792642593295</v>
      </c>
      <c r="F804" s="24">
        <v>0.479452043771743</v>
      </c>
      <c r="G804" s="23">
        <v>0</v>
      </c>
      <c r="H804" s="23">
        <v>1.9178081303834901E-2</v>
      </c>
      <c r="I804" s="24">
        <v>0.69041097164153997</v>
      </c>
      <c r="J804" s="24">
        <v>0.167123287916183</v>
      </c>
      <c r="K804" s="23">
        <v>2.19178088009357E-2</v>
      </c>
      <c r="L804" s="23">
        <v>0</v>
      </c>
      <c r="M804" s="24">
        <v>0.10136986523866599</v>
      </c>
      <c r="N804" s="23">
        <v>0</v>
      </c>
      <c r="O804" s="24">
        <v>0.22739726305007901</v>
      </c>
      <c r="P804" s="23">
        <v>7.6712325215339702E-2</v>
      </c>
      <c r="Q804" s="23">
        <v>0.85205477476119995</v>
      </c>
      <c r="R804" s="25">
        <v>7.6712328767123292E-2</v>
      </c>
      <c r="S804" s="25">
        <v>2.7397260273972603E-3</v>
      </c>
      <c r="T804" s="25">
        <v>0.14794520547945206</v>
      </c>
    </row>
    <row r="805" spans="1:20" x14ac:dyDescent="0.25">
      <c r="A805" s="8" t="s">
        <v>1683</v>
      </c>
      <c r="B805" s="8" t="s">
        <v>1684</v>
      </c>
      <c r="C805" s="8" t="s">
        <v>3540</v>
      </c>
      <c r="D805" s="8">
        <v>279</v>
      </c>
      <c r="E805" s="23">
        <v>0.51971328258514404</v>
      </c>
      <c r="F805" s="24">
        <v>0.48028674721717801</v>
      </c>
      <c r="G805" s="23">
        <v>0</v>
      </c>
      <c r="H805" s="23">
        <v>5.0179213285446202E-2</v>
      </c>
      <c r="I805" s="24">
        <v>0.71326166391372603</v>
      </c>
      <c r="J805" s="24">
        <v>0.186379924416542</v>
      </c>
      <c r="K805" s="23">
        <v>0</v>
      </c>
      <c r="L805" s="23">
        <v>1.07526881620288E-2</v>
      </c>
      <c r="M805" s="23">
        <v>3.9426524192094803E-2</v>
      </c>
      <c r="N805" s="23">
        <v>0</v>
      </c>
      <c r="O805" s="24">
        <v>0.25089606642723</v>
      </c>
      <c r="P805" s="24">
        <v>0.12903225421905501</v>
      </c>
      <c r="Q805" s="24">
        <v>0.94623655080795199</v>
      </c>
      <c r="R805" s="25">
        <v>6.093189964157706E-2</v>
      </c>
      <c r="S805" s="25">
        <v>7.1684587813620072E-3</v>
      </c>
      <c r="T805" s="25">
        <v>0.21505376344086022</v>
      </c>
    </row>
    <row r="806" spans="1:20" x14ac:dyDescent="0.25">
      <c r="A806" s="8" t="s">
        <v>1685</v>
      </c>
      <c r="B806" s="8" t="s">
        <v>1686</v>
      </c>
      <c r="C806" s="8" t="s">
        <v>3540</v>
      </c>
      <c r="D806" s="8">
        <v>574</v>
      </c>
      <c r="E806" s="24">
        <v>0.48432055115699701</v>
      </c>
      <c r="F806" s="24">
        <v>0.51567941904067904</v>
      </c>
      <c r="G806" s="23">
        <v>0</v>
      </c>
      <c r="H806" s="23">
        <v>1.74216032028198E-2</v>
      </c>
      <c r="I806" s="24">
        <v>0.77003484964370705</v>
      </c>
      <c r="J806" s="24">
        <v>0.14111497998237599</v>
      </c>
      <c r="K806" s="23">
        <v>6.9686411879957E-3</v>
      </c>
      <c r="L806" s="23">
        <v>4.0069688111543697E-2</v>
      </c>
      <c r="M806" s="23">
        <v>2.43902429938316E-2</v>
      </c>
      <c r="N806" s="23">
        <v>0</v>
      </c>
      <c r="O806" s="24">
        <v>0.21602787077426899</v>
      </c>
      <c r="P806" s="24">
        <v>0.167247384786605</v>
      </c>
      <c r="Q806" s="24">
        <v>0.85888499021530096</v>
      </c>
      <c r="R806" s="25">
        <v>6.2717770034843204E-2</v>
      </c>
      <c r="S806" s="25">
        <v>0</v>
      </c>
      <c r="T806" s="25">
        <v>0.13937282229965156</v>
      </c>
    </row>
    <row r="807" spans="1:20" x14ac:dyDescent="0.25">
      <c r="A807" s="8" t="s">
        <v>1687</v>
      </c>
      <c r="B807" s="8" t="s">
        <v>1688</v>
      </c>
      <c r="C807" s="8" t="s">
        <v>3540</v>
      </c>
      <c r="D807" s="8">
        <v>908</v>
      </c>
      <c r="E807" s="24">
        <v>0.49779736995696999</v>
      </c>
      <c r="F807" s="24">
        <v>0.50220263004302901</v>
      </c>
      <c r="G807" s="23">
        <v>0</v>
      </c>
      <c r="H807" s="23">
        <v>1.9823787733912499E-2</v>
      </c>
      <c r="I807" s="24">
        <v>0.65859031677246005</v>
      </c>
      <c r="J807" s="24">
        <v>0.27422907948493902</v>
      </c>
      <c r="K807" s="23">
        <v>2.2026430815457998E-3</v>
      </c>
      <c r="L807" s="23">
        <v>8.8105723261833E-3</v>
      </c>
      <c r="M807" s="23">
        <v>3.4140970557928099E-2</v>
      </c>
      <c r="N807" s="23">
        <v>2.2026430815457998E-3</v>
      </c>
      <c r="O807" s="24">
        <v>0.17180617153644501</v>
      </c>
      <c r="P807" s="24">
        <v>0.23898679018020599</v>
      </c>
      <c r="Q807" s="24">
        <v>0.97356826066970803</v>
      </c>
      <c r="R807" s="25">
        <v>5.9471365638766517E-2</v>
      </c>
      <c r="S807" s="25">
        <v>0</v>
      </c>
      <c r="T807" s="25">
        <v>0.11563876651982379</v>
      </c>
    </row>
    <row r="808" spans="1:20" x14ac:dyDescent="0.25">
      <c r="A808" s="8" t="s">
        <v>1689</v>
      </c>
      <c r="B808" s="8" t="s">
        <v>1690</v>
      </c>
      <c r="C808" s="8" t="s">
        <v>3540</v>
      </c>
      <c r="D808" s="8">
        <v>166</v>
      </c>
      <c r="E808" s="24">
        <v>0.51807230710983199</v>
      </c>
      <c r="F808" s="24">
        <v>0.48192772269248901</v>
      </c>
      <c r="G808" s="23">
        <v>0</v>
      </c>
      <c r="H808" s="23">
        <v>1.20481923222542E-2</v>
      </c>
      <c r="I808" s="24">
        <v>0.73493975400924605</v>
      </c>
      <c r="J808" s="24">
        <v>0.20481927692890101</v>
      </c>
      <c r="K808" s="23">
        <v>1.8072288483381299E-2</v>
      </c>
      <c r="L808" s="23">
        <v>6.0240961611271E-3</v>
      </c>
      <c r="M808" s="23">
        <v>2.40963846445084E-2</v>
      </c>
      <c r="N808" s="23">
        <v>0</v>
      </c>
      <c r="O808" s="24">
        <v>0.29518070816993702</v>
      </c>
      <c r="P808" s="23">
        <v>3.0120482668280602E-2</v>
      </c>
      <c r="Q808" s="24">
        <v>0.92168676853179898</v>
      </c>
      <c r="R808" s="25">
        <v>0.15060240963855423</v>
      </c>
      <c r="S808" s="25">
        <v>0</v>
      </c>
      <c r="T808" s="25">
        <v>0.13253012048192772</v>
      </c>
    </row>
    <row r="809" spans="1:20" x14ac:dyDescent="0.25">
      <c r="A809" s="8" t="s">
        <v>1691</v>
      </c>
      <c r="B809" s="8" t="s">
        <v>1692</v>
      </c>
      <c r="C809" s="8" t="s">
        <v>3540</v>
      </c>
      <c r="D809" s="8">
        <v>160</v>
      </c>
      <c r="E809" s="23">
        <v>0.45625001192092901</v>
      </c>
      <c r="F809" s="23">
        <v>0.54374998807907104</v>
      </c>
      <c r="G809" s="23">
        <v>0</v>
      </c>
      <c r="H809" s="23">
        <v>1.8750000745058101E-2</v>
      </c>
      <c r="I809" s="24">
        <v>0.83749997615814198</v>
      </c>
      <c r="J809" s="24">
        <v>0.106250002980232</v>
      </c>
      <c r="K809" s="23">
        <v>6.2500000931323E-3</v>
      </c>
      <c r="L809" s="23">
        <v>6.2500000931323E-3</v>
      </c>
      <c r="M809" s="23">
        <v>2.5000000372528999E-2</v>
      </c>
      <c r="N809" s="23">
        <v>0</v>
      </c>
      <c r="O809" s="23">
        <v>0.26249998807907099</v>
      </c>
      <c r="P809" s="23">
        <v>7.5000002980232197E-2</v>
      </c>
      <c r="Q809" s="24">
        <v>0.91250002384185702</v>
      </c>
      <c r="R809" s="25">
        <v>0.10625</v>
      </c>
      <c r="S809" s="25">
        <v>0</v>
      </c>
      <c r="T809" s="25">
        <v>0.14374999999999999</v>
      </c>
    </row>
    <row r="810" spans="1:20" x14ac:dyDescent="0.25">
      <c r="A810" s="8" t="s">
        <v>1693</v>
      </c>
      <c r="B810" s="8" t="s">
        <v>1694</v>
      </c>
      <c r="C810" s="8" t="s">
        <v>3540</v>
      </c>
      <c r="D810" s="8">
        <v>380</v>
      </c>
      <c r="E810" s="24">
        <v>0.48684209585189803</v>
      </c>
      <c r="F810" s="24">
        <v>0.51052629947662298</v>
      </c>
      <c r="G810" s="23">
        <v>2.6315790601074999E-3</v>
      </c>
      <c r="H810" s="23">
        <v>5.2631581202149001E-3</v>
      </c>
      <c r="I810" s="24">
        <v>0.70789474248886097</v>
      </c>
      <c r="J810" s="24">
        <v>0.113157898187637</v>
      </c>
      <c r="K810" s="23">
        <v>4.7368422150611898E-2</v>
      </c>
      <c r="L810" s="23">
        <v>2.6315790601074999E-3</v>
      </c>
      <c r="M810" s="24">
        <v>0.118421055376529</v>
      </c>
      <c r="N810" s="23">
        <v>5.2631581202149001E-3</v>
      </c>
      <c r="O810" s="24">
        <v>0.16315789520740501</v>
      </c>
      <c r="P810" s="23">
        <v>8.4210529923438998E-2</v>
      </c>
      <c r="Q810" s="24">
        <v>0.73157894611358598</v>
      </c>
      <c r="R810" s="25">
        <v>1.8421052631578946E-2</v>
      </c>
      <c r="S810" s="25">
        <v>2.631578947368421E-3</v>
      </c>
      <c r="T810" s="25">
        <v>0.10526315789473684</v>
      </c>
    </row>
    <row r="811" spans="1:20" x14ac:dyDescent="0.25">
      <c r="A811" s="8" t="s">
        <v>1695</v>
      </c>
      <c r="B811" s="8" t="s">
        <v>1696</v>
      </c>
      <c r="C811" s="8" t="s">
        <v>3540</v>
      </c>
      <c r="D811" s="8">
        <v>361</v>
      </c>
      <c r="E811" s="24">
        <v>0.473684221506118</v>
      </c>
      <c r="F811" s="24">
        <v>0.52631580829620295</v>
      </c>
      <c r="G811" s="23">
        <v>0</v>
      </c>
      <c r="H811" s="23">
        <v>1.38504151254892E-2</v>
      </c>
      <c r="I811" s="24">
        <v>0.63157892227172796</v>
      </c>
      <c r="J811" s="23">
        <v>0.30193907022476202</v>
      </c>
      <c r="K811" s="23">
        <v>0</v>
      </c>
      <c r="L811" s="23">
        <v>2.21606642007828E-2</v>
      </c>
      <c r="M811" s="23">
        <v>3.0470913276076299E-2</v>
      </c>
      <c r="N811" s="23">
        <v>0</v>
      </c>
      <c r="O811" s="24">
        <v>0.17451523244380901</v>
      </c>
      <c r="P811" s="24">
        <v>0.335180044174194</v>
      </c>
      <c r="Q811" s="23">
        <v>0.86703598499298096</v>
      </c>
      <c r="R811" s="25">
        <v>7.7562326869806089E-2</v>
      </c>
      <c r="S811" s="25">
        <v>0</v>
      </c>
      <c r="T811" s="25">
        <v>0.11357340720221606</v>
      </c>
    </row>
    <row r="812" spans="1:20" x14ac:dyDescent="0.25">
      <c r="A812" s="8" t="s">
        <v>1697</v>
      </c>
      <c r="B812" s="8" t="s">
        <v>1698</v>
      </c>
      <c r="C812" s="8" t="s">
        <v>3540</v>
      </c>
      <c r="D812" s="8">
        <v>674</v>
      </c>
      <c r="E812" s="23">
        <v>0.50148367881774902</v>
      </c>
      <c r="F812" s="23">
        <v>0.49703264236450201</v>
      </c>
      <c r="G812" s="23">
        <v>1.4836795162409999E-3</v>
      </c>
      <c r="H812" s="23">
        <v>6.08308613300323E-2</v>
      </c>
      <c r="I812" s="24">
        <v>0.39169138669967601</v>
      </c>
      <c r="J812" s="24">
        <v>0.44807121157646101</v>
      </c>
      <c r="K812" s="23">
        <v>1.63204744458199E-2</v>
      </c>
      <c r="L812" s="23">
        <v>8.9020775631069998E-3</v>
      </c>
      <c r="M812" s="23">
        <v>7.2700299322605105E-2</v>
      </c>
      <c r="N812" s="23">
        <v>1.4836795162409999E-3</v>
      </c>
      <c r="O812" s="24">
        <v>0.207715138792991</v>
      </c>
      <c r="P812" s="24">
        <v>0.19436201453208901</v>
      </c>
      <c r="Q812" s="24">
        <v>0.84124630689620905</v>
      </c>
      <c r="R812" s="25">
        <v>4.1543026706231452E-2</v>
      </c>
      <c r="S812" s="25">
        <v>8.9020771513353119E-3</v>
      </c>
      <c r="T812" s="25">
        <v>0.16468842729970326</v>
      </c>
    </row>
    <row r="813" spans="1:20" x14ac:dyDescent="0.25">
      <c r="A813" s="8" t="s">
        <v>1699</v>
      </c>
      <c r="B813" s="8" t="s">
        <v>1700</v>
      </c>
      <c r="C813" s="8" t="s">
        <v>3540</v>
      </c>
      <c r="D813" s="8">
        <v>287</v>
      </c>
      <c r="E813" s="24">
        <v>0.45296168327331499</v>
      </c>
      <c r="F813" s="24">
        <v>0.54703831672668402</v>
      </c>
      <c r="G813" s="23">
        <v>0</v>
      </c>
      <c r="H813" s="23">
        <v>3.8327526301145602E-2</v>
      </c>
      <c r="I813" s="24">
        <v>0.68989545106887795</v>
      </c>
      <c r="J813" s="24">
        <v>0.19512194395065299</v>
      </c>
      <c r="K813" s="23">
        <v>3.48432064056396E-2</v>
      </c>
      <c r="L813" s="23">
        <v>1.0452961549162899E-2</v>
      </c>
      <c r="M813" s="23">
        <v>3.1358886510133702E-2</v>
      </c>
      <c r="N813" s="23">
        <v>0</v>
      </c>
      <c r="O813" s="24">
        <v>0.42160278558731001</v>
      </c>
      <c r="P813" s="23">
        <v>9.7560971975326496E-2</v>
      </c>
      <c r="Q813" s="24">
        <v>0.90592336654662997</v>
      </c>
      <c r="R813" s="25">
        <v>0.11846689895470383</v>
      </c>
      <c r="S813" s="25">
        <v>3.4843205574912892E-3</v>
      </c>
      <c r="T813" s="25">
        <v>0.25087108013937282</v>
      </c>
    </row>
    <row r="814" spans="1:20" x14ac:dyDescent="0.25">
      <c r="A814" s="8" t="s">
        <v>1701</v>
      </c>
      <c r="B814" s="8" t="s">
        <v>1702</v>
      </c>
      <c r="C814" s="8" t="s">
        <v>3540</v>
      </c>
      <c r="D814" s="8">
        <v>648</v>
      </c>
      <c r="E814" s="24">
        <v>0.51388889551162698</v>
      </c>
      <c r="F814" s="24">
        <v>0.48611110448837203</v>
      </c>
      <c r="G814" s="23">
        <v>0</v>
      </c>
      <c r="H814" s="23">
        <v>2.9320986941456802E-2</v>
      </c>
      <c r="I814" s="24">
        <v>0.51080244779586703</v>
      </c>
      <c r="J814" s="24">
        <v>0.16666667163372001</v>
      </c>
      <c r="K814" s="23">
        <v>8.7962962687015506E-2</v>
      </c>
      <c r="L814" s="23">
        <v>1.2345679104328201E-2</v>
      </c>
      <c r="M814" s="24">
        <v>0.19135802984237599</v>
      </c>
      <c r="N814" s="23">
        <v>1.5432098880409999E-3</v>
      </c>
      <c r="O814" s="24">
        <v>0.140432104468345</v>
      </c>
      <c r="P814" s="23">
        <v>2.7777777984738301E-2</v>
      </c>
      <c r="Q814" s="24">
        <v>0.518518507480621</v>
      </c>
      <c r="R814" s="25">
        <v>1.0802469135802469E-2</v>
      </c>
      <c r="S814" s="25">
        <v>0</v>
      </c>
      <c r="T814" s="25">
        <v>0.12808641975308643</v>
      </c>
    </row>
    <row r="815" spans="1:20" x14ac:dyDescent="0.25">
      <c r="A815" s="8" t="s">
        <v>1703</v>
      </c>
      <c r="B815" s="8" t="s">
        <v>1704</v>
      </c>
      <c r="C815" s="8" t="s">
        <v>3540</v>
      </c>
      <c r="D815" s="8">
        <v>137</v>
      </c>
      <c r="E815" s="24">
        <v>0.45985400676727201</v>
      </c>
      <c r="F815" s="24">
        <v>0.54014599323272705</v>
      </c>
      <c r="G815" s="23">
        <v>0</v>
      </c>
      <c r="H815" s="23">
        <v>1.45985400304198E-2</v>
      </c>
      <c r="I815" s="23">
        <v>0.56934309005737305</v>
      </c>
      <c r="J815" s="24">
        <v>0.39416059851646401</v>
      </c>
      <c r="K815" s="23">
        <v>7.2992700152099002E-3</v>
      </c>
      <c r="L815" s="23">
        <v>1.45985400304198E-2</v>
      </c>
      <c r="M815" s="23">
        <v>0</v>
      </c>
      <c r="N815" s="23">
        <v>0</v>
      </c>
      <c r="O815" s="24">
        <v>0.34306567907333302</v>
      </c>
      <c r="P815" s="23">
        <v>4.3795619159936898E-2</v>
      </c>
      <c r="Q815" s="24">
        <v>0.83941608667373602</v>
      </c>
      <c r="R815" s="25">
        <v>2.9197080291970802E-2</v>
      </c>
      <c r="S815" s="25">
        <v>5.8394160583941604E-2</v>
      </c>
      <c r="T815" s="25">
        <v>0.26277372262773724</v>
      </c>
    </row>
    <row r="816" spans="1:20" x14ac:dyDescent="0.25">
      <c r="A816" s="8" t="s">
        <v>1705</v>
      </c>
      <c r="B816" s="8" t="s">
        <v>1706</v>
      </c>
      <c r="C816" s="8" t="s">
        <v>3540</v>
      </c>
      <c r="D816" s="8">
        <v>152</v>
      </c>
      <c r="E816" s="24">
        <v>0.55263155698776201</v>
      </c>
      <c r="F816" s="24">
        <v>0.44736841320991499</v>
      </c>
      <c r="G816" s="23">
        <v>0</v>
      </c>
      <c r="H816" s="23">
        <v>1.9736841320991499E-2</v>
      </c>
      <c r="I816" s="24">
        <v>0.69736844301223699</v>
      </c>
      <c r="J816" s="24">
        <v>0.21710526943206701</v>
      </c>
      <c r="K816" s="23">
        <v>3.9473682641982998E-2</v>
      </c>
      <c r="L816" s="23">
        <v>6.5789474174379999E-3</v>
      </c>
      <c r="M816" s="23">
        <v>1.9736841320991499E-2</v>
      </c>
      <c r="N816" s="23">
        <v>0</v>
      </c>
      <c r="O816" s="24">
        <v>0.30263158679008401</v>
      </c>
      <c r="P816" s="24">
        <v>0.19736842811107599</v>
      </c>
      <c r="Q816" s="24">
        <v>0.93421053886413497</v>
      </c>
      <c r="R816" s="25">
        <v>7.2368421052631582E-2</v>
      </c>
      <c r="S816" s="25">
        <v>5.2631578947368418E-2</v>
      </c>
      <c r="T816" s="25">
        <v>0.17105263157894737</v>
      </c>
    </row>
    <row r="817" spans="1:20" x14ac:dyDescent="0.25">
      <c r="A817" s="8" t="s">
        <v>1708</v>
      </c>
      <c r="B817" s="8" t="s">
        <v>1709</v>
      </c>
      <c r="C817" s="8" t="s">
        <v>3540</v>
      </c>
      <c r="D817" s="8">
        <v>120</v>
      </c>
      <c r="E817" s="23">
        <v>0.375</v>
      </c>
      <c r="F817" s="23">
        <v>0.625</v>
      </c>
      <c r="G817" s="23">
        <v>0</v>
      </c>
      <c r="H817" s="23">
        <v>2.5000000372528999E-2</v>
      </c>
      <c r="I817" s="24">
        <v>0.63333332538604703</v>
      </c>
      <c r="J817" s="23">
        <v>0.30000001192092901</v>
      </c>
      <c r="K817" s="23">
        <v>8.3333337679505001E-3</v>
      </c>
      <c r="L817" s="23">
        <v>8.3333337679505001E-3</v>
      </c>
      <c r="M817" s="23">
        <v>2.5000000372528999E-2</v>
      </c>
      <c r="N817" s="23">
        <v>0</v>
      </c>
      <c r="O817" s="23">
        <v>0.32499998807907099</v>
      </c>
      <c r="P817" s="24">
        <v>0.108333334326744</v>
      </c>
      <c r="Q817" s="24">
        <v>0.96666663885116499</v>
      </c>
      <c r="R817" s="25">
        <v>8.3333333333333332E-3</v>
      </c>
      <c r="S817" s="25">
        <v>8.3333333333333329E-2</v>
      </c>
      <c r="T817" s="25">
        <v>0.22500000000000001</v>
      </c>
    </row>
    <row r="818" spans="1:20" x14ac:dyDescent="0.25">
      <c r="A818" s="8" t="s">
        <v>1710</v>
      </c>
      <c r="B818" s="8" t="s">
        <v>1711</v>
      </c>
      <c r="C818" s="8" t="s">
        <v>3540</v>
      </c>
      <c r="D818" s="8">
        <v>217</v>
      </c>
      <c r="E818" s="24">
        <v>0.42396312952041598</v>
      </c>
      <c r="F818" s="24">
        <v>0.57603687047958296</v>
      </c>
      <c r="G818" s="23">
        <v>0</v>
      </c>
      <c r="H818" s="23">
        <v>1.8433179706335099E-2</v>
      </c>
      <c r="I818" s="24">
        <v>0.74193549156188898</v>
      </c>
      <c r="J818" s="24">
        <v>0.179723501205444</v>
      </c>
      <c r="K818" s="23">
        <v>2.7649769559502602E-2</v>
      </c>
      <c r="L818" s="23">
        <v>2.3041475564241399E-2</v>
      </c>
      <c r="M818" s="23">
        <v>9.2165898531674992E-3</v>
      </c>
      <c r="N818" s="23">
        <v>0</v>
      </c>
      <c r="O818" s="24">
        <v>0.34562212228775002</v>
      </c>
      <c r="P818" s="23">
        <v>4.6082951128482798E-2</v>
      </c>
      <c r="Q818" s="24">
        <v>0.93087559938430697</v>
      </c>
      <c r="R818" s="25">
        <v>7.8341013824884786E-2</v>
      </c>
      <c r="S818" s="25">
        <v>4.608294930875576E-3</v>
      </c>
      <c r="T818" s="25">
        <v>0.26267281105990781</v>
      </c>
    </row>
    <row r="819" spans="1:20" x14ac:dyDescent="0.25">
      <c r="A819" s="8" t="s">
        <v>1712</v>
      </c>
      <c r="B819" s="8" t="s">
        <v>1713</v>
      </c>
      <c r="C819" s="8" t="s">
        <v>3540</v>
      </c>
      <c r="D819" s="8">
        <v>245</v>
      </c>
      <c r="E819" s="24">
        <v>0.44489794969558699</v>
      </c>
      <c r="F819" s="24">
        <v>0.55510205030441195</v>
      </c>
      <c r="G819" s="23">
        <v>0</v>
      </c>
      <c r="H819" s="23">
        <v>5.30612245202065E-2</v>
      </c>
      <c r="I819" s="24">
        <v>0.70612245798110895</v>
      </c>
      <c r="J819" s="24">
        <v>0.16326530277729001</v>
      </c>
      <c r="K819" s="23">
        <v>2.04081628471613E-2</v>
      </c>
      <c r="L819" s="23">
        <v>1.2244897894561299E-2</v>
      </c>
      <c r="M819" s="23">
        <v>4.4897958636283902E-2</v>
      </c>
      <c r="N819" s="23">
        <v>0</v>
      </c>
      <c r="O819" s="24">
        <v>0.37959182262420599</v>
      </c>
      <c r="P819" s="24">
        <v>0.19591836631298001</v>
      </c>
      <c r="Q819" s="24">
        <v>0.91020405292510898</v>
      </c>
      <c r="R819" s="25">
        <v>0.11428571428571428</v>
      </c>
      <c r="S819" s="25">
        <v>4.0816326530612249E-3</v>
      </c>
      <c r="T819" s="25">
        <v>0.17959183673469387</v>
      </c>
    </row>
    <row r="820" spans="1:20" x14ac:dyDescent="0.25">
      <c r="A820" s="8" t="s">
        <v>1714</v>
      </c>
      <c r="B820" s="8" t="s">
        <v>1715</v>
      </c>
      <c r="C820" s="8" t="s">
        <v>3540</v>
      </c>
      <c r="D820" s="8">
        <v>441</v>
      </c>
      <c r="E820" s="24">
        <v>0.43764171004295299</v>
      </c>
      <c r="F820" s="24">
        <v>0.56235826015472401</v>
      </c>
      <c r="G820" s="23">
        <v>0</v>
      </c>
      <c r="H820" s="23">
        <v>1.5873016789555501E-2</v>
      </c>
      <c r="I820" s="24">
        <v>0.67346936464309604</v>
      </c>
      <c r="J820" s="24">
        <v>0.27210885286331099</v>
      </c>
      <c r="K820" s="23">
        <v>0</v>
      </c>
      <c r="L820" s="23">
        <v>9.0702949091792003E-3</v>
      </c>
      <c r="M820" s="23">
        <v>2.9478458687663099E-2</v>
      </c>
      <c r="N820" s="23">
        <v>0</v>
      </c>
      <c r="O820" s="24">
        <v>0.176870748400688</v>
      </c>
      <c r="P820" s="24">
        <v>0.17460317909717499</v>
      </c>
      <c r="Q820" s="24">
        <v>0.95464855432510298</v>
      </c>
      <c r="R820" s="25">
        <v>0</v>
      </c>
      <c r="S820" s="25">
        <v>0</v>
      </c>
      <c r="T820" s="25">
        <v>0.17687074829931973</v>
      </c>
    </row>
    <row r="821" spans="1:20" x14ac:dyDescent="0.25">
      <c r="A821" s="8" t="s">
        <v>1716</v>
      </c>
      <c r="B821" s="8" t="s">
        <v>1717</v>
      </c>
      <c r="C821" s="8" t="s">
        <v>3540</v>
      </c>
      <c r="D821" s="8">
        <v>200</v>
      </c>
      <c r="E821" s="24">
        <v>0.50499999523162797</v>
      </c>
      <c r="F821" s="24">
        <v>0.49500000476837103</v>
      </c>
      <c r="G821" s="23">
        <v>0</v>
      </c>
      <c r="H821" s="23">
        <v>2.9999999329447701E-2</v>
      </c>
      <c r="I821" s="23">
        <v>0.69999998807907104</v>
      </c>
      <c r="J821" s="23">
        <v>0.25</v>
      </c>
      <c r="K821" s="23">
        <v>1.4999999664723899E-2</v>
      </c>
      <c r="L821" s="23">
        <v>0</v>
      </c>
      <c r="M821" s="23">
        <v>4.9999998882412997E-3</v>
      </c>
      <c r="N821" s="23">
        <v>0</v>
      </c>
      <c r="O821" s="23">
        <v>0.125</v>
      </c>
      <c r="P821" s="24">
        <v>0.104999996721744</v>
      </c>
      <c r="Q821" s="24">
        <v>0.92000001668929998</v>
      </c>
      <c r="R821" s="25">
        <v>0.01</v>
      </c>
      <c r="S821" s="25">
        <v>0.04</v>
      </c>
      <c r="T821" s="25">
        <v>0.08</v>
      </c>
    </row>
    <row r="822" spans="1:20" x14ac:dyDescent="0.25">
      <c r="A822" s="8" t="s">
        <v>1718</v>
      </c>
      <c r="B822" s="8" t="s">
        <v>1719</v>
      </c>
      <c r="C822" s="8" t="s">
        <v>3540</v>
      </c>
      <c r="D822" s="8">
        <v>180</v>
      </c>
      <c r="E822" s="23">
        <v>0.5</v>
      </c>
      <c r="F822" s="23">
        <v>0.5</v>
      </c>
      <c r="G822" s="23">
        <v>0</v>
      </c>
      <c r="H822" s="23">
        <v>4.4444445520639399E-2</v>
      </c>
      <c r="I822" s="24">
        <v>0.71111112833023005</v>
      </c>
      <c r="J822" s="24">
        <v>0.16666667163372001</v>
      </c>
      <c r="K822" s="23">
        <v>1.11111113801599E-2</v>
      </c>
      <c r="L822" s="23">
        <v>1.11111113801599E-2</v>
      </c>
      <c r="M822" s="23">
        <v>5.55555559694767E-2</v>
      </c>
      <c r="N822" s="23">
        <v>0</v>
      </c>
      <c r="O822" s="24">
        <v>0.27777779102325401</v>
      </c>
      <c r="P822" s="23">
        <v>0.116666667163372</v>
      </c>
      <c r="Q822" s="24">
        <v>0.82777780294418302</v>
      </c>
      <c r="R822" s="25">
        <v>9.4444444444444442E-2</v>
      </c>
      <c r="S822" s="25">
        <v>5.5555555555555558E-3</v>
      </c>
      <c r="T822" s="25">
        <v>0.21111111111111111</v>
      </c>
    </row>
    <row r="823" spans="1:20" x14ac:dyDescent="0.25">
      <c r="A823" s="8" t="s">
        <v>1720</v>
      </c>
      <c r="B823" s="8" t="s">
        <v>1721</v>
      </c>
      <c r="C823" s="8" t="s">
        <v>3540</v>
      </c>
      <c r="D823" s="8">
        <v>221</v>
      </c>
      <c r="E823" s="24">
        <v>0.54298645257949796</v>
      </c>
      <c r="F823" s="24">
        <v>0.45701357722282399</v>
      </c>
      <c r="G823" s="23">
        <v>0</v>
      </c>
      <c r="H823" s="23">
        <v>9.0497741475701002E-3</v>
      </c>
      <c r="I823" s="24">
        <v>0.68778282403945901</v>
      </c>
      <c r="J823" s="24">
        <v>0.27149322628974898</v>
      </c>
      <c r="K823" s="23">
        <v>1.8099548295140301E-2</v>
      </c>
      <c r="L823" s="23">
        <v>0</v>
      </c>
      <c r="M823" s="23">
        <v>1.35746607556939E-2</v>
      </c>
      <c r="N823" s="23">
        <v>0</v>
      </c>
      <c r="O823" s="23">
        <v>0.25339367985725397</v>
      </c>
      <c r="P823" s="24">
        <v>0.14479638636112199</v>
      </c>
      <c r="Q823" s="24">
        <v>0.990950226783752</v>
      </c>
      <c r="R823" s="25">
        <v>0.14027149321266968</v>
      </c>
      <c r="S823" s="25">
        <v>2.2624434389140271E-2</v>
      </c>
      <c r="T823" s="25">
        <v>9.9547511312217188E-2</v>
      </c>
    </row>
    <row r="824" spans="1:20" x14ac:dyDescent="0.25">
      <c r="A824" s="8" t="s">
        <v>1722</v>
      </c>
      <c r="B824" s="8" t="s">
        <v>1723</v>
      </c>
      <c r="C824" s="8" t="s">
        <v>3540</v>
      </c>
      <c r="D824" s="8">
        <v>163</v>
      </c>
      <c r="E824" s="24">
        <v>0.527607381343841</v>
      </c>
      <c r="F824" s="24">
        <v>0.47239264845848</v>
      </c>
      <c r="G824" s="23">
        <v>0</v>
      </c>
      <c r="H824" s="23">
        <v>1.2269938364625E-2</v>
      </c>
      <c r="I824" s="24">
        <v>0.66257667541503895</v>
      </c>
      <c r="J824" s="24">
        <v>0.28834354877471902</v>
      </c>
      <c r="K824" s="23">
        <v>1.8404908478259999E-2</v>
      </c>
      <c r="L824" s="23">
        <v>0</v>
      </c>
      <c r="M824" s="23">
        <v>1.8404908478259999E-2</v>
      </c>
      <c r="N824" s="23">
        <v>0</v>
      </c>
      <c r="O824" s="24">
        <v>0.12269938737154</v>
      </c>
      <c r="P824" s="24">
        <v>0.28834354877471902</v>
      </c>
      <c r="Q824" s="23">
        <v>1</v>
      </c>
      <c r="R824" s="25">
        <v>6.1349693251533744E-3</v>
      </c>
      <c r="S824" s="25">
        <v>0</v>
      </c>
      <c r="T824" s="25">
        <v>0.13496932515337423</v>
      </c>
    </row>
    <row r="825" spans="1:20" x14ac:dyDescent="0.25">
      <c r="A825" s="8" t="s">
        <v>1724</v>
      </c>
      <c r="B825" s="8" t="s">
        <v>1725</v>
      </c>
      <c r="C825" s="8" t="s">
        <v>3540</v>
      </c>
      <c r="D825" s="8">
        <v>407</v>
      </c>
      <c r="E825" s="24">
        <v>0.464373469352722</v>
      </c>
      <c r="F825" s="24">
        <v>0.53316950798034601</v>
      </c>
      <c r="G825" s="23">
        <v>2.4570024106652E-3</v>
      </c>
      <c r="H825" s="23">
        <v>4.6683046966791202E-2</v>
      </c>
      <c r="I825" s="23">
        <v>0.60196560621261597</v>
      </c>
      <c r="J825" s="24">
        <v>0.28746929764747597</v>
      </c>
      <c r="K825" s="23">
        <v>4.9140048213303002E-3</v>
      </c>
      <c r="L825" s="23">
        <v>7.3710074648261001E-3</v>
      </c>
      <c r="M825" s="23">
        <v>3.4398034214973401E-2</v>
      </c>
      <c r="N825" s="23">
        <v>1.7199017107486701E-2</v>
      </c>
      <c r="O825" s="24">
        <v>0.23587223887443501</v>
      </c>
      <c r="P825" s="24">
        <v>0.23341523110866499</v>
      </c>
      <c r="Q825" s="24">
        <v>0.82800984382629295</v>
      </c>
      <c r="R825" s="25">
        <v>0</v>
      </c>
      <c r="S825" s="25">
        <v>1.9656019656019656E-2</v>
      </c>
      <c r="T825" s="25">
        <v>0.20884520884520885</v>
      </c>
    </row>
    <row r="826" spans="1:20" x14ac:dyDescent="0.25">
      <c r="A826" s="8" t="s">
        <v>1726</v>
      </c>
      <c r="B826" s="8" t="s">
        <v>1727</v>
      </c>
      <c r="C826" s="8" t="s">
        <v>3540</v>
      </c>
      <c r="D826" s="8">
        <v>108</v>
      </c>
      <c r="E826" s="24">
        <v>0.54629629850387496</v>
      </c>
      <c r="F826" s="24">
        <v>0.45370370149612399</v>
      </c>
      <c r="G826" s="23">
        <v>0</v>
      </c>
      <c r="H826" s="23">
        <v>9.2592593282460993E-3</v>
      </c>
      <c r="I826" s="24">
        <v>0.768518507480621</v>
      </c>
      <c r="J826" s="24">
        <v>0.19444444775581299</v>
      </c>
      <c r="K826" s="23">
        <v>0</v>
      </c>
      <c r="L826" s="23">
        <v>0</v>
      </c>
      <c r="M826" s="23">
        <v>2.7777777984738301E-2</v>
      </c>
      <c r="N826" s="23">
        <v>0</v>
      </c>
      <c r="O826" s="24">
        <v>0.37962964177131597</v>
      </c>
      <c r="P826" s="23">
        <v>7.4074074625968905E-2</v>
      </c>
      <c r="Q826" s="24">
        <v>0.87962961196899403</v>
      </c>
      <c r="R826" s="25">
        <v>9.2592592592592587E-3</v>
      </c>
      <c r="S826" s="25">
        <v>0.15740740740740741</v>
      </c>
      <c r="T826" s="25">
        <v>0.19444444444444445</v>
      </c>
    </row>
    <row r="827" spans="1:20" x14ac:dyDescent="0.25">
      <c r="A827" s="8" t="s">
        <v>1728</v>
      </c>
      <c r="B827" s="8" t="s">
        <v>1729</v>
      </c>
      <c r="C827" s="8" t="s">
        <v>3540</v>
      </c>
      <c r="D827" s="8">
        <v>338</v>
      </c>
      <c r="E827" s="24">
        <v>0.45857986807823098</v>
      </c>
      <c r="F827" s="24">
        <v>0.54142010211944502</v>
      </c>
      <c r="G827" s="23">
        <v>0</v>
      </c>
      <c r="H827" s="23">
        <v>4.1420117020607002E-2</v>
      </c>
      <c r="I827" s="24">
        <v>0.21893490850925401</v>
      </c>
      <c r="J827" s="24">
        <v>0.54733729362487704</v>
      </c>
      <c r="K827" s="23">
        <v>0</v>
      </c>
      <c r="L827" s="23">
        <v>5.9171598404645998E-3</v>
      </c>
      <c r="M827" s="23">
        <v>4.7337278723716701E-2</v>
      </c>
      <c r="N827" s="24">
        <v>0.139053255319595</v>
      </c>
      <c r="O827" s="23">
        <v>5.3254436701536199E-2</v>
      </c>
      <c r="P827" s="24">
        <v>0.83727812767028797</v>
      </c>
      <c r="Q827" s="24">
        <v>0.964497029781341</v>
      </c>
      <c r="R827" s="25">
        <v>0</v>
      </c>
      <c r="S827" s="25">
        <v>0</v>
      </c>
      <c r="T827" s="25">
        <v>4.7337278106508875E-2</v>
      </c>
    </row>
    <row r="828" spans="1:20" x14ac:dyDescent="0.25">
      <c r="A828" s="8" t="s">
        <v>1730</v>
      </c>
      <c r="B828" s="8" t="s">
        <v>1731</v>
      </c>
      <c r="C828" s="8" t="s">
        <v>3540</v>
      </c>
      <c r="D828" s="8">
        <v>214</v>
      </c>
      <c r="E828" s="24">
        <v>0.313084125518798</v>
      </c>
      <c r="F828" s="24">
        <v>0.68691587448120095</v>
      </c>
      <c r="G828" s="23">
        <v>0</v>
      </c>
      <c r="H828" s="23">
        <v>4.2056076228618601E-2</v>
      </c>
      <c r="I828" s="24">
        <v>0.69626170396804798</v>
      </c>
      <c r="J828" s="24">
        <v>0.2289719581604</v>
      </c>
      <c r="K828" s="23">
        <v>4.6728970482945E-3</v>
      </c>
      <c r="L828" s="23">
        <v>9.3457940965891006E-3</v>
      </c>
      <c r="M828" s="23">
        <v>1.8691588193178201E-2</v>
      </c>
      <c r="N828" s="23">
        <v>0</v>
      </c>
      <c r="O828" s="24">
        <v>0.186915889382362</v>
      </c>
      <c r="P828" s="24">
        <v>0.15420560538768699</v>
      </c>
      <c r="Q828" s="24">
        <v>0.92523366212844804</v>
      </c>
      <c r="R828" s="25">
        <v>4.6728971962616819E-3</v>
      </c>
      <c r="S828" s="25">
        <v>0</v>
      </c>
      <c r="T828" s="25">
        <v>0.16822429906542055</v>
      </c>
    </row>
    <row r="829" spans="1:20" x14ac:dyDescent="0.25">
      <c r="A829" s="8" t="s">
        <v>1732</v>
      </c>
      <c r="B829" s="8" t="s">
        <v>1733</v>
      </c>
      <c r="C829" s="8" t="s">
        <v>3540</v>
      </c>
      <c r="D829" s="8">
        <v>440</v>
      </c>
      <c r="E829" s="23">
        <v>0.54318183660507202</v>
      </c>
      <c r="F829" s="24">
        <v>0.45681819319724998</v>
      </c>
      <c r="G829" s="23">
        <v>0</v>
      </c>
      <c r="H829" s="23">
        <v>2.04545445740223E-2</v>
      </c>
      <c r="I829" s="24">
        <v>0.72272729873657204</v>
      </c>
      <c r="J829" s="24">
        <v>0.20681817829608901</v>
      </c>
      <c r="K829" s="23">
        <v>9.0909088030456994E-3</v>
      </c>
      <c r="L829" s="23">
        <v>1.5909090638160699E-2</v>
      </c>
      <c r="M829" s="23">
        <v>2.5000000372528999E-2</v>
      </c>
      <c r="N829" s="23">
        <v>0</v>
      </c>
      <c r="O829" s="24">
        <v>0.25454545021057101</v>
      </c>
      <c r="P829" s="23">
        <v>8.63636359572411E-2</v>
      </c>
      <c r="Q829" s="24">
        <v>0.81363636255264205</v>
      </c>
      <c r="R829" s="25">
        <v>2.2727272727272726E-3</v>
      </c>
      <c r="S829" s="25">
        <v>0</v>
      </c>
      <c r="T829" s="25">
        <v>0.21590909090909091</v>
      </c>
    </row>
    <row r="830" spans="1:20" x14ac:dyDescent="0.25">
      <c r="A830" s="8" t="s">
        <v>1734</v>
      </c>
      <c r="B830" s="8" t="s">
        <v>1735</v>
      </c>
      <c r="C830" s="8" t="s">
        <v>3540</v>
      </c>
      <c r="D830" s="8">
        <v>513</v>
      </c>
      <c r="E830" s="24">
        <v>0.31578946113586398</v>
      </c>
      <c r="F830" s="24">
        <v>0.68421053886413497</v>
      </c>
      <c r="G830" s="23">
        <v>0</v>
      </c>
      <c r="H830" s="23">
        <v>2.3391813039779701E-2</v>
      </c>
      <c r="I830" s="24">
        <v>0.65497076511383001</v>
      </c>
      <c r="J830" s="24">
        <v>0.26510721445083602</v>
      </c>
      <c r="K830" s="23">
        <v>3.8986355066299E-3</v>
      </c>
      <c r="L830" s="23">
        <v>9.7465887665748995E-3</v>
      </c>
      <c r="M830" s="23">
        <v>2.72904485464096E-2</v>
      </c>
      <c r="N830" s="23">
        <v>1.55945420265198E-2</v>
      </c>
      <c r="O830" s="24">
        <v>0.198830410838127</v>
      </c>
      <c r="P830" s="24">
        <v>0.14424951374530701</v>
      </c>
      <c r="Q830" s="24">
        <v>0.84405457973480202</v>
      </c>
      <c r="R830" s="25">
        <v>0</v>
      </c>
      <c r="S830" s="25">
        <v>0</v>
      </c>
      <c r="T830" s="25">
        <v>0.17738791423001948</v>
      </c>
    </row>
    <row r="831" spans="1:20" x14ac:dyDescent="0.25">
      <c r="A831" s="8" t="s">
        <v>1736</v>
      </c>
      <c r="B831" s="8" t="s">
        <v>1737</v>
      </c>
      <c r="C831" s="8" t="s">
        <v>3540</v>
      </c>
      <c r="D831" s="8">
        <v>246</v>
      </c>
      <c r="E831" s="24">
        <v>0.414634138345718</v>
      </c>
      <c r="F831" s="24">
        <v>0.58536583185195901</v>
      </c>
      <c r="G831" s="23">
        <v>0</v>
      </c>
      <c r="H831" s="23">
        <v>7.3170728981494904E-2</v>
      </c>
      <c r="I831" s="24">
        <v>0.59349590539932195</v>
      </c>
      <c r="J831" s="24">
        <v>0.28048780560493403</v>
      </c>
      <c r="K831" s="23">
        <v>0</v>
      </c>
      <c r="L831" s="23">
        <v>1.6260161995887801E-2</v>
      </c>
      <c r="M831" s="23">
        <v>2.43902429938316E-2</v>
      </c>
      <c r="N831" s="23">
        <v>1.21951214969158E-2</v>
      </c>
      <c r="O831" s="24">
        <v>0.19105690717697099</v>
      </c>
      <c r="P831" s="24">
        <v>0.23577235639095301</v>
      </c>
      <c r="Q831" s="24">
        <v>0.84552848339080799</v>
      </c>
      <c r="R831" s="25">
        <v>0</v>
      </c>
      <c r="S831" s="25">
        <v>0</v>
      </c>
      <c r="T831" s="25">
        <v>0.1910569105691057</v>
      </c>
    </row>
    <row r="832" spans="1:20" x14ac:dyDescent="0.25">
      <c r="A832" s="8" t="s">
        <v>1738</v>
      </c>
      <c r="B832" s="8" t="s">
        <v>1739</v>
      </c>
      <c r="C832" s="8" t="s">
        <v>3540</v>
      </c>
      <c r="D832" s="8">
        <v>585</v>
      </c>
      <c r="E832" s="23">
        <v>0.50427353382110596</v>
      </c>
      <c r="F832" s="24">
        <v>0.49572649598121599</v>
      </c>
      <c r="G832" s="23">
        <v>0</v>
      </c>
      <c r="H832" s="23">
        <v>3.4188035875558902E-2</v>
      </c>
      <c r="I832" s="24">
        <v>0.76923078298568703</v>
      </c>
      <c r="J832" s="24">
        <v>0.128205135464668</v>
      </c>
      <c r="K832" s="23">
        <v>1.19658121839166E-2</v>
      </c>
      <c r="L832" s="23">
        <v>2.2222222760319699E-2</v>
      </c>
      <c r="M832" s="23">
        <v>2.90598291903734E-2</v>
      </c>
      <c r="N832" s="23">
        <v>5.1282052882016E-3</v>
      </c>
      <c r="O832" s="24">
        <v>0.111111111938953</v>
      </c>
      <c r="P832" s="23">
        <v>8.5470089688896994E-3</v>
      </c>
      <c r="Q832" s="24">
        <v>0.78290599584579401</v>
      </c>
      <c r="R832" s="25">
        <v>0</v>
      </c>
      <c r="S832" s="25">
        <v>0</v>
      </c>
      <c r="T832" s="25">
        <v>0.1111111111111111</v>
      </c>
    </row>
    <row r="833" spans="1:20" x14ac:dyDescent="0.25">
      <c r="A833" s="8" t="s">
        <v>1740</v>
      </c>
      <c r="B833" s="8" t="s">
        <v>1741</v>
      </c>
      <c r="C833" s="8" t="s">
        <v>3540</v>
      </c>
      <c r="D833" s="8">
        <v>371</v>
      </c>
      <c r="E833" s="24">
        <v>0.56064689159393299</v>
      </c>
      <c r="F833" s="24">
        <v>0.43665766716003401</v>
      </c>
      <c r="G833" s="23">
        <v>2.6954177301377002E-3</v>
      </c>
      <c r="H833" s="23">
        <v>2.69541777670383E-2</v>
      </c>
      <c r="I833" s="24">
        <v>0.77628034353256203</v>
      </c>
      <c r="J833" s="23">
        <v>0.150943398475647</v>
      </c>
      <c r="K833" s="23">
        <v>0</v>
      </c>
      <c r="L833" s="23">
        <v>2.4258760735392602E-2</v>
      </c>
      <c r="M833" s="23">
        <v>2.1563341841101601E-2</v>
      </c>
      <c r="N833" s="23">
        <v>0</v>
      </c>
      <c r="O833" s="24">
        <v>0.16981132328510201</v>
      </c>
      <c r="P833" s="23">
        <v>7.2776280343532604E-2</v>
      </c>
      <c r="Q833" s="24">
        <v>0.792452812194824</v>
      </c>
      <c r="R833" s="25">
        <v>2.15633423180593E-2</v>
      </c>
      <c r="S833" s="25">
        <v>2.6954177897574125E-3</v>
      </c>
      <c r="T833" s="25">
        <v>0.12668463611859837</v>
      </c>
    </row>
    <row r="834" spans="1:20" x14ac:dyDescent="0.25">
      <c r="A834" s="8" t="s">
        <v>1742</v>
      </c>
      <c r="B834" s="8" t="s">
        <v>1743</v>
      </c>
      <c r="C834" s="8" t="s">
        <v>3540</v>
      </c>
      <c r="D834" s="8">
        <v>247</v>
      </c>
      <c r="E834" s="23">
        <v>0.38056680560112</v>
      </c>
      <c r="F834" s="24">
        <v>0.61943322420120195</v>
      </c>
      <c r="G834" s="23">
        <v>0</v>
      </c>
      <c r="H834" s="23">
        <v>4.4534411281347303E-2</v>
      </c>
      <c r="I834" s="24">
        <v>0.73279350996017401</v>
      </c>
      <c r="J834" s="24">
        <v>0.149797573685646</v>
      </c>
      <c r="K834" s="23">
        <v>1.2145749293267699E-2</v>
      </c>
      <c r="L834" s="23">
        <v>4.0485830977559003E-3</v>
      </c>
      <c r="M834" s="23">
        <v>4.0485829114913899E-2</v>
      </c>
      <c r="N834" s="23">
        <v>1.6194332391023601E-2</v>
      </c>
      <c r="O834" s="24">
        <v>0.23481781780719699</v>
      </c>
      <c r="P834" s="23">
        <v>9.7165994346141801E-2</v>
      </c>
      <c r="Q834" s="24">
        <v>0.80566799640655495</v>
      </c>
      <c r="R834" s="25">
        <v>0</v>
      </c>
      <c r="S834" s="25">
        <v>4.048582995951417E-3</v>
      </c>
      <c r="T834" s="25">
        <v>0.22267206477732793</v>
      </c>
    </row>
    <row r="835" spans="1:20" x14ac:dyDescent="0.25">
      <c r="A835" s="8" t="s">
        <v>1744</v>
      </c>
      <c r="B835" s="8" t="s">
        <v>1745</v>
      </c>
      <c r="C835" s="8" t="s">
        <v>3540</v>
      </c>
      <c r="D835" s="8">
        <v>201</v>
      </c>
      <c r="E835" s="24">
        <v>0.76616913080215399</v>
      </c>
      <c r="F835" s="24">
        <v>0.23383083939552299</v>
      </c>
      <c r="G835" s="23">
        <v>0</v>
      </c>
      <c r="H835" s="23">
        <v>4.9751242622733003E-3</v>
      </c>
      <c r="I835" s="24">
        <v>0.73134326934814398</v>
      </c>
      <c r="J835" s="24">
        <v>0.203980103135108</v>
      </c>
      <c r="K835" s="23">
        <v>0</v>
      </c>
      <c r="L835" s="23">
        <v>2.9850745573639901E-2</v>
      </c>
      <c r="M835" s="23">
        <v>2.9850745573639901E-2</v>
      </c>
      <c r="N835" s="23">
        <v>0</v>
      </c>
      <c r="O835" s="24">
        <v>0.26865673065185502</v>
      </c>
      <c r="P835" s="23">
        <v>3.98009940981865E-2</v>
      </c>
      <c r="Q835" s="24">
        <v>0.81094527244567804</v>
      </c>
      <c r="R835" s="25">
        <v>0</v>
      </c>
      <c r="S835" s="25">
        <v>4.9751243781094526E-3</v>
      </c>
      <c r="T835" s="25">
        <v>0.26865671641791045</v>
      </c>
    </row>
    <row r="836" spans="1:20" x14ac:dyDescent="0.25">
      <c r="A836" s="8" t="s">
        <v>1746</v>
      </c>
      <c r="B836" s="8" t="s">
        <v>1747</v>
      </c>
      <c r="C836" s="8" t="s">
        <v>3540</v>
      </c>
      <c r="D836" s="8">
        <v>92</v>
      </c>
      <c r="E836" s="23">
        <v>0.52173912525177002</v>
      </c>
      <c r="F836" s="23">
        <v>0.47826087474822998</v>
      </c>
      <c r="G836" s="23">
        <v>0</v>
      </c>
      <c r="H836" s="23">
        <v>0</v>
      </c>
      <c r="I836" s="24">
        <v>0.630434811115264</v>
      </c>
      <c r="J836" s="24">
        <v>0.33695653080940202</v>
      </c>
      <c r="K836" s="23">
        <v>0</v>
      </c>
      <c r="L836" s="23">
        <v>3.2608695328235598E-2</v>
      </c>
      <c r="M836" s="23">
        <v>0</v>
      </c>
      <c r="N836" s="23">
        <v>0</v>
      </c>
      <c r="O836" s="23">
        <v>0.29347825050353998</v>
      </c>
      <c r="P836" s="24">
        <v>0.13043478131294201</v>
      </c>
      <c r="Q836" s="23">
        <v>0.94565218687057495</v>
      </c>
      <c r="R836" s="25">
        <v>0</v>
      </c>
      <c r="S836" s="25">
        <v>0</v>
      </c>
      <c r="T836" s="25">
        <v>0.29347826086956524</v>
      </c>
    </row>
    <row r="837" spans="1:20" x14ac:dyDescent="0.25">
      <c r="A837" s="8" t="s">
        <v>1748</v>
      </c>
      <c r="B837" s="8" t="s">
        <v>1749</v>
      </c>
      <c r="C837" s="8" t="s">
        <v>3540</v>
      </c>
      <c r="D837" s="8">
        <v>1268</v>
      </c>
      <c r="E837" s="24">
        <v>0.580441653728485</v>
      </c>
      <c r="F837" s="24">
        <v>0.419558346271514</v>
      </c>
      <c r="G837" s="23">
        <v>0</v>
      </c>
      <c r="H837" s="23">
        <v>1.4984226785600199E-2</v>
      </c>
      <c r="I837" s="24">
        <v>0.88958990573883001</v>
      </c>
      <c r="J837" s="23">
        <v>6.3091479241848006E-2</v>
      </c>
      <c r="K837" s="23">
        <v>3.9432174526155004E-3</v>
      </c>
      <c r="L837" s="23">
        <v>1.4984226785600199E-2</v>
      </c>
      <c r="M837" s="23">
        <v>9.4637228175997994E-3</v>
      </c>
      <c r="N837" s="23">
        <v>3.9432174526155004E-3</v>
      </c>
      <c r="O837" s="23">
        <v>5.9148263186216403E-2</v>
      </c>
      <c r="P837" s="23">
        <v>7.8864354873079995E-4</v>
      </c>
      <c r="Q837" s="24">
        <v>0.63249212503433205</v>
      </c>
      <c r="R837" s="25">
        <v>0</v>
      </c>
      <c r="S837" s="25">
        <v>0</v>
      </c>
      <c r="T837" s="25">
        <v>5.5993690851735015E-2</v>
      </c>
    </row>
    <row r="838" spans="1:20" x14ac:dyDescent="0.25">
      <c r="A838" s="8" t="s">
        <v>1750</v>
      </c>
      <c r="B838" s="8" t="s">
        <v>1751</v>
      </c>
      <c r="C838" s="8" t="s">
        <v>3540</v>
      </c>
      <c r="D838" s="8">
        <v>1324</v>
      </c>
      <c r="E838" s="24">
        <v>0.73791539669036799</v>
      </c>
      <c r="F838" s="24">
        <v>0.26208460330963101</v>
      </c>
      <c r="G838" s="23">
        <v>0</v>
      </c>
      <c r="H838" s="23">
        <v>1.5861026942729901E-2</v>
      </c>
      <c r="I838" s="24">
        <v>0.80966764688491799</v>
      </c>
      <c r="J838" s="23">
        <v>9.9697887897491497E-2</v>
      </c>
      <c r="K838" s="23">
        <v>6.7975833080708998E-3</v>
      </c>
      <c r="L838" s="23">
        <v>1.7371600493788698E-2</v>
      </c>
      <c r="M838" s="23">
        <v>2.34138965606689E-2</v>
      </c>
      <c r="N838" s="23">
        <v>2.7190333232283599E-2</v>
      </c>
      <c r="O838" s="24">
        <v>0.161631420254707</v>
      </c>
      <c r="P838" s="24">
        <v>0.158610269427299</v>
      </c>
      <c r="Q838" s="24">
        <v>0.81646525859832697</v>
      </c>
      <c r="R838" s="25">
        <v>7.5528700906344411E-4</v>
      </c>
      <c r="S838" s="25">
        <v>5.2870090634441085E-2</v>
      </c>
      <c r="T838" s="25">
        <v>0.10120845921450151</v>
      </c>
    </row>
    <row r="839" spans="1:20" x14ac:dyDescent="0.25">
      <c r="A839" s="8" t="s">
        <v>1752</v>
      </c>
      <c r="B839" s="8" t="s">
        <v>1753</v>
      </c>
      <c r="C839" s="8" t="s">
        <v>3540</v>
      </c>
      <c r="D839" s="8">
        <v>145</v>
      </c>
      <c r="E839" s="24">
        <v>0.455172419548034</v>
      </c>
      <c r="F839" s="24">
        <v>0.544827580451965</v>
      </c>
      <c r="G839" s="23">
        <v>0</v>
      </c>
      <c r="H839" s="23">
        <v>6.8965516984462998E-3</v>
      </c>
      <c r="I839" s="24">
        <v>0.75862067937850897</v>
      </c>
      <c r="J839" s="24">
        <v>0.20000000298023199</v>
      </c>
      <c r="K839" s="23">
        <v>0</v>
      </c>
      <c r="L839" s="23">
        <v>6.8965516984462998E-3</v>
      </c>
      <c r="M839" s="23">
        <v>2.7586206793785099E-2</v>
      </c>
      <c r="N839" s="23">
        <v>0</v>
      </c>
      <c r="O839" s="24">
        <v>0.30344828963279702</v>
      </c>
      <c r="P839" s="23">
        <v>9.6551723778247805E-2</v>
      </c>
      <c r="Q839" s="24">
        <v>0.84827584028243996</v>
      </c>
      <c r="R839" s="25">
        <v>1.3793103448275862E-2</v>
      </c>
      <c r="S839" s="25">
        <v>0</v>
      </c>
      <c r="T839" s="25">
        <v>0.24827586206896551</v>
      </c>
    </row>
    <row r="840" spans="1:20" x14ac:dyDescent="0.25">
      <c r="A840" s="8" t="s">
        <v>1754</v>
      </c>
      <c r="B840" s="8" t="s">
        <v>1755</v>
      </c>
      <c r="C840" s="8" t="s">
        <v>3540</v>
      </c>
      <c r="D840" s="8">
        <v>265</v>
      </c>
      <c r="E840" s="24">
        <v>0.467924535274505</v>
      </c>
      <c r="F840" s="24">
        <v>0.53207546472549405</v>
      </c>
      <c r="G840" s="23">
        <v>0</v>
      </c>
      <c r="H840" s="23">
        <v>3.0188679695129401E-2</v>
      </c>
      <c r="I840" s="24">
        <v>0.43018868565559298</v>
      </c>
      <c r="J840" s="24">
        <v>0.30943396687507602</v>
      </c>
      <c r="K840" s="23">
        <v>4.5283019542694099E-2</v>
      </c>
      <c r="L840" s="23">
        <v>3.7735849618911999E-3</v>
      </c>
      <c r="M840" s="24">
        <v>0.18113207817077601</v>
      </c>
      <c r="N840" s="23">
        <v>0</v>
      </c>
      <c r="O840" s="24">
        <v>0.30943396687507602</v>
      </c>
      <c r="P840" s="23">
        <v>9.0566039085388197E-2</v>
      </c>
      <c r="Q840" s="24">
        <v>0.70566040277481001</v>
      </c>
      <c r="R840" s="25">
        <v>0.1169811320754717</v>
      </c>
      <c r="S840" s="25">
        <v>0</v>
      </c>
      <c r="T840" s="25">
        <v>0.1811320754716981</v>
      </c>
    </row>
    <row r="841" spans="1:20" x14ac:dyDescent="0.25">
      <c r="A841" s="8" t="s">
        <v>1756</v>
      </c>
      <c r="B841" s="8" t="s">
        <v>1757</v>
      </c>
      <c r="C841" s="8" t="s">
        <v>3540</v>
      </c>
      <c r="D841" s="8">
        <v>228</v>
      </c>
      <c r="E841" s="24">
        <v>0.52631580829620295</v>
      </c>
      <c r="F841" s="24">
        <v>0.473684221506118</v>
      </c>
      <c r="G841" s="23">
        <v>0</v>
      </c>
      <c r="H841" s="23">
        <v>0</v>
      </c>
      <c r="I841" s="24">
        <v>0.67105263471603305</v>
      </c>
      <c r="J841" s="24">
        <v>0.22807016968727101</v>
      </c>
      <c r="K841" s="23">
        <v>1.31578948348761E-2</v>
      </c>
      <c r="L841" s="23">
        <v>7.0175439119339003E-2</v>
      </c>
      <c r="M841" s="23">
        <v>1.7543859779834699E-2</v>
      </c>
      <c r="N841" s="23">
        <v>0</v>
      </c>
      <c r="O841" s="24">
        <v>0.276315778493881</v>
      </c>
      <c r="P841" s="24">
        <v>0.127192988991737</v>
      </c>
      <c r="Q841" s="24">
        <v>0.86842107772827104</v>
      </c>
      <c r="R841" s="25">
        <v>0.10526315789473684</v>
      </c>
      <c r="S841" s="25">
        <v>0</v>
      </c>
      <c r="T841" s="25">
        <v>0.19298245614035087</v>
      </c>
    </row>
    <row r="842" spans="1:20" x14ac:dyDescent="0.25">
      <c r="A842" s="8" t="s">
        <v>1758</v>
      </c>
      <c r="B842" s="8" t="s">
        <v>1759</v>
      </c>
      <c r="C842" s="8" t="s">
        <v>3540</v>
      </c>
      <c r="D842" s="8">
        <v>482</v>
      </c>
      <c r="E842" s="24">
        <v>0.47302904725074701</v>
      </c>
      <c r="F842" s="24">
        <v>0.52697098255157404</v>
      </c>
      <c r="G842" s="23">
        <v>0</v>
      </c>
      <c r="H842" s="23">
        <v>1.8672199919819801E-2</v>
      </c>
      <c r="I842" s="24">
        <v>0.80290454626083296</v>
      </c>
      <c r="J842" s="24">
        <v>0.139004155993461</v>
      </c>
      <c r="K842" s="23">
        <v>2.0746889058501001E-3</v>
      </c>
      <c r="L842" s="23">
        <v>1.4522821642458401E-2</v>
      </c>
      <c r="M842" s="23">
        <v>2.0746888592839199E-2</v>
      </c>
      <c r="N842" s="23">
        <v>2.0746889058501001E-3</v>
      </c>
      <c r="O842" s="24">
        <v>0.261410802602767</v>
      </c>
      <c r="P842" s="23">
        <v>8.9211620390415206E-2</v>
      </c>
      <c r="Q842" s="24">
        <v>0.85477179288864102</v>
      </c>
      <c r="R842" s="25">
        <v>2.0746887966804979E-3</v>
      </c>
      <c r="S842" s="25">
        <v>1.4522821576763486E-2</v>
      </c>
      <c r="T842" s="25">
        <v>0.23858921161825727</v>
      </c>
    </row>
    <row r="843" spans="1:20" x14ac:dyDescent="0.25">
      <c r="A843" s="8" t="s">
        <v>1760</v>
      </c>
      <c r="B843" s="8" t="s">
        <v>1761</v>
      </c>
      <c r="C843" s="8" t="s">
        <v>3540</v>
      </c>
      <c r="D843" s="8">
        <v>160</v>
      </c>
      <c r="E843" s="24">
        <v>0.64999997615814198</v>
      </c>
      <c r="F843" s="24">
        <v>0.34999999403953502</v>
      </c>
      <c r="G843" s="23">
        <v>0</v>
      </c>
      <c r="H843" s="23">
        <v>2.5000000372528999E-2</v>
      </c>
      <c r="I843" s="23">
        <v>0.61250001192092896</v>
      </c>
      <c r="J843" s="23">
        <v>0.25</v>
      </c>
      <c r="K843" s="23">
        <v>0</v>
      </c>
      <c r="L843" s="23">
        <v>6.2500000931323E-3</v>
      </c>
      <c r="M843" s="23">
        <v>4.3749999254941899E-2</v>
      </c>
      <c r="N843" s="23">
        <v>6.25E-2</v>
      </c>
      <c r="O843" s="23">
        <v>0.25</v>
      </c>
      <c r="P843" s="23">
        <v>9.375E-2</v>
      </c>
      <c r="Q843" s="24">
        <v>0.83749997615814198</v>
      </c>
      <c r="R843" s="25">
        <v>0</v>
      </c>
      <c r="S843" s="25">
        <v>0.1125</v>
      </c>
      <c r="T843" s="25">
        <v>0.15625</v>
      </c>
    </row>
    <row r="844" spans="1:20" x14ac:dyDescent="0.25">
      <c r="A844" s="8" t="s">
        <v>1762</v>
      </c>
      <c r="B844" s="8" t="s">
        <v>1763</v>
      </c>
      <c r="C844" s="8" t="s">
        <v>3540</v>
      </c>
      <c r="D844" s="8">
        <v>274</v>
      </c>
      <c r="E844" s="24">
        <v>0.478102177381515</v>
      </c>
      <c r="F844" s="24">
        <v>0.521897792816162</v>
      </c>
      <c r="G844" s="23">
        <v>0</v>
      </c>
      <c r="H844" s="23">
        <v>1.8248174339532901E-2</v>
      </c>
      <c r="I844" s="24">
        <v>0.481751829385757</v>
      </c>
      <c r="J844" s="24">
        <v>0.15693430602550501</v>
      </c>
      <c r="K844" s="23">
        <v>8.3941608667373699E-2</v>
      </c>
      <c r="L844" s="23">
        <v>2.5547444820404101E-2</v>
      </c>
      <c r="M844" s="24">
        <v>0.233576640486717</v>
      </c>
      <c r="N844" s="23">
        <v>0</v>
      </c>
      <c r="O844" s="23">
        <v>0.26277372241020203</v>
      </c>
      <c r="P844" s="23">
        <v>3.2846715301275302E-2</v>
      </c>
      <c r="Q844" s="24">
        <v>0.60218977928161599</v>
      </c>
      <c r="R844" s="25">
        <v>8.0291970802919707E-2</v>
      </c>
      <c r="S844" s="25">
        <v>1.0948905109489052E-2</v>
      </c>
      <c r="T844" s="25">
        <v>0.15328467153284672</v>
      </c>
    </row>
    <row r="845" spans="1:20" x14ac:dyDescent="0.25">
      <c r="A845" s="8" t="s">
        <v>1766</v>
      </c>
      <c r="B845" s="8" t="s">
        <v>1767</v>
      </c>
      <c r="C845" s="8" t="s">
        <v>3540</v>
      </c>
      <c r="D845" s="8">
        <v>535</v>
      </c>
      <c r="E845" s="23">
        <v>0.53644859790802002</v>
      </c>
      <c r="F845" s="23">
        <v>0.46355140209197998</v>
      </c>
      <c r="G845" s="23">
        <v>0</v>
      </c>
      <c r="H845" s="23">
        <v>2.2429905831813798E-2</v>
      </c>
      <c r="I845" s="24">
        <v>0.77383178472518899</v>
      </c>
      <c r="J845" s="24">
        <v>0.14205607771873399</v>
      </c>
      <c r="K845" s="23">
        <v>9.3457940965891006E-3</v>
      </c>
      <c r="L845" s="23">
        <v>1.8691588193178201E-2</v>
      </c>
      <c r="M845" s="23">
        <v>3.1775701791048001E-2</v>
      </c>
      <c r="N845" s="23">
        <v>1.8691589357331E-3</v>
      </c>
      <c r="O845" s="24">
        <v>0.17383177578449199</v>
      </c>
      <c r="P845" s="23">
        <v>4.2990654706954998E-2</v>
      </c>
      <c r="Q845" s="24">
        <v>0.80560749769210804</v>
      </c>
      <c r="R845" s="25">
        <v>3.7383177570093455E-2</v>
      </c>
      <c r="S845" s="25">
        <v>2.6168224299065422E-2</v>
      </c>
      <c r="T845" s="25">
        <v>0.11775700934579439</v>
      </c>
    </row>
    <row r="846" spans="1:20" x14ac:dyDescent="0.25">
      <c r="A846" s="8" t="s">
        <v>1768</v>
      </c>
      <c r="B846" s="8" t="s">
        <v>1769</v>
      </c>
      <c r="C846" s="8" t="s">
        <v>3540</v>
      </c>
      <c r="D846" s="8">
        <v>240</v>
      </c>
      <c r="E846" s="24">
        <v>0.47499999403953502</v>
      </c>
      <c r="F846" s="24">
        <v>0.52499997615814198</v>
      </c>
      <c r="G846" s="23">
        <v>0</v>
      </c>
      <c r="H846" s="23">
        <v>5.4166667163371998E-2</v>
      </c>
      <c r="I846" s="24">
        <v>0.65416663885116499</v>
      </c>
      <c r="J846" s="23">
        <v>0.125</v>
      </c>
      <c r="K846" s="23">
        <v>0</v>
      </c>
      <c r="L846" s="23">
        <v>2.9166666790843E-2</v>
      </c>
      <c r="M846" s="24">
        <v>0.133333340287208</v>
      </c>
      <c r="N846" s="23">
        <v>4.1666668839753004E-3</v>
      </c>
      <c r="O846" s="24">
        <v>0.20000000298023199</v>
      </c>
      <c r="P846" s="24">
        <v>0.36666667461395203</v>
      </c>
      <c r="Q846" s="24">
        <v>0.89166665077209395</v>
      </c>
      <c r="R846" s="25">
        <v>0.1125</v>
      </c>
      <c r="S846" s="25">
        <v>0</v>
      </c>
      <c r="T846" s="25">
        <v>8.3333333333333329E-2</v>
      </c>
    </row>
    <row r="847" spans="1:20" x14ac:dyDescent="0.25">
      <c r="A847" s="8" t="s">
        <v>1770</v>
      </c>
      <c r="B847" s="8" t="s">
        <v>1771</v>
      </c>
      <c r="C847" s="8" t="s">
        <v>3540</v>
      </c>
      <c r="D847" s="8">
        <v>396</v>
      </c>
      <c r="E847" s="24">
        <v>0.46464645862579301</v>
      </c>
      <c r="F847" s="24">
        <v>0.53535354137420599</v>
      </c>
      <c r="G847" s="23">
        <v>0</v>
      </c>
      <c r="H847" s="23">
        <v>5.8080807328224203E-2</v>
      </c>
      <c r="I847" s="23">
        <v>0.75</v>
      </c>
      <c r="J847" s="24">
        <v>0.15404041111469199</v>
      </c>
      <c r="K847" s="23">
        <v>5.0505050458014003E-3</v>
      </c>
      <c r="L847" s="23">
        <v>1.0101010091602801E-2</v>
      </c>
      <c r="M847" s="23">
        <v>2.2727273404598201E-2</v>
      </c>
      <c r="N847" s="23">
        <v>0</v>
      </c>
      <c r="O847" s="24">
        <v>0.24494948983192399</v>
      </c>
      <c r="P847" s="24">
        <v>0.159090906381607</v>
      </c>
      <c r="Q847" s="24">
        <v>0.85606062412261896</v>
      </c>
      <c r="R847" s="25">
        <v>0.11616161616161616</v>
      </c>
      <c r="S847" s="25">
        <v>1.7676767676767676E-2</v>
      </c>
      <c r="T847" s="25">
        <v>0.1111111111111111</v>
      </c>
    </row>
    <row r="848" spans="1:20" x14ac:dyDescent="0.25">
      <c r="A848" s="8" t="s">
        <v>1772</v>
      </c>
      <c r="B848" s="8" t="s">
        <v>1773</v>
      </c>
      <c r="C848" s="8" t="s">
        <v>3540</v>
      </c>
      <c r="D848" s="8">
        <v>861</v>
      </c>
      <c r="E848" s="24">
        <v>0.50522649288177401</v>
      </c>
      <c r="F848" s="24">
        <v>0.49477350711822499</v>
      </c>
      <c r="G848" s="23">
        <v>0</v>
      </c>
      <c r="H848" s="23">
        <v>2.3228803649544699E-2</v>
      </c>
      <c r="I848" s="24">
        <v>0.74564462900161699</v>
      </c>
      <c r="J848" s="24">
        <v>0.116144016385078</v>
      </c>
      <c r="K848" s="23">
        <v>1.50987226516008E-2</v>
      </c>
      <c r="L848" s="23">
        <v>5.8072009123861998E-3</v>
      </c>
      <c r="M848" s="23">
        <v>9.4076655805110904E-2</v>
      </c>
      <c r="N848" s="23">
        <v>0</v>
      </c>
      <c r="O848" s="23">
        <v>0.21022067964076999</v>
      </c>
      <c r="P848" s="24">
        <v>0.103368178009986</v>
      </c>
      <c r="Q848" s="24">
        <v>0.78513354063034002</v>
      </c>
      <c r="R848" s="25">
        <v>6.7363530778164926E-2</v>
      </c>
      <c r="S848" s="25">
        <v>2.3228803716608595E-3</v>
      </c>
      <c r="T848" s="25">
        <v>0.11498257839721254</v>
      </c>
    </row>
    <row r="849" spans="1:20" x14ac:dyDescent="0.25">
      <c r="A849" s="8" t="s">
        <v>1774</v>
      </c>
      <c r="B849" s="8" t="s">
        <v>1775</v>
      </c>
      <c r="C849" s="8" t="s">
        <v>3540</v>
      </c>
      <c r="D849" s="8">
        <v>314</v>
      </c>
      <c r="E849" s="24">
        <v>0.47452229261398299</v>
      </c>
      <c r="F849" s="24">
        <v>0.52547770738601596</v>
      </c>
      <c r="G849" s="23">
        <v>0</v>
      </c>
      <c r="H849" s="23">
        <v>5.0955414772033698E-2</v>
      </c>
      <c r="I849" s="24">
        <v>0.76751589775085405</v>
      </c>
      <c r="J849" s="23">
        <v>7.9617835581302601E-2</v>
      </c>
      <c r="K849" s="23">
        <v>1.5923567116260501E-2</v>
      </c>
      <c r="L849" s="23">
        <v>1.91082805395126E-2</v>
      </c>
      <c r="M849" s="23">
        <v>6.6878981888294206E-2</v>
      </c>
      <c r="N849" s="23">
        <v>0</v>
      </c>
      <c r="O849" s="24">
        <v>0.26114648580551098</v>
      </c>
      <c r="P849" s="24">
        <v>0.124203823506832</v>
      </c>
      <c r="Q849" s="24">
        <v>0.93949043750762895</v>
      </c>
      <c r="R849" s="25">
        <v>7.6433121019108277E-2</v>
      </c>
      <c r="S849" s="25">
        <v>1.5923566878980892E-2</v>
      </c>
      <c r="T849" s="25">
        <v>0.15923566878980891</v>
      </c>
    </row>
    <row r="850" spans="1:20" x14ac:dyDescent="0.25">
      <c r="A850" s="8" t="s">
        <v>1776</v>
      </c>
      <c r="B850" s="8" t="s">
        <v>1777</v>
      </c>
      <c r="C850" s="8" t="s">
        <v>3540</v>
      </c>
      <c r="D850" s="8">
        <v>302</v>
      </c>
      <c r="E850" s="24">
        <v>0.52649009227752597</v>
      </c>
      <c r="F850" s="24">
        <v>0.47350993752479498</v>
      </c>
      <c r="G850" s="23">
        <v>0</v>
      </c>
      <c r="H850" s="23">
        <v>8.9403972029686002E-2</v>
      </c>
      <c r="I850" s="24">
        <v>0.78145694732666005</v>
      </c>
      <c r="J850" s="23">
        <v>6.6225163638591794E-2</v>
      </c>
      <c r="K850" s="23">
        <v>2.3178808391094201E-2</v>
      </c>
      <c r="L850" s="23">
        <v>1.65562909096479E-2</v>
      </c>
      <c r="M850" s="23">
        <v>2.3178808391094201E-2</v>
      </c>
      <c r="N850" s="23">
        <v>0</v>
      </c>
      <c r="O850" s="23">
        <v>0.19536423683166501</v>
      </c>
      <c r="P850" s="24">
        <v>0.12913906574249201</v>
      </c>
      <c r="Q850" s="24">
        <v>0.86092716455459495</v>
      </c>
      <c r="R850" s="25">
        <v>7.9470198675496692E-2</v>
      </c>
      <c r="S850" s="25">
        <v>0</v>
      </c>
      <c r="T850" s="25">
        <v>0.12582781456953643</v>
      </c>
    </row>
    <row r="851" spans="1:20" x14ac:dyDescent="0.25">
      <c r="A851" s="8" t="s">
        <v>1778</v>
      </c>
      <c r="B851" s="8" t="s">
        <v>1779</v>
      </c>
      <c r="C851" s="8" t="s">
        <v>3540</v>
      </c>
      <c r="D851" s="8">
        <v>187</v>
      </c>
      <c r="E851" s="24">
        <v>0.449197858572006</v>
      </c>
      <c r="F851" s="24">
        <v>0.55080211162567105</v>
      </c>
      <c r="G851" s="23">
        <v>0</v>
      </c>
      <c r="H851" s="23">
        <v>2.6737967506051102E-2</v>
      </c>
      <c r="I851" s="24">
        <v>0.74866312742233199</v>
      </c>
      <c r="J851" s="24">
        <v>0.12834224104881201</v>
      </c>
      <c r="K851" s="23">
        <v>5.3475936874746999E-3</v>
      </c>
      <c r="L851" s="23">
        <v>1.06951873749495E-2</v>
      </c>
      <c r="M851" s="23">
        <v>8.0213904380798298E-2</v>
      </c>
      <c r="N851" s="23">
        <v>0</v>
      </c>
      <c r="O851" s="24">
        <v>0.30481284856796198</v>
      </c>
      <c r="P851" s="24">
        <v>0.2299465239048</v>
      </c>
      <c r="Q851" s="23">
        <v>0.85561496019363403</v>
      </c>
      <c r="R851" s="25">
        <v>0.16577540106951871</v>
      </c>
      <c r="S851" s="25">
        <v>0</v>
      </c>
      <c r="T851" s="25">
        <v>0.13368983957219252</v>
      </c>
    </row>
    <row r="852" spans="1:20" x14ac:dyDescent="0.25">
      <c r="A852" s="8" t="s">
        <v>1780</v>
      </c>
      <c r="B852" s="8" t="s">
        <v>1781</v>
      </c>
      <c r="C852" s="8" t="s">
        <v>3540</v>
      </c>
      <c r="D852" s="8">
        <v>340</v>
      </c>
      <c r="E852" s="24">
        <v>0.49411764740943898</v>
      </c>
      <c r="F852" s="24">
        <v>0.50588238239288297</v>
      </c>
      <c r="G852" s="23">
        <v>0</v>
      </c>
      <c r="H852" s="23">
        <v>2.9411765281111002E-3</v>
      </c>
      <c r="I852" s="24">
        <v>0.73529410362243597</v>
      </c>
      <c r="J852" s="24">
        <v>0.208823531866073</v>
      </c>
      <c r="K852" s="23">
        <v>2.9411765281111002E-3</v>
      </c>
      <c r="L852" s="23">
        <v>1.4705882407724901E-2</v>
      </c>
      <c r="M852" s="23">
        <v>3.5294119268655798E-2</v>
      </c>
      <c r="N852" s="23">
        <v>0</v>
      </c>
      <c r="O852" s="24">
        <v>0.25294119119644098</v>
      </c>
      <c r="P852" s="24">
        <v>0.117647059261798</v>
      </c>
      <c r="Q852" s="24">
        <v>0.90588235855102495</v>
      </c>
      <c r="R852" s="25">
        <v>0.12058823529411765</v>
      </c>
      <c r="S852" s="25">
        <v>2.9411764705882353E-3</v>
      </c>
      <c r="T852" s="25">
        <v>0.14411764705882352</v>
      </c>
    </row>
    <row r="853" spans="1:20" x14ac:dyDescent="0.25">
      <c r="A853" s="8" t="s">
        <v>1782</v>
      </c>
      <c r="B853" s="8" t="s">
        <v>1783</v>
      </c>
      <c r="C853" s="8" t="s">
        <v>3540</v>
      </c>
      <c r="D853" s="8">
        <v>346</v>
      </c>
      <c r="E853" s="24">
        <v>0.494219660758972</v>
      </c>
      <c r="F853" s="24">
        <v>0.50578033924102705</v>
      </c>
      <c r="G853" s="23">
        <v>0</v>
      </c>
      <c r="H853" s="23">
        <v>5.7803466916084003E-3</v>
      </c>
      <c r="I853" s="24">
        <v>0.809248566627502</v>
      </c>
      <c r="J853" s="24">
        <v>0.115606933832168</v>
      </c>
      <c r="K853" s="23">
        <v>0</v>
      </c>
      <c r="L853" s="23">
        <v>4.0462426841259003E-2</v>
      </c>
      <c r="M853" s="23">
        <v>2.89017334580421E-2</v>
      </c>
      <c r="N853" s="23">
        <v>0</v>
      </c>
      <c r="O853" s="23">
        <v>0.24855491518974299</v>
      </c>
      <c r="P853" s="23">
        <v>3.4682080149650601E-2</v>
      </c>
      <c r="Q853" s="23">
        <v>0.85260117053985596</v>
      </c>
      <c r="R853" s="25">
        <v>0.12427745664739884</v>
      </c>
      <c r="S853" s="25">
        <v>0</v>
      </c>
      <c r="T853" s="25">
        <v>0.13294797687861271</v>
      </c>
    </row>
    <row r="854" spans="1:20" x14ac:dyDescent="0.25">
      <c r="A854" s="8" t="s">
        <v>1784</v>
      </c>
      <c r="B854" s="8" t="s">
        <v>1785</v>
      </c>
      <c r="C854" s="8" t="s">
        <v>3540</v>
      </c>
      <c r="D854" s="8">
        <v>674</v>
      </c>
      <c r="E854" s="24">
        <v>0.50890207290649403</v>
      </c>
      <c r="F854" s="24">
        <v>0.49109792709350503</v>
      </c>
      <c r="G854" s="23">
        <v>0</v>
      </c>
      <c r="H854" s="23">
        <v>3.8575667887926102E-2</v>
      </c>
      <c r="I854" s="24">
        <v>0.83976262807846003</v>
      </c>
      <c r="J854" s="23">
        <v>5.9347182512283297E-2</v>
      </c>
      <c r="K854" s="23">
        <v>2.81899105757475E-2</v>
      </c>
      <c r="L854" s="23">
        <v>1.48367956280708E-2</v>
      </c>
      <c r="M854" s="23">
        <v>1.9287833943963099E-2</v>
      </c>
      <c r="N854" s="23">
        <v>0</v>
      </c>
      <c r="O854" s="23">
        <v>0.17655786871910101</v>
      </c>
      <c r="P854" s="23">
        <v>5.0445102155208602E-2</v>
      </c>
      <c r="Q854" s="24">
        <v>0.81602376699447599</v>
      </c>
      <c r="R854" s="25">
        <v>7.8635014836795247E-2</v>
      </c>
      <c r="S854" s="25">
        <v>1.483679525222552E-3</v>
      </c>
      <c r="T854" s="25">
        <v>9.6439169139465875E-2</v>
      </c>
    </row>
    <row r="855" spans="1:20" x14ac:dyDescent="0.25">
      <c r="A855" s="8" t="s">
        <v>1786</v>
      </c>
      <c r="B855" s="8" t="s">
        <v>1787</v>
      </c>
      <c r="C855" s="8" t="s">
        <v>3540</v>
      </c>
      <c r="D855" s="8">
        <v>317</v>
      </c>
      <c r="E855" s="24">
        <v>0.422712922096252</v>
      </c>
      <c r="F855" s="24">
        <v>0.577287077903747</v>
      </c>
      <c r="G855" s="23">
        <v>0</v>
      </c>
      <c r="H855" s="23">
        <v>4.7318611294031102E-2</v>
      </c>
      <c r="I855" s="24">
        <v>0.74763405323028498</v>
      </c>
      <c r="J855" s="24">
        <v>0.132492110133171</v>
      </c>
      <c r="K855" s="23">
        <v>3.1545741949229999E-3</v>
      </c>
      <c r="L855" s="23">
        <v>9.4637228175997994E-3</v>
      </c>
      <c r="M855" s="23">
        <v>5.3627759218215901E-2</v>
      </c>
      <c r="N855" s="23">
        <v>6.3091483898461004E-3</v>
      </c>
      <c r="O855" s="24">
        <v>0.29337540268897999</v>
      </c>
      <c r="P855" s="23">
        <v>7.2555206716060597E-2</v>
      </c>
      <c r="Q855" s="24">
        <v>0.86750787496566695</v>
      </c>
      <c r="R855" s="25">
        <v>0.10094637223974763</v>
      </c>
      <c r="S855" s="25">
        <v>3.1545741324921135E-3</v>
      </c>
      <c r="T855" s="25">
        <v>0.18611987381703471</v>
      </c>
    </row>
    <row r="856" spans="1:20" x14ac:dyDescent="0.25">
      <c r="A856" s="8" t="s">
        <v>1788</v>
      </c>
      <c r="B856" s="8" t="s">
        <v>1789</v>
      </c>
      <c r="C856" s="8" t="s">
        <v>3540</v>
      </c>
      <c r="D856" s="8">
        <v>286</v>
      </c>
      <c r="E856" s="23">
        <v>0.55944055318832397</v>
      </c>
      <c r="F856" s="23">
        <v>0.44055944681167603</v>
      </c>
      <c r="G856" s="23">
        <v>0</v>
      </c>
      <c r="H856" s="23">
        <v>0</v>
      </c>
      <c r="I856" s="24">
        <v>0.74125874042510898</v>
      </c>
      <c r="J856" s="24">
        <v>0.21678321063518499</v>
      </c>
      <c r="K856" s="23">
        <v>0</v>
      </c>
      <c r="L856" s="23">
        <v>6.9930069148540002E-3</v>
      </c>
      <c r="M856" s="23">
        <v>3.49650345742702E-2</v>
      </c>
      <c r="N856" s="23">
        <v>0</v>
      </c>
      <c r="O856" s="24">
        <v>0.21678321063518499</v>
      </c>
      <c r="P856" s="24">
        <v>0.164335668087005</v>
      </c>
      <c r="Q856" s="24">
        <v>0.88461536169052102</v>
      </c>
      <c r="R856" s="25">
        <v>6.6433566433566432E-2</v>
      </c>
      <c r="S856" s="25">
        <v>0</v>
      </c>
      <c r="T856" s="25">
        <v>0.14685314685314685</v>
      </c>
    </row>
    <row r="857" spans="1:20" x14ac:dyDescent="0.25">
      <c r="A857" s="8" t="s">
        <v>1790</v>
      </c>
      <c r="B857" s="8" t="s">
        <v>1791</v>
      </c>
      <c r="C857" s="8" t="s">
        <v>3540</v>
      </c>
      <c r="D857" s="8">
        <v>372</v>
      </c>
      <c r="E857" s="24">
        <v>0.51612901687622004</v>
      </c>
      <c r="F857" s="24">
        <v>0.48387095332145602</v>
      </c>
      <c r="G857" s="23">
        <v>0</v>
      </c>
      <c r="H857" s="23">
        <v>2.95698922127485E-2</v>
      </c>
      <c r="I857" s="24">
        <v>0.70430105924606301</v>
      </c>
      <c r="J857" s="24">
        <v>0.18279570341110199</v>
      </c>
      <c r="K857" s="23">
        <v>1.07526881620288E-2</v>
      </c>
      <c r="L857" s="23">
        <v>3.7634409964084597E-2</v>
      </c>
      <c r="M857" s="23">
        <v>3.4946236759424203E-2</v>
      </c>
      <c r="N857" s="23">
        <v>0</v>
      </c>
      <c r="O857" s="24">
        <v>0.26344084739684998</v>
      </c>
      <c r="P857" s="23">
        <v>8.3333335816860199E-2</v>
      </c>
      <c r="Q857" s="24">
        <v>0.94623655080795199</v>
      </c>
      <c r="R857" s="25">
        <v>0.10215053763440861</v>
      </c>
      <c r="S857" s="25">
        <v>2.6881720430107529E-3</v>
      </c>
      <c r="T857" s="25">
        <v>0.12634408602150538</v>
      </c>
    </row>
    <row r="858" spans="1:20" x14ac:dyDescent="0.25">
      <c r="A858" s="8" t="s">
        <v>1793</v>
      </c>
      <c r="B858" s="8" t="s">
        <v>1794</v>
      </c>
      <c r="C858" s="8" t="s">
        <v>3540</v>
      </c>
      <c r="D858" s="8">
        <v>569</v>
      </c>
      <c r="E858" s="24">
        <v>0.49912127852439803</v>
      </c>
      <c r="F858" s="24">
        <v>0.50087875127792303</v>
      </c>
      <c r="G858" s="23">
        <v>0</v>
      </c>
      <c r="H858" s="23">
        <v>3.51493842899799E-2</v>
      </c>
      <c r="I858" s="24">
        <v>0.71704745292663497</v>
      </c>
      <c r="J858" s="23">
        <v>9.6660807728767395E-2</v>
      </c>
      <c r="K858" s="23">
        <v>3.5149385221302999E-3</v>
      </c>
      <c r="L858" s="23">
        <v>2.8119508177042001E-2</v>
      </c>
      <c r="M858" s="23">
        <v>0.119507908821106</v>
      </c>
      <c r="N858" s="23">
        <v>0</v>
      </c>
      <c r="O858" s="24">
        <v>0.205623894929885</v>
      </c>
      <c r="P858" s="24">
        <v>0.202108964323997</v>
      </c>
      <c r="Q858" s="24">
        <v>0.88400703668594305</v>
      </c>
      <c r="R858" s="25">
        <v>9.8418277680140595E-2</v>
      </c>
      <c r="S858" s="25">
        <v>0</v>
      </c>
      <c r="T858" s="25">
        <v>7.2056239015817217E-2</v>
      </c>
    </row>
    <row r="859" spans="1:20" x14ac:dyDescent="0.25">
      <c r="A859" s="8" t="s">
        <v>1795</v>
      </c>
      <c r="B859" s="8" t="s">
        <v>1796</v>
      </c>
      <c r="C859" s="8" t="s">
        <v>3540</v>
      </c>
      <c r="D859" s="8">
        <v>281</v>
      </c>
      <c r="E859" s="24">
        <v>0.48398575186729398</v>
      </c>
      <c r="F859" s="24">
        <v>0.51601421833038297</v>
      </c>
      <c r="G859" s="23">
        <v>0</v>
      </c>
      <c r="H859" s="23">
        <v>1.4234875328838799E-2</v>
      </c>
      <c r="I859" s="23">
        <v>0.83629894256591797</v>
      </c>
      <c r="J859" s="24">
        <v>0.11387900263071001</v>
      </c>
      <c r="K859" s="23">
        <v>0</v>
      </c>
      <c r="L859" s="23">
        <v>3.5587188322096998E-3</v>
      </c>
      <c r="M859" s="23">
        <v>3.2028470188379302E-2</v>
      </c>
      <c r="N859" s="23">
        <v>0</v>
      </c>
      <c r="O859" s="24">
        <v>0.202846974134445</v>
      </c>
      <c r="P859" s="23">
        <v>8.8967971503734603E-2</v>
      </c>
      <c r="Q859" s="24">
        <v>0.84697508811950595</v>
      </c>
      <c r="R859" s="25">
        <v>6.4056939501779361E-2</v>
      </c>
      <c r="S859" s="25">
        <v>0</v>
      </c>
      <c r="T859" s="25">
        <v>0.13523131672597866</v>
      </c>
    </row>
    <row r="860" spans="1:20" x14ac:dyDescent="0.25">
      <c r="A860" s="8" t="s">
        <v>1797</v>
      </c>
      <c r="B860" s="8" t="s">
        <v>1798</v>
      </c>
      <c r="C860" s="8" t="s">
        <v>3540</v>
      </c>
      <c r="D860" s="8">
        <v>521</v>
      </c>
      <c r="E860" s="24">
        <v>0.54510557651519698</v>
      </c>
      <c r="F860" s="24">
        <v>0.45489442348480202</v>
      </c>
      <c r="G860" s="23">
        <v>0</v>
      </c>
      <c r="H860" s="23">
        <v>2.49520149081945E-2</v>
      </c>
      <c r="I860" s="24">
        <v>0.87715929746627797</v>
      </c>
      <c r="J860" s="23">
        <v>7.6775431632995605E-2</v>
      </c>
      <c r="K860" s="23">
        <v>1.9193857442588E-3</v>
      </c>
      <c r="L860" s="23">
        <v>9.5969289541244993E-3</v>
      </c>
      <c r="M860" s="23">
        <v>9.5969289541244993E-3</v>
      </c>
      <c r="N860" s="23">
        <v>0</v>
      </c>
      <c r="O860" s="23">
        <v>0.23608444631099701</v>
      </c>
      <c r="P860" s="23">
        <v>5.95009587705135E-2</v>
      </c>
      <c r="Q860" s="24">
        <v>0.81765836477279596</v>
      </c>
      <c r="R860" s="25">
        <v>0</v>
      </c>
      <c r="S860" s="25">
        <v>9.5969289827255277E-2</v>
      </c>
      <c r="T860" s="25">
        <v>0.14011516314779271</v>
      </c>
    </row>
    <row r="861" spans="1:20" x14ac:dyDescent="0.25">
      <c r="A861" s="8" t="s">
        <v>1799</v>
      </c>
      <c r="B861" s="8" t="s">
        <v>1800</v>
      </c>
      <c r="C861" s="8" t="s">
        <v>3540</v>
      </c>
      <c r="D861" s="8">
        <v>232</v>
      </c>
      <c r="E861" s="24">
        <v>0.512931048870086</v>
      </c>
      <c r="F861" s="24">
        <v>0.487068951129913</v>
      </c>
      <c r="G861" s="23">
        <v>0</v>
      </c>
      <c r="H861" s="23">
        <v>3.0172413215041199E-2</v>
      </c>
      <c r="I861" s="24">
        <v>0.82327586412429798</v>
      </c>
      <c r="J861" s="23">
        <v>9.0517237782478305E-2</v>
      </c>
      <c r="K861" s="23">
        <v>8.6206896230578006E-3</v>
      </c>
      <c r="L861" s="23">
        <v>8.6206896230578006E-3</v>
      </c>
      <c r="M861" s="23">
        <v>3.87931019067764E-2</v>
      </c>
      <c r="N861" s="23">
        <v>0</v>
      </c>
      <c r="O861" s="24">
        <v>0.262931048870086</v>
      </c>
      <c r="P861" s="24">
        <v>0.11637931317090899</v>
      </c>
      <c r="Q861" s="24">
        <v>0.90948277711868197</v>
      </c>
      <c r="R861" s="25">
        <v>7.7586206896551727E-2</v>
      </c>
      <c r="S861" s="25">
        <v>0</v>
      </c>
      <c r="T861" s="25">
        <v>0.16810344827586207</v>
      </c>
    </row>
    <row r="862" spans="1:20" x14ac:dyDescent="0.25">
      <c r="A862" s="8" t="s">
        <v>1801</v>
      </c>
      <c r="B862" s="8" t="s">
        <v>1802</v>
      </c>
      <c r="C862" s="8" t="s">
        <v>3540</v>
      </c>
      <c r="D862" s="8">
        <v>268</v>
      </c>
      <c r="E862" s="24">
        <v>0.38432836532592701</v>
      </c>
      <c r="F862" s="24">
        <v>0.61567163467407204</v>
      </c>
      <c r="G862" s="23">
        <v>0</v>
      </c>
      <c r="H862" s="23">
        <v>1.11940298229456E-2</v>
      </c>
      <c r="I862" s="24">
        <v>0.77238804101943903</v>
      </c>
      <c r="J862" s="24">
        <v>0.15671642124652799</v>
      </c>
      <c r="K862" s="23">
        <v>7.4626863934100004E-3</v>
      </c>
      <c r="L862" s="23">
        <v>7.4626863934100004E-3</v>
      </c>
      <c r="M862" s="23">
        <v>2.23880596458912E-2</v>
      </c>
      <c r="N862" s="23">
        <v>2.23880596458912E-2</v>
      </c>
      <c r="O862" s="24">
        <v>0.20149253308772999</v>
      </c>
      <c r="P862" s="24">
        <v>0.31343284249305697</v>
      </c>
      <c r="Q862" s="24">
        <v>0.80223882198333696</v>
      </c>
      <c r="R862" s="25">
        <v>0</v>
      </c>
      <c r="S862" s="25">
        <v>5.5970149253731345E-2</v>
      </c>
      <c r="T862" s="25">
        <v>0.1455223880597015</v>
      </c>
    </row>
    <row r="863" spans="1:20" x14ac:dyDescent="0.25">
      <c r="A863" s="8" t="s">
        <v>1803</v>
      </c>
      <c r="B863" s="8" t="s">
        <v>1804</v>
      </c>
      <c r="C863" s="8" t="s">
        <v>3540</v>
      </c>
      <c r="D863" s="8">
        <v>253</v>
      </c>
      <c r="E863" s="24">
        <v>0.33992093801498402</v>
      </c>
      <c r="F863" s="24">
        <v>0.66007906198501498</v>
      </c>
      <c r="G863" s="23">
        <v>0</v>
      </c>
      <c r="H863" s="23">
        <v>4.34782616794109E-2</v>
      </c>
      <c r="I863" s="24">
        <v>0.68379443883895796</v>
      </c>
      <c r="J863" s="24">
        <v>0.17391304671764299</v>
      </c>
      <c r="K863" s="23">
        <v>0</v>
      </c>
      <c r="L863" s="23">
        <v>1.18577070534229E-2</v>
      </c>
      <c r="M863" s="23">
        <v>5.9288538992404903E-2</v>
      </c>
      <c r="N863" s="23">
        <v>2.76679843664169E-2</v>
      </c>
      <c r="O863" s="24">
        <v>0.18972331285476601</v>
      </c>
      <c r="P863" s="24">
        <v>0.35968378186225802</v>
      </c>
      <c r="Q863" s="24">
        <v>0.80632412433624201</v>
      </c>
      <c r="R863" s="25">
        <v>3.952569169960474E-3</v>
      </c>
      <c r="S863" s="25">
        <v>0</v>
      </c>
      <c r="T863" s="25">
        <v>0.17391304347826086</v>
      </c>
    </row>
    <row r="864" spans="1:20" x14ac:dyDescent="0.25">
      <c r="A864" s="8" t="s">
        <v>1805</v>
      </c>
      <c r="B864" s="8" t="s">
        <v>1806</v>
      </c>
      <c r="C864" s="8" t="s">
        <v>3540</v>
      </c>
      <c r="D864" s="8">
        <v>238</v>
      </c>
      <c r="E864" s="24">
        <v>0.59243696928024203</v>
      </c>
      <c r="F864" s="24">
        <v>0.40756303071975702</v>
      </c>
      <c r="G864" s="23">
        <v>0</v>
      </c>
      <c r="H864" s="23">
        <v>0</v>
      </c>
      <c r="I864" s="24">
        <v>0.69747900962829501</v>
      </c>
      <c r="J864" s="24">
        <v>0.26050421595573398</v>
      </c>
      <c r="K864" s="23">
        <v>1.26050421968102E-2</v>
      </c>
      <c r="L864" s="23">
        <v>8.4033617749809993E-3</v>
      </c>
      <c r="M864" s="23">
        <v>1.6806723549961999E-2</v>
      </c>
      <c r="N864" s="23">
        <v>4.2016808874904997E-3</v>
      </c>
      <c r="O864" s="24">
        <v>0.22689075767993899</v>
      </c>
      <c r="P864" s="24">
        <v>0.159663870930671</v>
      </c>
      <c r="Q864" s="24">
        <v>0.86134451627731301</v>
      </c>
      <c r="R864" s="25">
        <v>0</v>
      </c>
      <c r="S864" s="25">
        <v>4.2016806722689074E-3</v>
      </c>
      <c r="T864" s="25">
        <v>0.20588235294117646</v>
      </c>
    </row>
    <row r="865" spans="1:20" x14ac:dyDescent="0.25">
      <c r="A865" s="8" t="s">
        <v>1807</v>
      </c>
      <c r="B865" s="8" t="s">
        <v>1808</v>
      </c>
      <c r="C865" s="8" t="s">
        <v>3540</v>
      </c>
      <c r="D865" s="8">
        <v>181</v>
      </c>
      <c r="E865" s="24">
        <v>0.39226520061492898</v>
      </c>
      <c r="F865" s="24">
        <v>0.60773479938507002</v>
      </c>
      <c r="G865" s="23">
        <v>0</v>
      </c>
      <c r="H865" s="23">
        <v>2.7624309062957798E-2</v>
      </c>
      <c r="I865" s="24">
        <v>0.71823203563690097</v>
      </c>
      <c r="J865" s="24">
        <v>0.149171277880668</v>
      </c>
      <c r="K865" s="23">
        <v>5.5248620919883E-3</v>
      </c>
      <c r="L865" s="23">
        <v>0</v>
      </c>
      <c r="M865" s="23">
        <v>3.8674034178257002E-2</v>
      </c>
      <c r="N865" s="23">
        <v>6.0773480683565098E-2</v>
      </c>
      <c r="O865" s="24">
        <v>0.30386739969253501</v>
      </c>
      <c r="P865" s="24">
        <v>0.12154696136713</v>
      </c>
      <c r="Q865" s="24">
        <v>0.83977901935577304</v>
      </c>
      <c r="R865" s="25">
        <v>0</v>
      </c>
      <c r="S865" s="25">
        <v>0</v>
      </c>
      <c r="T865" s="25">
        <v>0.31491712707182318</v>
      </c>
    </row>
    <row r="866" spans="1:20" x14ac:dyDescent="0.25">
      <c r="A866" s="8" t="s">
        <v>1809</v>
      </c>
      <c r="B866" s="8" t="s">
        <v>1810</v>
      </c>
      <c r="C866" s="8" t="s">
        <v>3540</v>
      </c>
      <c r="D866" s="8">
        <v>290</v>
      </c>
      <c r="E866" s="24">
        <v>0.386206895112991</v>
      </c>
      <c r="F866" s="24">
        <v>0.61379307508468595</v>
      </c>
      <c r="G866" s="23">
        <v>0</v>
      </c>
      <c r="H866" s="23">
        <v>4.8275861889123903E-2</v>
      </c>
      <c r="I866" s="24">
        <v>0.74137932062149003</v>
      </c>
      <c r="J866" s="24">
        <v>0.137931033968925</v>
      </c>
      <c r="K866" s="23">
        <v>1.7241379246115698E-2</v>
      </c>
      <c r="L866" s="23">
        <v>1.3793103396892501E-2</v>
      </c>
      <c r="M866" s="23">
        <v>3.7931036204099697E-2</v>
      </c>
      <c r="N866" s="23">
        <v>3.4482758492231E-3</v>
      </c>
      <c r="O866" s="24">
        <v>0.137931033968925</v>
      </c>
      <c r="P866" s="24">
        <v>0.21034482121467499</v>
      </c>
      <c r="Q866" s="23">
        <v>0.88275861740112305</v>
      </c>
      <c r="R866" s="25">
        <v>0</v>
      </c>
      <c r="S866" s="25">
        <v>0</v>
      </c>
      <c r="T866" s="25">
        <v>0.1206896551724138</v>
      </c>
    </row>
    <row r="867" spans="1:20" x14ac:dyDescent="0.25">
      <c r="A867" s="8" t="s">
        <v>1811</v>
      </c>
      <c r="B867" s="8" t="s">
        <v>1812</v>
      </c>
      <c r="C867" s="8" t="s">
        <v>3540</v>
      </c>
      <c r="D867" s="8">
        <v>150</v>
      </c>
      <c r="E867" s="24">
        <v>0.479999989271163</v>
      </c>
      <c r="F867" s="24">
        <v>0.51999998092651301</v>
      </c>
      <c r="G867" s="23">
        <v>0</v>
      </c>
      <c r="H867" s="23">
        <v>3.3333335071802098E-2</v>
      </c>
      <c r="I867" s="24">
        <v>0.77333331108093195</v>
      </c>
      <c r="J867" s="24">
        <v>0.133333340287208</v>
      </c>
      <c r="K867" s="23">
        <v>1.33333336561918E-2</v>
      </c>
      <c r="L867" s="23">
        <v>6.6666668280958999E-3</v>
      </c>
      <c r="M867" s="23">
        <v>3.9999999105930301E-2</v>
      </c>
      <c r="N867" s="23">
        <v>0</v>
      </c>
      <c r="O867" s="24">
        <v>0.21999999880790699</v>
      </c>
      <c r="P867" s="24">
        <v>0.106666669249534</v>
      </c>
      <c r="Q867" s="23">
        <v>0.84666669368743896</v>
      </c>
      <c r="R867" s="25">
        <v>6.6666666666666671E-3</v>
      </c>
      <c r="S867" s="25">
        <v>0</v>
      </c>
      <c r="T867" s="25">
        <v>0.24</v>
      </c>
    </row>
    <row r="868" spans="1:20" x14ac:dyDescent="0.25">
      <c r="A868" s="8" t="s">
        <v>1813</v>
      </c>
      <c r="B868" s="8" t="s">
        <v>1814</v>
      </c>
      <c r="C868" s="8" t="s">
        <v>3540</v>
      </c>
      <c r="D868" s="8">
        <v>178</v>
      </c>
      <c r="E868" s="24">
        <v>0.43820226192474299</v>
      </c>
      <c r="F868" s="24">
        <v>0.56179773807525601</v>
      </c>
      <c r="G868" s="23">
        <v>0</v>
      </c>
      <c r="H868" s="23">
        <v>1.6853932291269299E-2</v>
      </c>
      <c r="I868" s="24">
        <v>0.76966291666030795</v>
      </c>
      <c r="J868" s="23">
        <v>0.17977528274059301</v>
      </c>
      <c r="K868" s="23">
        <v>1.12359551712871E-2</v>
      </c>
      <c r="L868" s="23">
        <v>5.6179775856435004E-3</v>
      </c>
      <c r="M868" s="23">
        <v>1.6853932291269299E-2</v>
      </c>
      <c r="N868" s="23">
        <v>0</v>
      </c>
      <c r="O868" s="24">
        <v>0.23595505952835</v>
      </c>
      <c r="P868" s="24">
        <v>0.16853933036327301</v>
      </c>
      <c r="Q868" s="24">
        <v>0.86516851186752297</v>
      </c>
      <c r="R868" s="25">
        <v>0</v>
      </c>
      <c r="S868" s="25">
        <v>0.10674157303370786</v>
      </c>
      <c r="T868" s="25">
        <v>0.15168539325842698</v>
      </c>
    </row>
    <row r="869" spans="1:20" x14ac:dyDescent="0.25">
      <c r="A869" s="8" t="s">
        <v>1815</v>
      </c>
      <c r="B869" s="8" t="s">
        <v>1816</v>
      </c>
      <c r="C869" s="8" t="s">
        <v>3540</v>
      </c>
      <c r="D869" s="8">
        <v>156</v>
      </c>
      <c r="E869" s="24">
        <v>0.50641024112701405</v>
      </c>
      <c r="F869" s="24">
        <v>0.49358972907066301</v>
      </c>
      <c r="G869" s="23">
        <v>0</v>
      </c>
      <c r="H869" s="23">
        <v>1.28205129876733E-2</v>
      </c>
      <c r="I869" s="24">
        <v>0.79487180709838801</v>
      </c>
      <c r="J869" s="23">
        <v>0.14102564752101901</v>
      </c>
      <c r="K869" s="23">
        <v>6.4102564938365997E-3</v>
      </c>
      <c r="L869" s="23">
        <v>1.9230769947171201E-2</v>
      </c>
      <c r="M869" s="23">
        <v>2.56410259753466E-2</v>
      </c>
      <c r="N869" s="23">
        <v>0</v>
      </c>
      <c r="O869" s="23">
        <v>0.33974358439445501</v>
      </c>
      <c r="P869" s="23">
        <v>6.4102567732334095E-2</v>
      </c>
      <c r="Q869" s="24">
        <v>0.88461536169052102</v>
      </c>
      <c r="R869" s="25">
        <v>0.14102564102564102</v>
      </c>
      <c r="S869" s="25">
        <v>6.41025641025641E-3</v>
      </c>
      <c r="T869" s="25">
        <v>0.1858974358974359</v>
      </c>
    </row>
    <row r="870" spans="1:20" x14ac:dyDescent="0.25">
      <c r="A870" s="8" t="s">
        <v>1817</v>
      </c>
      <c r="B870" s="8" t="s">
        <v>1818</v>
      </c>
      <c r="C870" s="8" t="s">
        <v>3540</v>
      </c>
      <c r="D870" s="8">
        <v>386</v>
      </c>
      <c r="E870" s="24">
        <v>0.27720206975936801</v>
      </c>
      <c r="F870" s="24">
        <v>0.72279793024063099</v>
      </c>
      <c r="G870" s="23">
        <v>0</v>
      </c>
      <c r="H870" s="23">
        <v>1.55440410599113E-2</v>
      </c>
      <c r="I870" s="23">
        <v>0.77202069759368896</v>
      </c>
      <c r="J870" s="24">
        <v>0.121761657297611</v>
      </c>
      <c r="K870" s="23">
        <v>1.0362694039940799E-2</v>
      </c>
      <c r="L870" s="23">
        <v>1.0362694039940799E-2</v>
      </c>
      <c r="M870" s="23">
        <v>4.6632125973701498E-2</v>
      </c>
      <c r="N870" s="23">
        <v>2.33160629868507E-2</v>
      </c>
      <c r="O870" s="24">
        <v>0.25906735658645602</v>
      </c>
      <c r="P870" s="23">
        <v>7.7720209956169101E-2</v>
      </c>
      <c r="Q870" s="24">
        <v>0.79792743921279896</v>
      </c>
      <c r="R870" s="25">
        <v>2.5906735751295338E-3</v>
      </c>
      <c r="S870" s="25">
        <v>7.512953367875648E-2</v>
      </c>
      <c r="T870" s="25">
        <v>0.18134715025906736</v>
      </c>
    </row>
    <row r="871" spans="1:20" x14ac:dyDescent="0.25">
      <c r="A871" s="8" t="s">
        <v>1819</v>
      </c>
      <c r="B871" s="8" t="s">
        <v>1820</v>
      </c>
      <c r="C871" s="8" t="s">
        <v>3540</v>
      </c>
      <c r="D871" s="8">
        <v>296</v>
      </c>
      <c r="E871" s="24">
        <v>0.52702701091766302</v>
      </c>
      <c r="F871" s="23">
        <v>0.47297295928001398</v>
      </c>
      <c r="G871" s="23">
        <v>0</v>
      </c>
      <c r="H871" s="23">
        <v>1.6891891136765501E-2</v>
      </c>
      <c r="I871" s="24">
        <v>0.82094591856002797</v>
      </c>
      <c r="J871" s="24">
        <v>0.13175675272941501</v>
      </c>
      <c r="K871" s="23">
        <v>3.3783784601837002E-3</v>
      </c>
      <c r="L871" s="23">
        <v>1.3513513840735E-2</v>
      </c>
      <c r="M871" s="23">
        <v>3.3783784601837002E-3</v>
      </c>
      <c r="N871" s="23">
        <v>1.01351346820593E-2</v>
      </c>
      <c r="O871" s="24">
        <v>0.33445945382118197</v>
      </c>
      <c r="P871" s="23">
        <v>8.7837837636470795E-2</v>
      </c>
      <c r="Q871" s="24">
        <v>0.79729729890823298</v>
      </c>
      <c r="R871" s="25">
        <v>6.7567567567567571E-2</v>
      </c>
      <c r="S871" s="25">
        <v>6.7567567567567571E-3</v>
      </c>
      <c r="T871" s="25">
        <v>0.23648648648648649</v>
      </c>
    </row>
    <row r="872" spans="1:20" x14ac:dyDescent="0.25">
      <c r="A872" s="8" t="s">
        <v>1821</v>
      </c>
      <c r="B872" s="8" t="s">
        <v>1822</v>
      </c>
      <c r="C872" s="8" t="s">
        <v>3540</v>
      </c>
      <c r="D872" s="8">
        <v>382</v>
      </c>
      <c r="E872" s="24">
        <v>0.59685862064361495</v>
      </c>
      <c r="F872" s="24">
        <v>0.403141349554061</v>
      </c>
      <c r="G872" s="23">
        <v>0</v>
      </c>
      <c r="H872" s="23">
        <v>2.35602091997862E-2</v>
      </c>
      <c r="I872" s="24">
        <v>0.78534030914306596</v>
      </c>
      <c r="J872" s="23">
        <v>0.109947644174099</v>
      </c>
      <c r="K872" s="23">
        <v>7.8534027561545008E-3</v>
      </c>
      <c r="L872" s="23">
        <v>5.2356021478771999E-3</v>
      </c>
      <c r="M872" s="23">
        <v>6.0209423303604098E-2</v>
      </c>
      <c r="N872" s="23">
        <v>7.8534027561545008E-3</v>
      </c>
      <c r="O872" s="24">
        <v>0.136125653982162</v>
      </c>
      <c r="P872" s="24">
        <v>0.18324607610702501</v>
      </c>
      <c r="Q872" s="24">
        <v>0.97120416164398105</v>
      </c>
      <c r="R872" s="25">
        <v>0</v>
      </c>
      <c r="S872" s="25">
        <v>0</v>
      </c>
      <c r="T872" s="25">
        <v>0.112565445026178</v>
      </c>
    </row>
    <row r="873" spans="1:20" x14ac:dyDescent="0.25">
      <c r="A873" s="8" t="s">
        <v>1823</v>
      </c>
      <c r="B873" s="8" t="s">
        <v>1824</v>
      </c>
      <c r="C873" s="8" t="s">
        <v>3540</v>
      </c>
      <c r="D873" s="8">
        <v>182</v>
      </c>
      <c r="E873" s="24">
        <v>0.39560440182685802</v>
      </c>
      <c r="F873" s="24">
        <v>0.60439562797546298</v>
      </c>
      <c r="G873" s="23">
        <v>0</v>
      </c>
      <c r="H873" s="23">
        <v>1.09890112653375E-2</v>
      </c>
      <c r="I873" s="24">
        <v>0.85164833068847601</v>
      </c>
      <c r="J873" s="24">
        <v>0.109890110790729</v>
      </c>
      <c r="K873" s="23">
        <v>1.09890112653375E-2</v>
      </c>
      <c r="L873" s="23">
        <v>1.09890112653375E-2</v>
      </c>
      <c r="M873" s="23">
        <v>5.4945056326686998E-3</v>
      </c>
      <c r="N873" s="23">
        <v>0</v>
      </c>
      <c r="O873" s="23">
        <v>0.21978022158145899</v>
      </c>
      <c r="P873" s="23">
        <v>3.2967034727334997E-2</v>
      </c>
      <c r="Q873" s="24">
        <v>0.89560437202453602</v>
      </c>
      <c r="R873" s="25">
        <v>0</v>
      </c>
      <c r="S873" s="25">
        <v>0</v>
      </c>
      <c r="T873" s="25">
        <v>0.19230769230769232</v>
      </c>
    </row>
    <row r="874" spans="1:20" x14ac:dyDescent="0.25">
      <c r="A874" s="8" t="s">
        <v>1825</v>
      </c>
      <c r="B874" s="8" t="s">
        <v>1826</v>
      </c>
      <c r="C874" s="8" t="s">
        <v>3540</v>
      </c>
      <c r="D874" s="8">
        <v>433</v>
      </c>
      <c r="E874" s="24">
        <v>0.37413394451141302</v>
      </c>
      <c r="F874" s="24">
        <v>0.61662817001342696</v>
      </c>
      <c r="G874" s="23">
        <v>9.2378752306104001E-3</v>
      </c>
      <c r="H874" s="23">
        <v>8.7759815156459794E-2</v>
      </c>
      <c r="I874" s="24">
        <v>0.67436492443084695</v>
      </c>
      <c r="J874" s="24">
        <v>0.152424946427345</v>
      </c>
      <c r="K874" s="23">
        <v>1.1547343805432301E-2</v>
      </c>
      <c r="L874" s="23">
        <v>1.1547343805432301E-2</v>
      </c>
      <c r="M874" s="23">
        <v>5.0808314234018298E-2</v>
      </c>
      <c r="N874" s="23">
        <v>1.1547343805432301E-2</v>
      </c>
      <c r="O874" s="24">
        <v>0.17551963031291901</v>
      </c>
      <c r="P874" s="24">
        <v>0.15704387426376301</v>
      </c>
      <c r="Q874" s="24">
        <v>0.78521937131881703</v>
      </c>
      <c r="R874" s="25">
        <v>0</v>
      </c>
      <c r="S874" s="25">
        <v>3.4642032332563508E-2</v>
      </c>
      <c r="T874" s="25">
        <v>0.15935334872979215</v>
      </c>
    </row>
    <row r="875" spans="1:20" x14ac:dyDescent="0.25">
      <c r="A875" s="8" t="s">
        <v>1827</v>
      </c>
      <c r="B875" s="8" t="s">
        <v>1828</v>
      </c>
      <c r="C875" s="8" t="s">
        <v>3540</v>
      </c>
      <c r="D875" s="8">
        <v>185</v>
      </c>
      <c r="E875" s="24">
        <v>0.38378378748893699</v>
      </c>
      <c r="F875" s="24">
        <v>0.60540539026260298</v>
      </c>
      <c r="G875" s="23">
        <v>1.0810811072588E-2</v>
      </c>
      <c r="H875" s="23">
        <v>1.0810811072588E-2</v>
      </c>
      <c r="I875" s="24">
        <v>0.65945947170257502</v>
      </c>
      <c r="J875" s="24">
        <v>0.29189190268516502</v>
      </c>
      <c r="K875" s="23">
        <v>0</v>
      </c>
      <c r="L875" s="23">
        <v>1.6216216608881999E-2</v>
      </c>
      <c r="M875" s="23">
        <v>1.6216216608881999E-2</v>
      </c>
      <c r="N875" s="23">
        <v>5.4054055362939999E-3</v>
      </c>
      <c r="O875" s="23">
        <v>0.16756756603717801</v>
      </c>
      <c r="P875" s="24">
        <v>0.286486476659774</v>
      </c>
      <c r="Q875" s="24">
        <v>0.87027025222778298</v>
      </c>
      <c r="R875" s="25">
        <v>5.4054054054054057E-3</v>
      </c>
      <c r="S875" s="25">
        <v>3.783783783783784E-2</v>
      </c>
      <c r="T875" s="25">
        <v>0.14594594594594595</v>
      </c>
    </row>
    <row r="876" spans="1:20" x14ac:dyDescent="0.25">
      <c r="A876" s="8" t="s">
        <v>1829</v>
      </c>
      <c r="B876" s="8" t="s">
        <v>1830</v>
      </c>
      <c r="C876" s="8" t="s">
        <v>3540</v>
      </c>
      <c r="D876" s="8">
        <v>196</v>
      </c>
      <c r="E876" s="24">
        <v>0.45408162474632202</v>
      </c>
      <c r="F876" s="23">
        <v>0.54591834545135498</v>
      </c>
      <c r="G876" s="23">
        <v>0</v>
      </c>
      <c r="H876" s="23">
        <v>0</v>
      </c>
      <c r="I876" s="24">
        <v>0.760204076766967</v>
      </c>
      <c r="J876" s="24">
        <v>0.23469388484954801</v>
      </c>
      <c r="K876" s="23">
        <v>0</v>
      </c>
      <c r="L876" s="23">
        <v>5.1020407117902998E-3</v>
      </c>
      <c r="M876" s="23">
        <v>0</v>
      </c>
      <c r="N876" s="23">
        <v>0</v>
      </c>
      <c r="O876" s="24">
        <v>0.387755095958709</v>
      </c>
      <c r="P876" s="23">
        <v>2.5510204955935499E-2</v>
      </c>
      <c r="Q876" s="24">
        <v>0.85714286565780595</v>
      </c>
      <c r="R876" s="25">
        <v>0</v>
      </c>
      <c r="S876" s="25">
        <v>0</v>
      </c>
      <c r="T876" s="25">
        <v>0.37755102040816324</v>
      </c>
    </row>
    <row r="877" spans="1:20" x14ac:dyDescent="0.25">
      <c r="A877" s="8" t="s">
        <v>1832</v>
      </c>
      <c r="B877" s="8" t="s">
        <v>1833</v>
      </c>
      <c r="C877" s="8" t="s">
        <v>3540</v>
      </c>
      <c r="D877" s="8">
        <v>401</v>
      </c>
      <c r="E877" s="24">
        <v>0.37655860185623102</v>
      </c>
      <c r="F877" s="24">
        <v>0.62344139814376798</v>
      </c>
      <c r="G877" s="23">
        <v>0</v>
      </c>
      <c r="H877" s="23">
        <v>3.7406485527753802E-2</v>
      </c>
      <c r="I877" s="24">
        <v>0.85286784172058105</v>
      </c>
      <c r="J877" s="23">
        <v>8.4788031876087203E-2</v>
      </c>
      <c r="K877" s="23">
        <v>1.74563582986593E-2</v>
      </c>
      <c r="L877" s="23">
        <v>2.4937656708061999E-3</v>
      </c>
      <c r="M877" s="23">
        <v>4.9875313416123E-3</v>
      </c>
      <c r="N877" s="23">
        <v>0</v>
      </c>
      <c r="O877" s="24">
        <v>0.18453864753246299</v>
      </c>
      <c r="P877" s="23">
        <v>3.2418951392173802E-2</v>
      </c>
      <c r="Q877" s="24">
        <v>0.79800498485565097</v>
      </c>
      <c r="R877" s="25">
        <v>3.7406483790523692E-2</v>
      </c>
      <c r="S877" s="25">
        <v>0</v>
      </c>
      <c r="T877" s="25">
        <v>0.14214463840399003</v>
      </c>
    </row>
    <row r="878" spans="1:20" x14ac:dyDescent="0.25">
      <c r="A878" s="8" t="s">
        <v>1834</v>
      </c>
      <c r="B878" s="8" t="s">
        <v>1835</v>
      </c>
      <c r="C878" s="8" t="s">
        <v>3540</v>
      </c>
      <c r="D878" s="8">
        <v>264</v>
      </c>
      <c r="E878" s="23">
        <v>0.56060606241226196</v>
      </c>
      <c r="F878" s="23">
        <v>0.43939393758773798</v>
      </c>
      <c r="G878" s="23">
        <v>0</v>
      </c>
      <c r="H878" s="23">
        <v>7.5757578015327003E-3</v>
      </c>
      <c r="I878" s="24">
        <v>0.87878787517547596</v>
      </c>
      <c r="J878" s="23">
        <v>6.0606062412261998E-2</v>
      </c>
      <c r="K878" s="23">
        <v>1.5151515603065499E-2</v>
      </c>
      <c r="L878" s="23">
        <v>7.5757578015327003E-3</v>
      </c>
      <c r="M878" s="23">
        <v>1.5151515603065499E-2</v>
      </c>
      <c r="N878" s="23">
        <v>1.5151515603065499E-2</v>
      </c>
      <c r="O878" s="24">
        <v>0.14393939077854101</v>
      </c>
      <c r="P878" s="23">
        <v>1.8939394503831902E-2</v>
      </c>
      <c r="Q878" s="24">
        <v>0.74621212482452304</v>
      </c>
      <c r="R878" s="25">
        <v>3.4090909090909088E-2</v>
      </c>
      <c r="S878" s="25">
        <v>3.787878787878788E-3</v>
      </c>
      <c r="T878" s="25">
        <v>9.8484848484848481E-2</v>
      </c>
    </row>
    <row r="879" spans="1:20" x14ac:dyDescent="0.25">
      <c r="A879" s="8" t="s">
        <v>1836</v>
      </c>
      <c r="B879" s="8" t="s">
        <v>1837</v>
      </c>
      <c r="C879" s="8" t="s">
        <v>3540</v>
      </c>
      <c r="D879" s="8">
        <v>595</v>
      </c>
      <c r="E879" s="24">
        <v>0.51260507106780995</v>
      </c>
      <c r="F879" s="24">
        <v>0.487394958734512</v>
      </c>
      <c r="G879" s="23">
        <v>0</v>
      </c>
      <c r="H879" s="23">
        <v>4.53781522810459E-2</v>
      </c>
      <c r="I879" s="23">
        <v>6.0504201799631098E-2</v>
      </c>
      <c r="J879" s="24">
        <v>0.860504209995269</v>
      </c>
      <c r="K879" s="23">
        <v>1.680672285147E-3</v>
      </c>
      <c r="L879" s="23">
        <v>2.0168067887425398E-2</v>
      </c>
      <c r="M879" s="23">
        <v>1.1764706112444401E-2</v>
      </c>
      <c r="N879" s="23">
        <v>0</v>
      </c>
      <c r="O879" s="24">
        <v>0.20336134731769501</v>
      </c>
      <c r="P879" s="24">
        <v>0.34789916872978199</v>
      </c>
      <c r="Q879" s="24">
        <v>0.95462185144424405</v>
      </c>
      <c r="R879" s="25">
        <v>6.5546218487394961E-2</v>
      </c>
      <c r="S879" s="25">
        <v>5.0420168067226894E-3</v>
      </c>
      <c r="T879" s="25">
        <v>0.13613445378151259</v>
      </c>
    </row>
    <row r="880" spans="1:20" x14ac:dyDescent="0.25">
      <c r="A880" s="8" t="s">
        <v>1838</v>
      </c>
      <c r="B880" s="8" t="s">
        <v>1839</v>
      </c>
      <c r="C880" s="8" t="s">
        <v>3540</v>
      </c>
      <c r="D880" s="8">
        <v>339</v>
      </c>
      <c r="E880" s="24">
        <v>0.45427727699279702</v>
      </c>
      <c r="F880" s="24">
        <v>0.54572272300720204</v>
      </c>
      <c r="G880" s="23">
        <v>0</v>
      </c>
      <c r="H880" s="23">
        <v>2.3598819971084602E-2</v>
      </c>
      <c r="I880" s="24">
        <v>0.58997052907943703</v>
      </c>
      <c r="J880" s="24">
        <v>0.33333334326744002</v>
      </c>
      <c r="K880" s="23">
        <v>8.8495574891567005E-3</v>
      </c>
      <c r="L880" s="23">
        <v>2.0648967474699E-2</v>
      </c>
      <c r="M880" s="23">
        <v>2.3598819971084602E-2</v>
      </c>
      <c r="N880" s="23">
        <v>0</v>
      </c>
      <c r="O880" s="24">
        <v>0.241887912154197</v>
      </c>
      <c r="P880" s="24">
        <v>0.159292042255401</v>
      </c>
      <c r="Q880" s="24">
        <v>0.94985252618789595</v>
      </c>
      <c r="R880" s="25">
        <v>6.7846607669616518E-2</v>
      </c>
      <c r="S880" s="25">
        <v>2.359882005899705E-2</v>
      </c>
      <c r="T880" s="25">
        <v>0.16814159292035399</v>
      </c>
    </row>
    <row r="881" spans="1:20" x14ac:dyDescent="0.25">
      <c r="A881" s="8" t="s">
        <v>1840</v>
      </c>
      <c r="B881" s="8" t="s">
        <v>1841</v>
      </c>
      <c r="C881" s="8" t="s">
        <v>3540</v>
      </c>
      <c r="D881" s="8">
        <v>526</v>
      </c>
      <c r="E881" s="23">
        <v>0.463878333568573</v>
      </c>
      <c r="F881" s="23">
        <v>0.536121666431427</v>
      </c>
      <c r="G881" s="23">
        <v>0</v>
      </c>
      <c r="H881" s="23">
        <v>3.6121673882007599E-2</v>
      </c>
      <c r="I881" s="23">
        <v>8.3650186657905606E-2</v>
      </c>
      <c r="J881" s="24">
        <v>0.81939160823821999</v>
      </c>
      <c r="K881" s="23">
        <v>3.8022813387214999E-3</v>
      </c>
      <c r="L881" s="23">
        <v>3.04182507097721E-2</v>
      </c>
      <c r="M881" s="23">
        <v>2.6615969836711901E-2</v>
      </c>
      <c r="N881" s="23">
        <v>0</v>
      </c>
      <c r="O881" s="24">
        <v>0.12737642228603299</v>
      </c>
      <c r="P881" s="24">
        <v>0.231939166784286</v>
      </c>
      <c r="Q881" s="24">
        <v>0.89353615045547397</v>
      </c>
      <c r="R881" s="25">
        <v>1.9011406844106463E-2</v>
      </c>
      <c r="S881" s="25">
        <v>3.8022813688212928E-3</v>
      </c>
      <c r="T881" s="25">
        <v>9.5057034220532313E-2</v>
      </c>
    </row>
    <row r="882" spans="1:20" x14ac:dyDescent="0.25">
      <c r="A882" s="8" t="s">
        <v>1842</v>
      </c>
      <c r="B882" s="8" t="s">
        <v>1843</v>
      </c>
      <c r="C882" s="8" t="s">
        <v>3540</v>
      </c>
      <c r="D882" s="8">
        <v>451</v>
      </c>
      <c r="E882" s="24">
        <v>0.50110864639282204</v>
      </c>
      <c r="F882" s="24">
        <v>0.49889135360717701</v>
      </c>
      <c r="G882" s="23">
        <v>0</v>
      </c>
      <c r="H882" s="23">
        <v>2.2172948811202998E-3</v>
      </c>
      <c r="I882" s="23">
        <v>1.77383590489626E-2</v>
      </c>
      <c r="J882" s="24">
        <v>0.980044364929199</v>
      </c>
      <c r="K882" s="23">
        <v>0</v>
      </c>
      <c r="L882" s="23">
        <v>0</v>
      </c>
      <c r="M882" s="23">
        <v>0</v>
      </c>
      <c r="N882" s="23">
        <v>0</v>
      </c>
      <c r="O882" s="24">
        <v>0.27050998806953402</v>
      </c>
      <c r="P882" s="24">
        <v>0.48337027430534302</v>
      </c>
      <c r="Q882" s="24">
        <v>0.92904657125473</v>
      </c>
      <c r="R882" s="25">
        <v>3.1042128603104215E-2</v>
      </c>
      <c r="S882" s="25">
        <v>0</v>
      </c>
      <c r="T882" s="25">
        <v>0.23059866962305986</v>
      </c>
    </row>
    <row r="883" spans="1:20" x14ac:dyDescent="0.25">
      <c r="A883" s="8" t="s">
        <v>1844</v>
      </c>
      <c r="B883" s="8" t="s">
        <v>1845</v>
      </c>
      <c r="C883" s="8" t="s">
        <v>3540</v>
      </c>
      <c r="D883" s="8">
        <v>651</v>
      </c>
      <c r="E883" s="23">
        <v>0.54224270582199097</v>
      </c>
      <c r="F883" s="23">
        <v>0.45775729417800898</v>
      </c>
      <c r="G883" s="23">
        <v>0</v>
      </c>
      <c r="H883" s="23">
        <v>3.0721966177225099E-2</v>
      </c>
      <c r="I883" s="23">
        <v>8.9093700051307706E-2</v>
      </c>
      <c r="J883" s="24">
        <v>0.820276498794555</v>
      </c>
      <c r="K883" s="23">
        <v>9.2165898531674992E-3</v>
      </c>
      <c r="L883" s="23">
        <v>2.61136721819639E-2</v>
      </c>
      <c r="M883" s="23">
        <v>2.4577572941780101E-2</v>
      </c>
      <c r="N883" s="23">
        <v>0</v>
      </c>
      <c r="O883" s="24">
        <v>0.23809523880481701</v>
      </c>
      <c r="P883" s="24">
        <v>0.24577572941779999</v>
      </c>
      <c r="Q883" s="24">
        <v>0.89093703031539895</v>
      </c>
      <c r="R883" s="25">
        <v>1.8433179723502304E-2</v>
      </c>
      <c r="S883" s="25">
        <v>0</v>
      </c>
      <c r="T883" s="25">
        <v>0.2119815668202765</v>
      </c>
    </row>
    <row r="884" spans="1:20" x14ac:dyDescent="0.25">
      <c r="A884" s="8" t="s">
        <v>1846</v>
      </c>
      <c r="B884" s="8" t="s">
        <v>1847</v>
      </c>
      <c r="C884" s="8" t="s">
        <v>3540</v>
      </c>
      <c r="D884" s="8">
        <v>508</v>
      </c>
      <c r="E884" s="24">
        <v>0.49015748500823902</v>
      </c>
      <c r="F884" s="24">
        <v>0.50984251499176003</v>
      </c>
      <c r="G884" s="23">
        <v>0</v>
      </c>
      <c r="H884" s="23">
        <v>3.5433072596788399E-2</v>
      </c>
      <c r="I884" s="24">
        <v>0.51181101799011197</v>
      </c>
      <c r="J884" s="24">
        <v>0.41338583827018699</v>
      </c>
      <c r="K884" s="23">
        <v>1.1811023578047799E-2</v>
      </c>
      <c r="L884" s="23">
        <v>5.9055117890238996E-3</v>
      </c>
      <c r="M884" s="23">
        <v>2.1653544157743499E-2</v>
      </c>
      <c r="N884" s="23">
        <v>0</v>
      </c>
      <c r="O884" s="24">
        <v>0.214566931128501</v>
      </c>
      <c r="P884" s="23">
        <v>0.125984251499176</v>
      </c>
      <c r="Q884" s="24">
        <v>0.99606299400329501</v>
      </c>
      <c r="R884" s="25">
        <v>8.6614173228346455E-2</v>
      </c>
      <c r="S884" s="25">
        <v>0</v>
      </c>
      <c r="T884" s="25">
        <v>0.13779527559055119</v>
      </c>
    </row>
    <row r="885" spans="1:20" x14ac:dyDescent="0.25">
      <c r="A885" s="8" t="s">
        <v>1848</v>
      </c>
      <c r="B885" s="8" t="s">
        <v>1849</v>
      </c>
      <c r="C885" s="8" t="s">
        <v>3540</v>
      </c>
      <c r="D885" s="8">
        <v>330</v>
      </c>
      <c r="E885" s="24">
        <v>0.52727270126342696</v>
      </c>
      <c r="F885" s="24">
        <v>0.47272726893424899</v>
      </c>
      <c r="G885" s="23">
        <v>0</v>
      </c>
      <c r="H885" s="23">
        <v>5.1515150815248503E-2</v>
      </c>
      <c r="I885" s="24">
        <v>0.44848483800888</v>
      </c>
      <c r="J885" s="24">
        <v>0.45757576823234503</v>
      </c>
      <c r="K885" s="23">
        <v>3.0303029343486001E-3</v>
      </c>
      <c r="L885" s="23">
        <v>2.1212121471762699E-2</v>
      </c>
      <c r="M885" s="23">
        <v>1.8181817606091499E-2</v>
      </c>
      <c r="N885" s="23">
        <v>0</v>
      </c>
      <c r="O885" s="24">
        <v>0.19393938779830899</v>
      </c>
      <c r="P885" s="23">
        <v>0.14848485589027399</v>
      </c>
      <c r="Q885" s="24">
        <v>0.94848483800887995</v>
      </c>
      <c r="R885" s="25">
        <v>3.0303030303030303E-3</v>
      </c>
      <c r="S885" s="25">
        <v>9.3939393939393934E-2</v>
      </c>
      <c r="T885" s="25">
        <v>0.11515151515151516</v>
      </c>
    </row>
    <row r="886" spans="1:20" x14ac:dyDescent="0.25">
      <c r="A886" s="8" t="s">
        <v>1850</v>
      </c>
      <c r="B886" s="8" t="s">
        <v>1851</v>
      </c>
      <c r="C886" s="8" t="s">
        <v>3540</v>
      </c>
      <c r="D886" s="8">
        <v>674</v>
      </c>
      <c r="E886" s="24">
        <v>0.51928782463073697</v>
      </c>
      <c r="F886" s="24">
        <v>0.48071217536926197</v>
      </c>
      <c r="G886" s="23">
        <v>0</v>
      </c>
      <c r="H886" s="24">
        <v>0.56973296403884799</v>
      </c>
      <c r="I886" s="24">
        <v>0.16468842327594699</v>
      </c>
      <c r="J886" s="24">
        <v>0.23887240886688199</v>
      </c>
      <c r="K886" s="23">
        <v>7.4183978140354E-3</v>
      </c>
      <c r="L886" s="23">
        <v>1.63204744458199E-2</v>
      </c>
      <c r="M886" s="23">
        <v>2.9673590324819001E-3</v>
      </c>
      <c r="N886" s="23">
        <v>0</v>
      </c>
      <c r="O886" s="24">
        <v>0.15875370800495101</v>
      </c>
      <c r="P886" s="23">
        <v>0.23293767869472501</v>
      </c>
      <c r="Q886" s="23">
        <v>0.91988128423690796</v>
      </c>
      <c r="R886" s="25">
        <v>8.9020771513353119E-3</v>
      </c>
      <c r="S886" s="25">
        <v>4.4510385756676561E-2</v>
      </c>
      <c r="T886" s="25">
        <v>9.6439169139465875E-2</v>
      </c>
    </row>
    <row r="887" spans="1:20" x14ac:dyDescent="0.25">
      <c r="A887" s="8" t="s">
        <v>1852</v>
      </c>
      <c r="B887" s="8" t="s">
        <v>1853</v>
      </c>
      <c r="C887" s="8" t="s">
        <v>3540</v>
      </c>
      <c r="D887" s="8">
        <v>282</v>
      </c>
      <c r="E887" s="24">
        <v>0.48226949572563099</v>
      </c>
      <c r="F887" s="24">
        <v>0.51773047447204501</v>
      </c>
      <c r="G887" s="23">
        <v>0</v>
      </c>
      <c r="H887" s="23">
        <v>8.5106380283832606E-2</v>
      </c>
      <c r="I887" s="23">
        <v>6.0283686965703999E-2</v>
      </c>
      <c r="J887" s="24">
        <v>0.81914895772933904</v>
      </c>
      <c r="K887" s="23">
        <v>0</v>
      </c>
      <c r="L887" s="23">
        <v>2.1276595070958099E-2</v>
      </c>
      <c r="M887" s="23">
        <v>1.41843967139721E-2</v>
      </c>
      <c r="N887" s="23">
        <v>0</v>
      </c>
      <c r="O887" s="24">
        <v>0.23758865892887099</v>
      </c>
      <c r="P887" s="24">
        <v>0.27304965257644598</v>
      </c>
      <c r="Q887" s="24">
        <v>0.89716309309005704</v>
      </c>
      <c r="R887" s="25">
        <v>3.5460992907801418E-3</v>
      </c>
      <c r="S887" s="25">
        <v>0.12056737588652482</v>
      </c>
      <c r="T887" s="25">
        <v>0.12411347517730496</v>
      </c>
    </row>
    <row r="888" spans="1:20" x14ac:dyDescent="0.25">
      <c r="A888" s="8" t="s">
        <v>1854</v>
      </c>
      <c r="B888" s="8" t="s">
        <v>1855</v>
      </c>
      <c r="C888" s="8" t="s">
        <v>3540</v>
      </c>
      <c r="D888" s="8">
        <v>107</v>
      </c>
      <c r="E888" s="24">
        <v>0.49532711505889798</v>
      </c>
      <c r="F888" s="24">
        <v>0.50467288494110096</v>
      </c>
      <c r="G888" s="23">
        <v>0</v>
      </c>
      <c r="H888" s="23">
        <v>0</v>
      </c>
      <c r="I888" s="23">
        <v>0.64485979080200195</v>
      </c>
      <c r="J888" s="24">
        <v>0.20560747385024999</v>
      </c>
      <c r="K888" s="23">
        <v>1.8691588193178201E-2</v>
      </c>
      <c r="L888" s="23">
        <v>9.3457940965891006E-3</v>
      </c>
      <c r="M888" s="24">
        <v>0.121495328843593</v>
      </c>
      <c r="N888" s="23">
        <v>0</v>
      </c>
      <c r="O888" s="24">
        <v>0.22429905831813801</v>
      </c>
      <c r="P888" s="23">
        <v>7.4766352772712694E-2</v>
      </c>
      <c r="Q888" s="24">
        <v>0.93457943201064997</v>
      </c>
      <c r="R888" s="25">
        <v>2.8037383177570093E-2</v>
      </c>
      <c r="S888" s="25">
        <v>0</v>
      </c>
      <c r="T888" s="25">
        <v>0.15887850467289719</v>
      </c>
    </row>
    <row r="889" spans="1:20" x14ac:dyDescent="0.25">
      <c r="A889" s="8" t="s">
        <v>1856</v>
      </c>
      <c r="B889" s="8" t="s">
        <v>1857</v>
      </c>
      <c r="C889" s="8" t="s">
        <v>3540</v>
      </c>
      <c r="D889" s="8">
        <v>254</v>
      </c>
      <c r="E889" s="24">
        <v>0.44881889224052401</v>
      </c>
      <c r="F889" s="24">
        <v>0.55118107795715299</v>
      </c>
      <c r="G889" s="23">
        <v>0</v>
      </c>
      <c r="H889" s="23">
        <v>3.1496062874793999E-2</v>
      </c>
      <c r="I889" s="24">
        <v>0.52362203598022405</v>
      </c>
      <c r="J889" s="24">
        <v>0.42913386225700301</v>
      </c>
      <c r="K889" s="23">
        <v>3.9370078593493002E-3</v>
      </c>
      <c r="L889" s="23">
        <v>7.8740157186984999E-3</v>
      </c>
      <c r="M889" s="23">
        <v>3.9370078593493002E-3</v>
      </c>
      <c r="N889" s="23">
        <v>0</v>
      </c>
      <c r="O889" s="24">
        <v>0.25984251499175998</v>
      </c>
      <c r="P889" s="24">
        <v>0.137795269489288</v>
      </c>
      <c r="Q889" s="24">
        <v>0.93307083845138505</v>
      </c>
      <c r="R889" s="25">
        <v>0.12204724409448819</v>
      </c>
      <c r="S889" s="25">
        <v>0</v>
      </c>
      <c r="T889" s="25">
        <v>0.12204724409448819</v>
      </c>
    </row>
    <row r="890" spans="1:20" x14ac:dyDescent="0.25">
      <c r="A890" s="8" t="s">
        <v>1858</v>
      </c>
      <c r="B890" s="8" t="s">
        <v>1859</v>
      </c>
      <c r="C890" s="8" t="s">
        <v>3540</v>
      </c>
      <c r="D890" s="8">
        <v>207</v>
      </c>
      <c r="E890" s="24">
        <v>0.50241547822952204</v>
      </c>
      <c r="F890" s="24">
        <v>0.49758455157279902</v>
      </c>
      <c r="G890" s="23">
        <v>0</v>
      </c>
      <c r="H890" s="23">
        <v>0.106280192732811</v>
      </c>
      <c r="I890" s="24">
        <v>0.57487922906875599</v>
      </c>
      <c r="J890" s="24">
        <v>0.193236708641052</v>
      </c>
      <c r="K890" s="23">
        <v>4.8309178091586E-3</v>
      </c>
      <c r="L890" s="23">
        <v>1.93236712366343E-2</v>
      </c>
      <c r="M890" s="23">
        <v>9.6618354320526095E-2</v>
      </c>
      <c r="N890" s="23">
        <v>4.8309178091586E-3</v>
      </c>
      <c r="O890" s="24">
        <v>0.217391297221183</v>
      </c>
      <c r="P890" s="24">
        <v>0.16908212006091999</v>
      </c>
      <c r="Q890" s="24">
        <v>0.94685989618301303</v>
      </c>
      <c r="R890" s="25">
        <v>9.6618357487922704E-2</v>
      </c>
      <c r="S890" s="25">
        <v>3.3816425120772944E-2</v>
      </c>
      <c r="T890" s="25">
        <v>0.11594202898550725</v>
      </c>
    </row>
    <row r="891" spans="1:20" x14ac:dyDescent="0.25">
      <c r="A891" s="8" t="s">
        <v>1860</v>
      </c>
      <c r="B891" s="8" t="s">
        <v>1861</v>
      </c>
      <c r="C891" s="8" t="s">
        <v>3540</v>
      </c>
      <c r="D891" s="8">
        <v>741</v>
      </c>
      <c r="E891" s="24">
        <v>0.47098514437675398</v>
      </c>
      <c r="F891" s="24">
        <v>0.52901482582092196</v>
      </c>
      <c r="G891" s="23">
        <v>0</v>
      </c>
      <c r="H891" s="24">
        <v>0.63157892227172796</v>
      </c>
      <c r="I891" s="23">
        <v>8.3670713007450104E-2</v>
      </c>
      <c r="J891" s="24">
        <v>0.217273950576782</v>
      </c>
      <c r="K891" s="23">
        <v>5.3981104865669996E-3</v>
      </c>
      <c r="L891" s="23">
        <v>3.9136301726102801E-2</v>
      </c>
      <c r="M891" s="23">
        <v>2.2941971197724301E-2</v>
      </c>
      <c r="N891" s="23">
        <v>0</v>
      </c>
      <c r="O891" s="24">
        <v>0.16599190235137901</v>
      </c>
      <c r="P891" s="24">
        <v>0.18758434057235701</v>
      </c>
      <c r="Q891" s="24">
        <v>0.89068824052810602</v>
      </c>
      <c r="R891" s="25">
        <v>8.6369770580296892E-2</v>
      </c>
      <c r="S891" s="25">
        <v>0</v>
      </c>
      <c r="T891" s="25">
        <v>7.1524966261808362E-2</v>
      </c>
    </row>
    <row r="892" spans="1:20" x14ac:dyDescent="0.25">
      <c r="A892" s="8" t="s">
        <v>1862</v>
      </c>
      <c r="B892" s="8" t="s">
        <v>1863</v>
      </c>
      <c r="C892" s="8" t="s">
        <v>3540</v>
      </c>
      <c r="D892" s="8">
        <v>316</v>
      </c>
      <c r="E892" s="24">
        <v>0.48417720198631198</v>
      </c>
      <c r="F892" s="24">
        <v>0.51582276821136397</v>
      </c>
      <c r="G892" s="23">
        <v>0</v>
      </c>
      <c r="H892" s="24">
        <v>0.24683544039726199</v>
      </c>
      <c r="I892" s="24">
        <v>0.36708861589431702</v>
      </c>
      <c r="J892" s="24">
        <v>0.35126581788062999</v>
      </c>
      <c r="K892" s="23">
        <v>6.3291140832007001E-3</v>
      </c>
      <c r="L892" s="23">
        <v>9.4936704263091001E-3</v>
      </c>
      <c r="M892" s="23">
        <v>1.89873408526182E-2</v>
      </c>
      <c r="N892" s="23">
        <v>0</v>
      </c>
      <c r="O892" s="24">
        <v>0.21835443377494801</v>
      </c>
      <c r="P892" s="23">
        <v>0.27531644701957703</v>
      </c>
      <c r="Q892" s="24">
        <v>0.94303798675537098</v>
      </c>
      <c r="R892" s="25">
        <v>9.1772151898734181E-2</v>
      </c>
      <c r="S892" s="25">
        <v>3.1645569620253164E-3</v>
      </c>
      <c r="T892" s="25">
        <v>0.13291139240506328</v>
      </c>
    </row>
    <row r="893" spans="1:20" x14ac:dyDescent="0.25">
      <c r="A893" s="8" t="s">
        <v>1864</v>
      </c>
      <c r="B893" s="8" t="s">
        <v>1865</v>
      </c>
      <c r="C893" s="8" t="s">
        <v>3540</v>
      </c>
      <c r="D893" s="8">
        <v>274</v>
      </c>
      <c r="E893" s="24">
        <v>0.467153280973434</v>
      </c>
      <c r="F893" s="24">
        <v>0.53284668922424305</v>
      </c>
      <c r="G893" s="23">
        <v>0</v>
      </c>
      <c r="H893" s="23">
        <v>3.6496348679065697E-2</v>
      </c>
      <c r="I893" s="23">
        <v>0.56934309005737305</v>
      </c>
      <c r="J893" s="24">
        <v>0.35036495327949502</v>
      </c>
      <c r="K893" s="23">
        <v>7.2992700152099002E-3</v>
      </c>
      <c r="L893" s="23">
        <v>3.649635007605E-3</v>
      </c>
      <c r="M893" s="23">
        <v>2.9197080060839702E-2</v>
      </c>
      <c r="N893" s="23">
        <v>3.649635007605E-3</v>
      </c>
      <c r="O893" s="23">
        <v>0.26277372241020203</v>
      </c>
      <c r="P893" s="23">
        <v>0.105839416384697</v>
      </c>
      <c r="Q893" s="24">
        <v>0.95255476236343295</v>
      </c>
      <c r="R893" s="25">
        <v>2.1897810218978103E-2</v>
      </c>
      <c r="S893" s="25">
        <v>9.8540145985401464E-2</v>
      </c>
      <c r="T893" s="25">
        <v>0.13868613138686131</v>
      </c>
    </row>
    <row r="894" spans="1:20" x14ac:dyDescent="0.25">
      <c r="A894" s="8" t="s">
        <v>1866</v>
      </c>
      <c r="B894" s="8" t="s">
        <v>1867</v>
      </c>
      <c r="C894" s="8" t="s">
        <v>3540</v>
      </c>
      <c r="D894" s="8">
        <v>307</v>
      </c>
      <c r="E894" s="24">
        <v>0.50814330577850297</v>
      </c>
      <c r="F894" s="24">
        <v>0.49185666441917397</v>
      </c>
      <c r="G894" s="23">
        <v>0</v>
      </c>
      <c r="H894" s="23">
        <v>6.514657754451E-3</v>
      </c>
      <c r="I894" s="24">
        <v>0.65146577358245805</v>
      </c>
      <c r="J894" s="24">
        <v>0.32247558236122098</v>
      </c>
      <c r="K894" s="23">
        <v>3.2573288772255E-3</v>
      </c>
      <c r="L894" s="23">
        <v>3.2573288772255E-3</v>
      </c>
      <c r="M894" s="23">
        <v>1.3029315508902101E-2</v>
      </c>
      <c r="N894" s="23">
        <v>0</v>
      </c>
      <c r="O894" s="24">
        <v>0.24755699932575201</v>
      </c>
      <c r="P894" s="23">
        <v>6.1889249831438099E-2</v>
      </c>
      <c r="Q894" s="23">
        <v>0.89576548337936401</v>
      </c>
      <c r="R894" s="25">
        <v>9.1205211726384364E-2</v>
      </c>
      <c r="S894" s="25">
        <v>3.2573289902280132E-3</v>
      </c>
      <c r="T894" s="25">
        <v>0.14983713355048861</v>
      </c>
    </row>
    <row r="895" spans="1:20" x14ac:dyDescent="0.25">
      <c r="A895" s="8" t="s">
        <v>1868</v>
      </c>
      <c r="B895" s="8" t="s">
        <v>1869</v>
      </c>
      <c r="C895" s="8" t="s">
        <v>3540</v>
      </c>
      <c r="D895" s="8">
        <v>379</v>
      </c>
      <c r="E895" s="24">
        <v>0.49604222178459101</v>
      </c>
      <c r="F895" s="24">
        <v>0.50395780801773005</v>
      </c>
      <c r="G895" s="23">
        <v>0</v>
      </c>
      <c r="H895" s="23">
        <v>1.319261174649E-2</v>
      </c>
      <c r="I895" s="24">
        <v>0.145118728280067</v>
      </c>
      <c r="J895" s="24">
        <v>0.81794196367263705</v>
      </c>
      <c r="K895" s="23">
        <v>7.9155676066875007E-3</v>
      </c>
      <c r="L895" s="23">
        <v>7.9155676066875007E-3</v>
      </c>
      <c r="M895" s="23">
        <v>7.9155676066875007E-3</v>
      </c>
      <c r="N895" s="23">
        <v>0</v>
      </c>
      <c r="O895" s="23">
        <v>0.21108178794384</v>
      </c>
      <c r="P895" s="24">
        <v>0.43007916212081898</v>
      </c>
      <c r="Q895" s="24">
        <v>0.96833771467208796</v>
      </c>
      <c r="R895" s="25">
        <v>6.0686015831134567E-2</v>
      </c>
      <c r="S895" s="25">
        <v>0</v>
      </c>
      <c r="T895" s="25">
        <v>0.16094986807387862</v>
      </c>
    </row>
    <row r="896" spans="1:20" x14ac:dyDescent="0.25">
      <c r="A896" s="8" t="s">
        <v>1870</v>
      </c>
      <c r="B896" s="8" t="s">
        <v>1871</v>
      </c>
      <c r="C896" s="8" t="s">
        <v>3540</v>
      </c>
      <c r="D896" s="8">
        <v>270</v>
      </c>
      <c r="E896" s="24">
        <v>0.46666666865348799</v>
      </c>
      <c r="F896" s="24">
        <v>0.53333336114883401</v>
      </c>
      <c r="G896" s="23">
        <v>0</v>
      </c>
      <c r="H896" s="24">
        <v>0.25925925374031</v>
      </c>
      <c r="I896" s="24">
        <v>0.34074074029922402</v>
      </c>
      <c r="J896" s="24">
        <v>0.36296296119689903</v>
      </c>
      <c r="K896" s="23">
        <v>1.11111113801599E-2</v>
      </c>
      <c r="L896" s="23">
        <v>1.48148145526648E-2</v>
      </c>
      <c r="M896" s="23">
        <v>1.11111113801599E-2</v>
      </c>
      <c r="N896" s="23">
        <v>0</v>
      </c>
      <c r="O896" s="24">
        <v>0.21111111342906899</v>
      </c>
      <c r="P896" s="24">
        <v>0.233333334326744</v>
      </c>
      <c r="Q896" s="23">
        <v>0.91481482982635498</v>
      </c>
      <c r="R896" s="25">
        <v>0.12222222222222222</v>
      </c>
      <c r="S896" s="25">
        <v>7.4074074074074077E-3</v>
      </c>
      <c r="T896" s="25">
        <v>0.11851851851851852</v>
      </c>
    </row>
    <row r="897" spans="1:20" x14ac:dyDescent="0.25">
      <c r="A897" s="8" t="s">
        <v>1872</v>
      </c>
      <c r="B897" s="8" t="s">
        <v>1873</v>
      </c>
      <c r="C897" s="8" t="s">
        <v>3540</v>
      </c>
      <c r="D897" s="8">
        <v>261</v>
      </c>
      <c r="E897" s="24">
        <v>0.50574713945388705</v>
      </c>
      <c r="F897" s="24">
        <v>0.49425286054611201</v>
      </c>
      <c r="G897" s="23">
        <v>0</v>
      </c>
      <c r="H897" s="23">
        <v>3.8314175326377002E-3</v>
      </c>
      <c r="I897" s="24">
        <v>0.70498085021972601</v>
      </c>
      <c r="J897" s="24">
        <v>0.27969348430633501</v>
      </c>
      <c r="K897" s="23">
        <v>3.8314175326377002E-3</v>
      </c>
      <c r="L897" s="23">
        <v>0</v>
      </c>
      <c r="M897" s="23">
        <v>7.6628350652754003E-3</v>
      </c>
      <c r="N897" s="23">
        <v>0</v>
      </c>
      <c r="O897" s="24">
        <v>0.218390807509422</v>
      </c>
      <c r="P897" s="23">
        <v>9.9616855382919298E-2</v>
      </c>
      <c r="Q897" s="24">
        <v>0.98084288835525502</v>
      </c>
      <c r="R897" s="25">
        <v>7.662835249042145E-2</v>
      </c>
      <c r="S897" s="25">
        <v>0</v>
      </c>
      <c r="T897" s="25">
        <v>0.17241379310344829</v>
      </c>
    </row>
    <row r="898" spans="1:20" x14ac:dyDescent="0.25">
      <c r="A898" s="8" t="s">
        <v>1874</v>
      </c>
      <c r="B898" s="8" t="s">
        <v>1875</v>
      </c>
      <c r="C898" s="8" t="s">
        <v>3540</v>
      </c>
      <c r="D898" s="8">
        <v>199</v>
      </c>
      <c r="E898" s="24">
        <v>0.58793967962265004</v>
      </c>
      <c r="F898" s="24">
        <v>0.41206029057502702</v>
      </c>
      <c r="G898" s="23">
        <v>0</v>
      </c>
      <c r="H898" s="23">
        <v>1.0050251148641101E-2</v>
      </c>
      <c r="I898" s="24">
        <v>0.58291459083557096</v>
      </c>
      <c r="J898" s="24">
        <v>0.37185928225517201</v>
      </c>
      <c r="K898" s="23">
        <v>2.0100502297282202E-2</v>
      </c>
      <c r="L898" s="23">
        <v>5.0251255743205998E-3</v>
      </c>
      <c r="M898" s="23">
        <v>1.0050251148641101E-2</v>
      </c>
      <c r="N898" s="23">
        <v>0</v>
      </c>
      <c r="O898" s="24">
        <v>0.23115578293800301</v>
      </c>
      <c r="P898" s="24">
        <v>0.120603017508983</v>
      </c>
      <c r="Q898" s="24">
        <v>0.96984922885894698</v>
      </c>
      <c r="R898" s="25">
        <v>2.0100502512562814E-2</v>
      </c>
      <c r="S898" s="25">
        <v>5.0251256281407036E-3</v>
      </c>
      <c r="T898" s="25">
        <v>0.15577889447236182</v>
      </c>
    </row>
    <row r="899" spans="1:20" x14ac:dyDescent="0.25">
      <c r="A899" s="8" t="s">
        <v>1876</v>
      </c>
      <c r="B899" s="8" t="s">
        <v>1877</v>
      </c>
      <c r="C899" s="8" t="s">
        <v>3540</v>
      </c>
      <c r="D899" s="8">
        <v>272</v>
      </c>
      <c r="E899" s="24">
        <v>0.51838237047195401</v>
      </c>
      <c r="F899" s="23">
        <v>0.48161765933036799</v>
      </c>
      <c r="G899" s="23">
        <v>0</v>
      </c>
      <c r="H899" s="23">
        <v>7.3529412038624E-3</v>
      </c>
      <c r="I899" s="23">
        <v>0.4375</v>
      </c>
      <c r="J899" s="24">
        <v>0.49632352590560902</v>
      </c>
      <c r="K899" s="23">
        <v>0</v>
      </c>
      <c r="L899" s="23">
        <v>1.1029412038624301E-2</v>
      </c>
      <c r="M899" s="23">
        <v>4.7794118523597703E-2</v>
      </c>
      <c r="N899" s="23">
        <v>0</v>
      </c>
      <c r="O899" s="24">
        <v>0.14338235557079301</v>
      </c>
      <c r="P899" s="24">
        <v>0.26470589637756298</v>
      </c>
      <c r="Q899" s="24">
        <v>0.97794115543365401</v>
      </c>
      <c r="R899" s="25">
        <v>2.9411764705882353E-2</v>
      </c>
      <c r="S899" s="25">
        <v>0</v>
      </c>
      <c r="T899" s="25">
        <v>0.11029411764705882</v>
      </c>
    </row>
    <row r="900" spans="1:20" x14ac:dyDescent="0.25">
      <c r="A900" s="8" t="s">
        <v>1878</v>
      </c>
      <c r="B900" s="8" t="s">
        <v>1879</v>
      </c>
      <c r="C900" s="8" t="s">
        <v>3540</v>
      </c>
      <c r="D900" s="8">
        <v>497</v>
      </c>
      <c r="E900" s="24">
        <v>0.51911467313766402</v>
      </c>
      <c r="F900" s="24">
        <v>0.48088529706001198</v>
      </c>
      <c r="G900" s="23">
        <v>0</v>
      </c>
      <c r="H900" s="23">
        <v>9.8591551184654194E-2</v>
      </c>
      <c r="I900" s="24">
        <v>0.32595574855804399</v>
      </c>
      <c r="J900" s="24">
        <v>0.51911467313766402</v>
      </c>
      <c r="K900" s="23">
        <v>1.2072434648871399E-2</v>
      </c>
      <c r="L900" s="23">
        <v>2.8169013559818299E-2</v>
      </c>
      <c r="M900" s="23">
        <v>1.6096578910946801E-2</v>
      </c>
      <c r="N900" s="23">
        <v>0</v>
      </c>
      <c r="O900" s="23">
        <v>0.15090543031692499</v>
      </c>
      <c r="P900" s="24">
        <v>0.211267605423927</v>
      </c>
      <c r="Q900" s="24">
        <v>0.96177059412002497</v>
      </c>
      <c r="R900" s="25">
        <v>6.8410462776659964E-2</v>
      </c>
      <c r="S900" s="25">
        <v>0</v>
      </c>
      <c r="T900" s="25">
        <v>9.8591549295774641E-2</v>
      </c>
    </row>
    <row r="901" spans="1:20" x14ac:dyDescent="0.25">
      <c r="A901" s="8" t="s">
        <v>1880</v>
      </c>
      <c r="B901" s="8" t="s">
        <v>1881</v>
      </c>
      <c r="C901" s="8" t="s">
        <v>3540</v>
      </c>
      <c r="D901" s="8">
        <v>397</v>
      </c>
      <c r="E901" s="24">
        <v>0.428211599588394</v>
      </c>
      <c r="F901" s="24">
        <v>0.571788430213928</v>
      </c>
      <c r="G901" s="23">
        <v>0</v>
      </c>
      <c r="H901" s="23">
        <v>1.00755663588643E-2</v>
      </c>
      <c r="I901" s="24">
        <v>0.68010073900222701</v>
      </c>
      <c r="J901" s="23">
        <v>0.26448363065719599</v>
      </c>
      <c r="K901" s="23">
        <v>1.51133500039577E-2</v>
      </c>
      <c r="L901" s="23">
        <v>5.0377831794321997E-3</v>
      </c>
      <c r="M901" s="23">
        <v>2.5188917294144599E-2</v>
      </c>
      <c r="N901" s="23">
        <v>0</v>
      </c>
      <c r="O901" s="24">
        <v>0.34760704636573703</v>
      </c>
      <c r="P901" s="23">
        <v>3.7783376872539499E-2</v>
      </c>
      <c r="Q901" s="24">
        <v>0.891687631607055</v>
      </c>
      <c r="R901" s="25">
        <v>8.3123425692695208E-2</v>
      </c>
      <c r="S901" s="25">
        <v>0.10075566750629723</v>
      </c>
      <c r="T901" s="25">
        <v>0.17632241813602015</v>
      </c>
    </row>
    <row r="902" spans="1:20" x14ac:dyDescent="0.25">
      <c r="A902" s="8" t="s">
        <v>1882</v>
      </c>
      <c r="B902" s="8" t="s">
        <v>1883</v>
      </c>
      <c r="C902" s="8" t="s">
        <v>3540</v>
      </c>
      <c r="D902" s="8">
        <v>395</v>
      </c>
      <c r="E902" s="23">
        <v>0.55189871788024902</v>
      </c>
      <c r="F902" s="24">
        <v>0.44810125231742798</v>
      </c>
      <c r="G902" s="23">
        <v>0</v>
      </c>
      <c r="H902" s="23">
        <v>2.7848102152347599E-2</v>
      </c>
      <c r="I902" s="24">
        <v>0.62531644105911199</v>
      </c>
      <c r="J902" s="23">
        <v>0.29620254039764399</v>
      </c>
      <c r="K902" s="23">
        <v>2.5316455867140999E-3</v>
      </c>
      <c r="L902" s="23">
        <v>7.5949365273118002E-3</v>
      </c>
      <c r="M902" s="23">
        <v>2.0253164693713199E-2</v>
      </c>
      <c r="N902" s="23">
        <v>2.0253164693713199E-2</v>
      </c>
      <c r="O902" s="24">
        <v>0.27848100662231401</v>
      </c>
      <c r="P902" s="23">
        <v>3.5443037748336799E-2</v>
      </c>
      <c r="Q902" s="24">
        <v>0.87594938278198198</v>
      </c>
      <c r="R902" s="25">
        <v>2.5316455696202532E-3</v>
      </c>
      <c r="S902" s="25">
        <v>0</v>
      </c>
      <c r="T902" s="25">
        <v>0.26835443037974682</v>
      </c>
    </row>
    <row r="903" spans="1:20" x14ac:dyDescent="0.25">
      <c r="A903" s="8" t="s">
        <v>1884</v>
      </c>
      <c r="B903" s="8" t="s">
        <v>1885</v>
      </c>
      <c r="C903" s="8" t="s">
        <v>3540</v>
      </c>
      <c r="D903" s="8">
        <v>607</v>
      </c>
      <c r="E903" s="24">
        <v>0.55024713277816695</v>
      </c>
      <c r="F903" s="24">
        <v>0.449752897024154</v>
      </c>
      <c r="G903" s="23">
        <v>0</v>
      </c>
      <c r="H903" s="23">
        <v>1.8121911212801899E-2</v>
      </c>
      <c r="I903" s="24">
        <v>0.64415156841277998</v>
      </c>
      <c r="J903" s="24">
        <v>0.30807247757911599</v>
      </c>
      <c r="K903" s="23">
        <v>8.2372324541211007E-3</v>
      </c>
      <c r="L903" s="23">
        <v>3.2948928419501001E-3</v>
      </c>
      <c r="M903" s="23">
        <v>1.48270176723599E-2</v>
      </c>
      <c r="N903" s="23">
        <v>3.2948928419501001E-3</v>
      </c>
      <c r="O903" s="24">
        <v>0.22405271232128099</v>
      </c>
      <c r="P903" s="23">
        <v>3.7891268730163602E-2</v>
      </c>
      <c r="Q903" s="23">
        <v>0.90609556436538696</v>
      </c>
      <c r="R903" s="25">
        <v>0</v>
      </c>
      <c r="S903" s="25">
        <v>1.6474464579901153E-3</v>
      </c>
      <c r="T903" s="25">
        <v>0.21911037891268534</v>
      </c>
    </row>
    <row r="904" spans="1:20" x14ac:dyDescent="0.25">
      <c r="A904" s="8" t="s">
        <v>1886</v>
      </c>
      <c r="B904" s="8" t="s">
        <v>1887</v>
      </c>
      <c r="C904" s="8" t="s">
        <v>3540</v>
      </c>
      <c r="D904" s="8">
        <v>352</v>
      </c>
      <c r="E904" s="24">
        <v>0.423295468091964</v>
      </c>
      <c r="F904" s="24">
        <v>0.576704561710357</v>
      </c>
      <c r="G904" s="23">
        <v>0</v>
      </c>
      <c r="H904" s="23">
        <v>1.9886363297700899E-2</v>
      </c>
      <c r="I904" s="24">
        <v>0.673295438289642</v>
      </c>
      <c r="J904" s="24">
        <v>0.244318187236785</v>
      </c>
      <c r="K904" s="23">
        <v>1.4204545877873899E-2</v>
      </c>
      <c r="L904" s="23">
        <v>1.4204545877873899E-2</v>
      </c>
      <c r="M904" s="23">
        <v>1.7045455053448701E-2</v>
      </c>
      <c r="N904" s="23">
        <v>1.7045455053448701E-2</v>
      </c>
      <c r="O904" s="24">
        <v>0.247159093618392</v>
      </c>
      <c r="P904" s="23">
        <v>3.6931816488504403E-2</v>
      </c>
      <c r="Q904" s="24">
        <v>0.880681812763214</v>
      </c>
      <c r="R904" s="25">
        <v>5.681818181818182E-3</v>
      </c>
      <c r="S904" s="25">
        <v>8.5227272727272721E-3</v>
      </c>
      <c r="T904" s="25">
        <v>0.22443181818181818</v>
      </c>
    </row>
    <row r="905" spans="1:20" x14ac:dyDescent="0.25">
      <c r="A905" s="8" t="s">
        <v>1888</v>
      </c>
      <c r="B905" s="8" t="s">
        <v>1889</v>
      </c>
      <c r="C905" s="8" t="s">
        <v>3540</v>
      </c>
      <c r="D905" s="8">
        <v>304</v>
      </c>
      <c r="E905" s="24">
        <v>0.49013158679008401</v>
      </c>
      <c r="F905" s="24">
        <v>0.50986844301223699</v>
      </c>
      <c r="G905" s="23">
        <v>0</v>
      </c>
      <c r="H905" s="23">
        <v>1.6447369009256401E-2</v>
      </c>
      <c r="I905" s="24">
        <v>0.68421053886413497</v>
      </c>
      <c r="J905" s="24">
        <v>0.236842110753059</v>
      </c>
      <c r="K905" s="23">
        <v>9.8684206604957997E-3</v>
      </c>
      <c r="L905" s="23">
        <v>2.9605263844132399E-2</v>
      </c>
      <c r="M905" s="23">
        <v>2.3026315495371801E-2</v>
      </c>
      <c r="N905" s="23">
        <v>0</v>
      </c>
      <c r="O905" s="24">
        <v>0.32236841320991499</v>
      </c>
      <c r="P905" s="23">
        <v>1.31578948348761E-2</v>
      </c>
      <c r="Q905" s="24">
        <v>0.98355263471603305</v>
      </c>
      <c r="R905" s="25">
        <v>0.14144736842105263</v>
      </c>
      <c r="S905" s="25">
        <v>3.2894736842105261E-3</v>
      </c>
      <c r="T905" s="25">
        <v>0.1875</v>
      </c>
    </row>
    <row r="906" spans="1:20" x14ac:dyDescent="0.25">
      <c r="A906" s="8" t="s">
        <v>1890</v>
      </c>
      <c r="B906" s="8" t="s">
        <v>1891</v>
      </c>
      <c r="C906" s="8" t="s">
        <v>3540</v>
      </c>
      <c r="D906" s="8">
        <v>418</v>
      </c>
      <c r="E906" s="24">
        <v>0.34688994288444502</v>
      </c>
      <c r="F906" s="24">
        <v>0.65311002731323198</v>
      </c>
      <c r="G906" s="23">
        <v>0</v>
      </c>
      <c r="H906" s="23">
        <v>2.3923445492982899E-2</v>
      </c>
      <c r="I906" s="24">
        <v>0.53827750682830799</v>
      </c>
      <c r="J906" s="24">
        <v>0.36602869629859902</v>
      </c>
      <c r="K906" s="23">
        <v>9.5693776383995992E-3</v>
      </c>
      <c r="L906" s="23">
        <v>7.1770334616303002E-3</v>
      </c>
      <c r="M906" s="23">
        <v>1.1961722746491399E-2</v>
      </c>
      <c r="N906" s="23">
        <v>4.3062202632427202E-2</v>
      </c>
      <c r="O906" s="24">
        <v>0.291866034269332</v>
      </c>
      <c r="P906" s="24">
        <v>0.18660287559032401</v>
      </c>
      <c r="Q906" s="24">
        <v>0.89234447479248002</v>
      </c>
      <c r="R906" s="25">
        <v>0</v>
      </c>
      <c r="S906" s="25">
        <v>1.9138755980861243E-2</v>
      </c>
      <c r="T906" s="25">
        <v>0.25358851674641147</v>
      </c>
    </row>
    <row r="907" spans="1:20" x14ac:dyDescent="0.25">
      <c r="A907" s="8" t="s">
        <v>1892</v>
      </c>
      <c r="B907" s="8" t="s">
        <v>1893</v>
      </c>
      <c r="C907" s="8" t="s">
        <v>3540</v>
      </c>
      <c r="D907" s="8">
        <v>411</v>
      </c>
      <c r="E907" s="24">
        <v>0.57177615165710405</v>
      </c>
      <c r="F907" s="24">
        <v>0.42822384834289501</v>
      </c>
      <c r="G907" s="23">
        <v>0</v>
      </c>
      <c r="H907" s="23">
        <v>4.8661800101398997E-3</v>
      </c>
      <c r="I907" s="24">
        <v>0.54987835884094205</v>
      </c>
      <c r="J907" s="24">
        <v>0.39172750711441001</v>
      </c>
      <c r="K907" s="23">
        <v>0</v>
      </c>
      <c r="L907" s="23">
        <v>4.8661800101398997E-3</v>
      </c>
      <c r="M907" s="23">
        <v>1.2165450491011099E-2</v>
      </c>
      <c r="N907" s="23">
        <v>3.6496348679065697E-2</v>
      </c>
      <c r="O907" s="24">
        <v>0.25547444820403997</v>
      </c>
      <c r="P907" s="24">
        <v>0.16058394312858501</v>
      </c>
      <c r="Q907" s="24">
        <v>0.90024328231811501</v>
      </c>
      <c r="R907" s="25">
        <v>4.8661800486618006E-3</v>
      </c>
      <c r="S907" s="25">
        <v>3.1630170316301706E-2</v>
      </c>
      <c r="T907" s="25">
        <v>0.21654501216545013</v>
      </c>
    </row>
    <row r="908" spans="1:20" x14ac:dyDescent="0.25">
      <c r="A908" s="8" t="s">
        <v>1894</v>
      </c>
      <c r="B908" s="8" t="s">
        <v>1895</v>
      </c>
      <c r="C908" s="8" t="s">
        <v>3540</v>
      </c>
      <c r="D908" s="8">
        <v>207</v>
      </c>
      <c r="E908" s="24">
        <v>0.60869562625884999</v>
      </c>
      <c r="F908" s="24">
        <v>0.38647341728210399</v>
      </c>
      <c r="G908" s="23">
        <v>4.8309178091586E-3</v>
      </c>
      <c r="H908" s="23">
        <v>1.4492753893137001E-2</v>
      </c>
      <c r="I908" s="24">
        <v>0.42028984427451999</v>
      </c>
      <c r="J908" s="24">
        <v>0.51690822839736905</v>
      </c>
      <c r="K908" s="23">
        <v>0</v>
      </c>
      <c r="L908" s="23">
        <v>2.8985507786274001E-2</v>
      </c>
      <c r="M908" s="23">
        <v>1.93236712366343E-2</v>
      </c>
      <c r="N908" s="23">
        <v>0</v>
      </c>
      <c r="O908" s="24">
        <v>0.246376812458038</v>
      </c>
      <c r="P908" s="24">
        <v>0.39130434393882702</v>
      </c>
      <c r="Q908" s="24">
        <v>0.92753624916076605</v>
      </c>
      <c r="R908" s="25">
        <v>0</v>
      </c>
      <c r="S908" s="25">
        <v>4.830917874396135E-3</v>
      </c>
      <c r="T908" s="25">
        <v>0.22222222222222221</v>
      </c>
    </row>
    <row r="909" spans="1:20" x14ac:dyDescent="0.25">
      <c r="A909" s="8" t="s">
        <v>1896</v>
      </c>
      <c r="B909" s="8" t="s">
        <v>1897</v>
      </c>
      <c r="C909" s="8" t="s">
        <v>3540</v>
      </c>
      <c r="D909" s="8">
        <v>355</v>
      </c>
      <c r="E909" s="24">
        <v>0.48450705409049899</v>
      </c>
      <c r="F909" s="24">
        <v>0.51549297571182195</v>
      </c>
      <c r="G909" s="23">
        <v>0</v>
      </c>
      <c r="H909" s="23">
        <v>1.6901409253478099E-2</v>
      </c>
      <c r="I909" s="24">
        <v>0.55492955446243197</v>
      </c>
      <c r="J909" s="24">
        <v>0.385915488004684</v>
      </c>
      <c r="K909" s="23">
        <v>1.4084506779909099E-2</v>
      </c>
      <c r="L909" s="23">
        <v>1.1267605237662799E-2</v>
      </c>
      <c r="M909" s="23">
        <v>1.6901409253478099E-2</v>
      </c>
      <c r="N909" s="23">
        <v>0</v>
      </c>
      <c r="O909" s="24">
        <v>0.22816900908946899</v>
      </c>
      <c r="P909" s="24">
        <v>0.112676054239273</v>
      </c>
      <c r="Q909" s="24">
        <v>0.96619719266891402</v>
      </c>
      <c r="R909" s="25">
        <v>8.7323943661971826E-2</v>
      </c>
      <c r="S909" s="25">
        <v>2.8169014084507044E-3</v>
      </c>
      <c r="T909" s="25">
        <v>0.15774647887323945</v>
      </c>
    </row>
    <row r="910" spans="1:20" x14ac:dyDescent="0.25">
      <c r="A910" s="8" t="s">
        <v>1898</v>
      </c>
      <c r="B910" s="8" t="s">
        <v>1899</v>
      </c>
      <c r="C910" s="8" t="s">
        <v>3540</v>
      </c>
      <c r="D910" s="8">
        <v>282</v>
      </c>
      <c r="E910" s="24">
        <v>0.41843971610069203</v>
      </c>
      <c r="F910" s="24">
        <v>0.58156025409698398</v>
      </c>
      <c r="G910" s="23">
        <v>0</v>
      </c>
      <c r="H910" s="23">
        <v>0</v>
      </c>
      <c r="I910" s="23">
        <v>0</v>
      </c>
      <c r="J910" s="24">
        <v>0.92907804250717096</v>
      </c>
      <c r="K910" s="23">
        <v>0</v>
      </c>
      <c r="L910" s="23">
        <v>7.0921983569859999E-3</v>
      </c>
      <c r="M910" s="23">
        <v>0</v>
      </c>
      <c r="N910" s="23">
        <v>6.3829787075519603E-2</v>
      </c>
      <c r="O910" s="23">
        <v>3.9007093757390997E-2</v>
      </c>
      <c r="P910" s="24">
        <v>0.90070921182632402</v>
      </c>
      <c r="Q910" s="24">
        <v>0.95390069484710605</v>
      </c>
      <c r="R910" s="25">
        <v>0</v>
      </c>
      <c r="S910" s="25">
        <v>0</v>
      </c>
      <c r="T910" s="25">
        <v>3.9007092198581561E-2</v>
      </c>
    </row>
    <row r="911" spans="1:20" x14ac:dyDescent="0.25">
      <c r="A911" s="8" t="s">
        <v>1900</v>
      </c>
      <c r="B911" s="8" t="s">
        <v>1901</v>
      </c>
      <c r="C911" s="8" t="s">
        <v>3540</v>
      </c>
      <c r="D911" s="8">
        <v>787</v>
      </c>
      <c r="E911" s="24">
        <v>0.16518424451351099</v>
      </c>
      <c r="F911" s="24">
        <v>0.83481574058532704</v>
      </c>
      <c r="G911" s="23">
        <v>0</v>
      </c>
      <c r="H911" s="24">
        <v>0.111817024648189</v>
      </c>
      <c r="I911" s="24">
        <v>0.47649300098419101</v>
      </c>
      <c r="J911" s="24">
        <v>0.29733163118362399</v>
      </c>
      <c r="K911" s="23">
        <v>1.01651838049293E-2</v>
      </c>
      <c r="L911" s="23">
        <v>2.5412959977984401E-2</v>
      </c>
      <c r="M911" s="23">
        <v>1.6518425196409201E-2</v>
      </c>
      <c r="N911" s="23">
        <v>6.2261752784252201E-2</v>
      </c>
      <c r="O911" s="24">
        <v>0.28335452079772899</v>
      </c>
      <c r="P911" s="23">
        <v>9.5298603177070604E-2</v>
      </c>
      <c r="Q911" s="24">
        <v>0.81321471929550104</v>
      </c>
      <c r="R911" s="25">
        <v>0</v>
      </c>
      <c r="S911" s="25">
        <v>1.2706480304955528E-3</v>
      </c>
      <c r="T911" s="25">
        <v>0.27573062261753495</v>
      </c>
    </row>
    <row r="912" spans="1:20" x14ac:dyDescent="0.25">
      <c r="A912" s="8" t="s">
        <v>1902</v>
      </c>
      <c r="B912" s="8" t="s">
        <v>1903</v>
      </c>
      <c r="C912" s="8" t="s">
        <v>3540</v>
      </c>
      <c r="D912" s="8">
        <v>390</v>
      </c>
      <c r="E912" s="24">
        <v>0.19743590056896199</v>
      </c>
      <c r="F912" s="24">
        <v>0.80256408452987604</v>
      </c>
      <c r="G912" s="23">
        <v>0</v>
      </c>
      <c r="H912" s="23">
        <v>8.4615387022495298E-2</v>
      </c>
      <c r="I912" s="24">
        <v>0.28461539745330799</v>
      </c>
      <c r="J912" s="24">
        <v>0.579487204551696</v>
      </c>
      <c r="K912" s="23">
        <v>5.1282052882016E-3</v>
      </c>
      <c r="L912" s="23">
        <v>7.6923076994717E-3</v>
      </c>
      <c r="M912" s="23">
        <v>3.8461539894342402E-2</v>
      </c>
      <c r="N912" s="23">
        <v>0</v>
      </c>
      <c r="O912" s="24">
        <v>0.22564102709293299</v>
      </c>
      <c r="P912" s="24">
        <v>0.12307692319154701</v>
      </c>
      <c r="Q912" s="23">
        <v>0.80000001192092896</v>
      </c>
      <c r="R912" s="25">
        <v>0</v>
      </c>
      <c r="S912" s="25">
        <v>2.5641025641025641E-3</v>
      </c>
      <c r="T912" s="25">
        <v>0.21282051282051281</v>
      </c>
    </row>
    <row r="913" spans="1:20" x14ac:dyDescent="0.25">
      <c r="A913" s="8" t="s">
        <v>1904</v>
      </c>
      <c r="B913" s="8" t="s">
        <v>1905</v>
      </c>
      <c r="C913" s="8" t="s">
        <v>3540</v>
      </c>
      <c r="D913" s="8">
        <v>455</v>
      </c>
      <c r="E913" s="24">
        <v>0.369230777025222</v>
      </c>
      <c r="F913" s="24">
        <v>0.63076925277709905</v>
      </c>
      <c r="G913" s="23">
        <v>0</v>
      </c>
      <c r="H913" s="23">
        <v>9.0109892189502702E-2</v>
      </c>
      <c r="I913" s="24">
        <v>0.202197805047035</v>
      </c>
      <c r="J913" s="24">
        <v>0.670329689979553</v>
      </c>
      <c r="K913" s="23">
        <v>0</v>
      </c>
      <c r="L913" s="23">
        <v>1.7582418397069002E-2</v>
      </c>
      <c r="M913" s="23">
        <v>1.53846153989434E-2</v>
      </c>
      <c r="N913" s="23">
        <v>4.3956045992672001E-3</v>
      </c>
      <c r="O913" s="23">
        <v>0.224175825715065</v>
      </c>
      <c r="P913" s="24">
        <v>0.13186813890933899</v>
      </c>
      <c r="Q913" s="24">
        <v>0.84835165739059404</v>
      </c>
      <c r="R913" s="25">
        <v>2.1978021978021978E-3</v>
      </c>
      <c r="S913" s="25">
        <v>6.5934065934065934E-3</v>
      </c>
      <c r="T913" s="25">
        <v>0.18681318681318682</v>
      </c>
    </row>
    <row r="914" spans="1:20" x14ac:dyDescent="0.25">
      <c r="A914" s="8" t="s">
        <v>1906</v>
      </c>
      <c r="B914" s="8" t="s">
        <v>1907</v>
      </c>
      <c r="C914" s="8" t="s">
        <v>3540</v>
      </c>
      <c r="D914" s="8">
        <v>167</v>
      </c>
      <c r="E914" s="23">
        <v>0.45508980751037598</v>
      </c>
      <c r="F914" s="23">
        <v>0.54491019248962402</v>
      </c>
      <c r="G914" s="23">
        <v>0</v>
      </c>
      <c r="H914" s="23">
        <v>1.79640725255013E-2</v>
      </c>
      <c r="I914" s="24">
        <v>0.67065870761871305</v>
      </c>
      <c r="J914" s="24">
        <v>0.26347306370735102</v>
      </c>
      <c r="K914" s="23">
        <v>5.9880241751671002E-3</v>
      </c>
      <c r="L914" s="23">
        <v>2.9940119013190301E-2</v>
      </c>
      <c r="M914" s="23">
        <v>1.19760483503342E-2</v>
      </c>
      <c r="N914" s="23">
        <v>0</v>
      </c>
      <c r="O914" s="23">
        <v>0.28742516040802002</v>
      </c>
      <c r="P914" s="24">
        <v>0.137724548578262</v>
      </c>
      <c r="Q914" s="24">
        <v>0.952095806598663</v>
      </c>
      <c r="R914" s="25">
        <v>0</v>
      </c>
      <c r="S914" s="25">
        <v>0</v>
      </c>
      <c r="T914" s="25">
        <v>0.29341317365269459</v>
      </c>
    </row>
    <row r="915" spans="1:20" x14ac:dyDescent="0.25">
      <c r="A915" s="8" t="s">
        <v>1908</v>
      </c>
      <c r="B915" s="8" t="s">
        <v>1909</v>
      </c>
      <c r="C915" s="8" t="s">
        <v>3540</v>
      </c>
      <c r="D915" s="8">
        <v>410</v>
      </c>
      <c r="E915" s="23">
        <v>0.50243902206420898</v>
      </c>
      <c r="F915" s="23">
        <v>0.49756097793579102</v>
      </c>
      <c r="G915" s="23">
        <v>0</v>
      </c>
      <c r="H915" s="23">
        <v>5.36585375666618E-2</v>
      </c>
      <c r="I915" s="24">
        <v>0.11707317084074</v>
      </c>
      <c r="J915" s="23">
        <v>0.80000001192092896</v>
      </c>
      <c r="K915" s="23">
        <v>2.4390243925154001E-3</v>
      </c>
      <c r="L915" s="23">
        <v>9.7560975700616993E-3</v>
      </c>
      <c r="M915" s="23">
        <v>1.21951214969158E-2</v>
      </c>
      <c r="N915" s="23">
        <v>4.8780487850308002E-3</v>
      </c>
      <c r="O915" s="24">
        <v>0.15609756112098599</v>
      </c>
      <c r="P915" s="24">
        <v>0.24878048896789501</v>
      </c>
      <c r="Q915" s="24">
        <v>0.89756095409393299</v>
      </c>
      <c r="R915" s="25">
        <v>0</v>
      </c>
      <c r="S915" s="25">
        <v>2.4390243902439024E-3</v>
      </c>
      <c r="T915" s="25">
        <v>0.13414634146341464</v>
      </c>
    </row>
    <row r="916" spans="1:20" x14ac:dyDescent="0.25">
      <c r="A916" s="8" t="s">
        <v>1910</v>
      </c>
      <c r="B916" s="8" t="s">
        <v>1911</v>
      </c>
      <c r="C916" s="8" t="s">
        <v>3540</v>
      </c>
      <c r="D916" s="8">
        <v>555</v>
      </c>
      <c r="E916" s="23">
        <v>0.73153156042098999</v>
      </c>
      <c r="F916" s="24">
        <v>0.26846846938133201</v>
      </c>
      <c r="G916" s="23">
        <v>0</v>
      </c>
      <c r="H916" s="23">
        <v>1.6216216608881999E-2</v>
      </c>
      <c r="I916" s="24">
        <v>0.549549520015716</v>
      </c>
      <c r="J916" s="24">
        <v>0.35675674676895103</v>
      </c>
      <c r="K916" s="23">
        <v>3.6036036908626999E-3</v>
      </c>
      <c r="L916" s="23">
        <v>9.0090092271565992E-3</v>
      </c>
      <c r="M916" s="23">
        <v>2.88288295269012E-2</v>
      </c>
      <c r="N916" s="23">
        <v>3.6036036908626598E-2</v>
      </c>
      <c r="O916" s="24">
        <v>0.286486476659774</v>
      </c>
      <c r="P916" s="24">
        <v>0.12432432174682601</v>
      </c>
      <c r="Q916" s="24">
        <v>0.91531533002853305</v>
      </c>
      <c r="R916" s="25">
        <v>1.8018018018018018E-3</v>
      </c>
      <c r="S916" s="25">
        <v>3.6036036036036037E-3</v>
      </c>
      <c r="T916" s="25">
        <v>0.24864864864864866</v>
      </c>
    </row>
    <row r="917" spans="1:20" x14ac:dyDescent="0.25">
      <c r="A917" s="8" t="s">
        <v>1912</v>
      </c>
      <c r="B917" s="8" t="s">
        <v>1913</v>
      </c>
      <c r="C917" s="8" t="s">
        <v>3540</v>
      </c>
      <c r="D917" s="8">
        <v>436</v>
      </c>
      <c r="E917" s="24">
        <v>0.52752292156219405</v>
      </c>
      <c r="F917" s="24">
        <v>0.47247707843780501</v>
      </c>
      <c r="G917" s="23">
        <v>0</v>
      </c>
      <c r="H917" s="23">
        <v>4.5871559530496597E-2</v>
      </c>
      <c r="I917" s="24">
        <v>0.20871560275554599</v>
      </c>
      <c r="J917" s="24">
        <v>0.68348622322082497</v>
      </c>
      <c r="K917" s="23">
        <v>6.8807341158390002E-3</v>
      </c>
      <c r="L917" s="23">
        <v>3.89908254146576E-2</v>
      </c>
      <c r="M917" s="23">
        <v>1.6055045649409301E-2</v>
      </c>
      <c r="N917" s="23">
        <v>0</v>
      </c>
      <c r="O917" s="24">
        <v>0.25458714365959101</v>
      </c>
      <c r="P917" s="24">
        <v>0.21100917458534199</v>
      </c>
      <c r="Q917" s="24">
        <v>0.99311923980712802</v>
      </c>
      <c r="R917" s="25">
        <v>8.2568807339449546E-2</v>
      </c>
      <c r="S917" s="25">
        <v>0</v>
      </c>
      <c r="T917" s="25">
        <v>0.17660550458715596</v>
      </c>
    </row>
    <row r="918" spans="1:20" x14ac:dyDescent="0.25">
      <c r="A918" s="8" t="s">
        <v>1914</v>
      </c>
      <c r="B918" s="8" t="s">
        <v>1915</v>
      </c>
      <c r="C918" s="8" t="s">
        <v>3540</v>
      </c>
      <c r="D918" s="8">
        <v>456</v>
      </c>
      <c r="E918" s="24">
        <v>0.473684221506118</v>
      </c>
      <c r="F918" s="24">
        <v>0.52631580829620295</v>
      </c>
      <c r="G918" s="23">
        <v>0</v>
      </c>
      <c r="H918" s="23">
        <v>5.4824560880660997E-2</v>
      </c>
      <c r="I918" s="24">
        <v>0.24122807383537201</v>
      </c>
      <c r="J918" s="24">
        <v>0.65789473056793202</v>
      </c>
      <c r="K918" s="23">
        <v>1.31578948348761E-2</v>
      </c>
      <c r="L918" s="23">
        <v>1.53508773073554E-2</v>
      </c>
      <c r="M918" s="23">
        <v>1.7543859779834699E-2</v>
      </c>
      <c r="N918" s="23">
        <v>0</v>
      </c>
      <c r="O918" s="24">
        <v>0.223684206604957</v>
      </c>
      <c r="P918" s="24">
        <v>0.23245614767074499</v>
      </c>
      <c r="Q918" s="24">
        <v>0.96271932125091497</v>
      </c>
      <c r="R918" s="25">
        <v>0</v>
      </c>
      <c r="S918" s="25">
        <v>0</v>
      </c>
      <c r="T918" s="25">
        <v>0.22368421052631579</v>
      </c>
    </row>
    <row r="919" spans="1:20" x14ac:dyDescent="0.25">
      <c r="A919" s="8" t="s">
        <v>1916</v>
      </c>
      <c r="B919" s="8" t="s">
        <v>1917</v>
      </c>
      <c r="C919" s="8" t="s">
        <v>3540</v>
      </c>
      <c r="D919" s="8">
        <v>116</v>
      </c>
      <c r="E919" s="24">
        <v>0.44827586412429798</v>
      </c>
      <c r="F919" s="24">
        <v>0.55172413587570102</v>
      </c>
      <c r="G919" s="23">
        <v>0</v>
      </c>
      <c r="H919" s="23">
        <v>8.6206896230578006E-3</v>
      </c>
      <c r="I919" s="24">
        <v>0.56034481525421098</v>
      </c>
      <c r="J919" s="24">
        <v>0.387931048870086</v>
      </c>
      <c r="K919" s="23">
        <v>0</v>
      </c>
      <c r="L919" s="23">
        <v>8.6206896230578006E-3</v>
      </c>
      <c r="M919" s="23">
        <v>3.4482758492231397E-2</v>
      </c>
      <c r="N919" s="23">
        <v>0</v>
      </c>
      <c r="O919" s="24">
        <v>0.30172413587570102</v>
      </c>
      <c r="P919" s="24">
        <v>0.112068966031074</v>
      </c>
      <c r="Q919" s="24">
        <v>0.93965518474578802</v>
      </c>
      <c r="R919" s="25">
        <v>0.10344827586206896</v>
      </c>
      <c r="S919" s="25">
        <v>0</v>
      </c>
      <c r="T919" s="25">
        <v>0.21551724137931033</v>
      </c>
    </row>
    <row r="920" spans="1:20" x14ac:dyDescent="0.25">
      <c r="A920" s="8" t="s">
        <v>1918</v>
      </c>
      <c r="B920" s="8" t="s">
        <v>1919</v>
      </c>
      <c r="C920" s="8" t="s">
        <v>3540</v>
      </c>
      <c r="D920" s="8">
        <v>351</v>
      </c>
      <c r="E920" s="23">
        <v>0.47008547186851501</v>
      </c>
      <c r="F920" s="24">
        <v>0.52991455793380704</v>
      </c>
      <c r="G920" s="23">
        <v>0</v>
      </c>
      <c r="H920" s="23">
        <v>8.26210826635361E-2</v>
      </c>
      <c r="I920" s="24">
        <v>0.35897436738014199</v>
      </c>
      <c r="J920" s="24">
        <v>0.51282054185867298</v>
      </c>
      <c r="K920" s="23">
        <v>2.2792022675275799E-2</v>
      </c>
      <c r="L920" s="23">
        <v>1.7094017937779399E-2</v>
      </c>
      <c r="M920" s="23">
        <v>5.6980056688190001E-3</v>
      </c>
      <c r="N920" s="23">
        <v>0</v>
      </c>
      <c r="O920" s="24">
        <v>0.20512820780277199</v>
      </c>
      <c r="P920" s="24">
        <v>0.207977205514907</v>
      </c>
      <c r="Q920" s="24">
        <v>0.93732196092605502</v>
      </c>
      <c r="R920" s="25">
        <v>5.9829059829059832E-2</v>
      </c>
      <c r="S920" s="25">
        <v>2.8490028490028491E-3</v>
      </c>
      <c r="T920" s="25">
        <v>0.12535612535612536</v>
      </c>
    </row>
    <row r="921" spans="1:20" x14ac:dyDescent="0.25">
      <c r="A921" s="8" t="s">
        <v>1920</v>
      </c>
      <c r="B921" s="8" t="s">
        <v>1921</v>
      </c>
      <c r="C921" s="8" t="s">
        <v>3540</v>
      </c>
      <c r="D921" s="8">
        <v>236</v>
      </c>
      <c r="E921" s="24">
        <v>0.52542370557785001</v>
      </c>
      <c r="F921" s="24">
        <v>0.47457626461982699</v>
      </c>
      <c r="G921" s="23">
        <v>0</v>
      </c>
      <c r="H921" s="23">
        <v>4.6610169112682301E-2</v>
      </c>
      <c r="I921" s="24">
        <v>0.43644067645072898</v>
      </c>
      <c r="J921" s="24">
        <v>0.47881355881690901</v>
      </c>
      <c r="K921" s="23">
        <v>0</v>
      </c>
      <c r="L921" s="23">
        <v>2.5423727929592101E-2</v>
      </c>
      <c r="M921" s="23">
        <v>1.2711863964796099E-2</v>
      </c>
      <c r="N921" s="23">
        <v>0</v>
      </c>
      <c r="O921" s="24">
        <v>0.233050853013992</v>
      </c>
      <c r="P921" s="23">
        <v>0.18220339715480799</v>
      </c>
      <c r="Q921" s="24">
        <v>0.97033900022506703</v>
      </c>
      <c r="R921" s="25">
        <v>0</v>
      </c>
      <c r="S921" s="25">
        <v>3.8135593220338986E-2</v>
      </c>
      <c r="T921" s="25">
        <v>0.20338983050847459</v>
      </c>
    </row>
    <row r="922" spans="1:20" x14ac:dyDescent="0.25">
      <c r="A922" s="8" t="s">
        <v>1922</v>
      </c>
      <c r="B922" s="8" t="s">
        <v>1923</v>
      </c>
      <c r="C922" s="8" t="s">
        <v>3540</v>
      </c>
      <c r="D922" s="8">
        <v>356</v>
      </c>
      <c r="E922" s="24">
        <v>0.46910113096237099</v>
      </c>
      <c r="F922" s="24">
        <v>0.53089886903762795</v>
      </c>
      <c r="G922" s="23">
        <v>0</v>
      </c>
      <c r="H922" s="24">
        <v>0.15449437499046301</v>
      </c>
      <c r="I922" s="24">
        <v>0.35674157738685602</v>
      </c>
      <c r="J922" s="24">
        <v>0.35674157738685602</v>
      </c>
      <c r="K922" s="23">
        <v>1.12359551712871E-2</v>
      </c>
      <c r="L922" s="23">
        <v>2.2471910342574099E-2</v>
      </c>
      <c r="M922" s="23">
        <v>4.7752808779478101E-2</v>
      </c>
      <c r="N922" s="23">
        <v>5.05617968738079E-2</v>
      </c>
      <c r="O922" s="24">
        <v>0.28089886903762801</v>
      </c>
      <c r="P922" s="24">
        <v>0.33988764882087702</v>
      </c>
      <c r="Q922" s="23">
        <v>0.91573035717010498</v>
      </c>
      <c r="R922" s="25">
        <v>0</v>
      </c>
      <c r="S922" s="25">
        <v>0</v>
      </c>
      <c r="T922" s="25">
        <v>0.2556179775280899</v>
      </c>
    </row>
    <row r="923" spans="1:20" x14ac:dyDescent="0.25">
      <c r="A923" s="8" t="s">
        <v>1924</v>
      </c>
      <c r="B923" s="8" t="s">
        <v>1925</v>
      </c>
      <c r="C923" s="8" t="s">
        <v>3540</v>
      </c>
      <c r="D923" s="8">
        <v>219</v>
      </c>
      <c r="E923" s="24">
        <v>0.49315068125724698</v>
      </c>
      <c r="F923" s="24">
        <v>0.50684928894042902</v>
      </c>
      <c r="G923" s="23">
        <v>0</v>
      </c>
      <c r="H923" s="23">
        <v>3.6529678851366001E-2</v>
      </c>
      <c r="I923" s="23">
        <v>7.30593577027321E-2</v>
      </c>
      <c r="J923" s="24">
        <v>0.84018266201019198</v>
      </c>
      <c r="K923" s="23">
        <v>4.5662098564207996E-3</v>
      </c>
      <c r="L923" s="23">
        <v>2.73972600698471E-2</v>
      </c>
      <c r="M923" s="23">
        <v>1.8264839425683001E-2</v>
      </c>
      <c r="N923" s="23">
        <v>0</v>
      </c>
      <c r="O923" s="24">
        <v>0.173515975475311</v>
      </c>
      <c r="P923" s="23">
        <v>0.155251145362854</v>
      </c>
      <c r="Q923" s="23">
        <v>0.93150687217712402</v>
      </c>
      <c r="R923" s="25">
        <v>4.5662100456621002E-3</v>
      </c>
      <c r="S923" s="25">
        <v>3.6529680365296802E-2</v>
      </c>
      <c r="T923" s="25">
        <v>0.13242009132420091</v>
      </c>
    </row>
    <row r="924" spans="1:20" x14ac:dyDescent="0.25">
      <c r="A924" s="8" t="s">
        <v>1926</v>
      </c>
      <c r="B924" s="8" t="s">
        <v>1927</v>
      </c>
      <c r="C924" s="8" t="s">
        <v>3540</v>
      </c>
      <c r="D924" s="8">
        <v>375</v>
      </c>
      <c r="E924" s="24">
        <v>0.67733335494995095</v>
      </c>
      <c r="F924" s="24">
        <v>0.32266667485237099</v>
      </c>
      <c r="G924" s="23">
        <v>0</v>
      </c>
      <c r="H924" s="23">
        <v>7.7333331108093303E-2</v>
      </c>
      <c r="I924" s="24">
        <v>0.23199999332427901</v>
      </c>
      <c r="J924" s="24">
        <v>0.615999996662139</v>
      </c>
      <c r="K924" s="23">
        <v>5.3333332762121998E-3</v>
      </c>
      <c r="L924" s="23">
        <v>2.4000000208616298E-2</v>
      </c>
      <c r="M924" s="23">
        <v>2.4000000208616298E-2</v>
      </c>
      <c r="N924" s="23">
        <v>2.13333331048489E-2</v>
      </c>
      <c r="O924" s="24">
        <v>0.14133332669734899</v>
      </c>
      <c r="P924" s="24">
        <v>0.21066667139530099</v>
      </c>
      <c r="Q924" s="24">
        <v>0.81066668033599798</v>
      </c>
      <c r="R924" s="25">
        <v>0</v>
      </c>
      <c r="S924" s="25">
        <v>0</v>
      </c>
      <c r="T924" s="25">
        <v>0.152</v>
      </c>
    </row>
    <row r="925" spans="1:20" x14ac:dyDescent="0.25">
      <c r="A925" s="8" t="s">
        <v>1928</v>
      </c>
      <c r="B925" s="8" t="s">
        <v>1929</v>
      </c>
      <c r="C925" s="8" t="s">
        <v>3540</v>
      </c>
      <c r="D925" s="8">
        <v>163</v>
      </c>
      <c r="E925" s="23">
        <v>0.453987717628479</v>
      </c>
      <c r="F925" s="23">
        <v>0.546012282371521</v>
      </c>
      <c r="G925" s="23">
        <v>0</v>
      </c>
      <c r="H925" s="23">
        <v>4.2944785207510001E-2</v>
      </c>
      <c r="I925" s="24">
        <v>0.65644168853759699</v>
      </c>
      <c r="J925" s="24">
        <v>0.25153374671936002</v>
      </c>
      <c r="K925" s="23">
        <v>6.1349691823124998E-3</v>
      </c>
      <c r="L925" s="23">
        <v>1.2269938364625E-2</v>
      </c>
      <c r="M925" s="23">
        <v>3.0674846842885E-2</v>
      </c>
      <c r="N925" s="23">
        <v>0</v>
      </c>
      <c r="O925" s="24">
        <v>0.319018393754959</v>
      </c>
      <c r="P925" s="23">
        <v>6.7484661936759893E-2</v>
      </c>
      <c r="Q925" s="24">
        <v>0.963190197944641</v>
      </c>
      <c r="R925" s="25">
        <v>0</v>
      </c>
      <c r="S925" s="25">
        <v>9.202453987730061E-2</v>
      </c>
      <c r="T925" s="25">
        <v>0.25153374233128833</v>
      </c>
    </row>
    <row r="926" spans="1:20" x14ac:dyDescent="0.25">
      <c r="A926" s="8" t="s">
        <v>1930</v>
      </c>
      <c r="B926" s="8" t="s">
        <v>1931</v>
      </c>
      <c r="C926" s="8" t="s">
        <v>3540</v>
      </c>
      <c r="D926" s="8">
        <v>305</v>
      </c>
      <c r="E926" s="24">
        <v>0.50491803884506203</v>
      </c>
      <c r="F926" s="24">
        <v>0.49508196115493702</v>
      </c>
      <c r="G926" s="23">
        <v>0</v>
      </c>
      <c r="H926" s="23">
        <v>5.2459016442298903E-2</v>
      </c>
      <c r="I926" s="24">
        <v>0.14426229894161199</v>
      </c>
      <c r="J926" s="24">
        <v>0.78688526153564398</v>
      </c>
      <c r="K926" s="23">
        <v>3.2786885276437001E-3</v>
      </c>
      <c r="L926" s="23">
        <v>9.8360655829310001E-3</v>
      </c>
      <c r="M926" s="23">
        <v>3.2786885276437001E-3</v>
      </c>
      <c r="N926" s="23">
        <v>0</v>
      </c>
      <c r="O926" s="24">
        <v>0.229508191347122</v>
      </c>
      <c r="P926" s="24">
        <v>0.13114753365516599</v>
      </c>
      <c r="Q926" s="24">
        <v>0.87540984153747503</v>
      </c>
      <c r="R926" s="25">
        <v>6.5573770491803282E-2</v>
      </c>
      <c r="S926" s="25">
        <v>0</v>
      </c>
      <c r="T926" s="25">
        <v>0.16721311475409836</v>
      </c>
    </row>
    <row r="927" spans="1:20" x14ac:dyDescent="0.25">
      <c r="A927" s="8" t="s">
        <v>1932</v>
      </c>
      <c r="B927" s="8" t="s">
        <v>1933</v>
      </c>
      <c r="C927" s="8" t="s">
        <v>3540</v>
      </c>
      <c r="D927" s="8">
        <v>243</v>
      </c>
      <c r="E927" s="24">
        <v>0.47325101494789101</v>
      </c>
      <c r="F927" s="24">
        <v>0.52674895524978604</v>
      </c>
      <c r="G927" s="23">
        <v>0</v>
      </c>
      <c r="H927" s="23">
        <v>5.7613167911768001E-2</v>
      </c>
      <c r="I927" s="24">
        <v>0.14814814925193701</v>
      </c>
      <c r="J927" s="24">
        <v>0.76131689548492398</v>
      </c>
      <c r="K927" s="23">
        <v>0</v>
      </c>
      <c r="L927" s="23">
        <v>1.64609048515558E-2</v>
      </c>
      <c r="M927" s="23">
        <v>1.64609048515558E-2</v>
      </c>
      <c r="N927" s="23">
        <v>0</v>
      </c>
      <c r="O927" s="24">
        <v>0.22633744776248901</v>
      </c>
      <c r="P927" s="24">
        <v>0.16872428357601099</v>
      </c>
      <c r="Q927" s="24">
        <v>0.91358023881912198</v>
      </c>
      <c r="R927" s="25">
        <v>7.407407407407407E-2</v>
      </c>
      <c r="S927" s="25">
        <v>0</v>
      </c>
      <c r="T927" s="25">
        <v>0.1440329218106996</v>
      </c>
    </row>
    <row r="928" spans="1:20" x14ac:dyDescent="0.25">
      <c r="A928" s="8" t="s">
        <v>1934</v>
      </c>
      <c r="B928" s="8" t="s">
        <v>1935</v>
      </c>
      <c r="C928" s="8" t="s">
        <v>3540</v>
      </c>
      <c r="D928" s="8">
        <v>136</v>
      </c>
      <c r="E928" s="24">
        <v>0.47058823704719499</v>
      </c>
      <c r="F928" s="23">
        <v>0.52941179275512695</v>
      </c>
      <c r="G928" s="23">
        <v>0</v>
      </c>
      <c r="H928" s="23">
        <v>2.9411764815449701E-2</v>
      </c>
      <c r="I928" s="24">
        <v>0.53676468133926303</v>
      </c>
      <c r="J928" s="24">
        <v>0.33823528885841297</v>
      </c>
      <c r="K928" s="23">
        <v>7.3529412038624E-3</v>
      </c>
      <c r="L928" s="23">
        <v>2.2058824077248601E-2</v>
      </c>
      <c r="M928" s="23">
        <v>4.4117648154497098E-2</v>
      </c>
      <c r="N928" s="23">
        <v>2.2058824077248601E-2</v>
      </c>
      <c r="O928" s="24">
        <v>0.36764705181121798</v>
      </c>
      <c r="P928" s="23">
        <v>0.14705882966518399</v>
      </c>
      <c r="Q928" s="24">
        <v>0.91911762952804499</v>
      </c>
      <c r="R928" s="25">
        <v>0</v>
      </c>
      <c r="S928" s="25">
        <v>6.6176470588235295E-2</v>
      </c>
      <c r="T928" s="25">
        <v>0.29411764705882354</v>
      </c>
    </row>
    <row r="929" spans="1:20" x14ac:dyDescent="0.25">
      <c r="A929" s="8" t="s">
        <v>1936</v>
      </c>
      <c r="B929" s="8" t="s">
        <v>1937</v>
      </c>
      <c r="C929" s="8" t="s">
        <v>3540</v>
      </c>
      <c r="D929" s="8">
        <v>146</v>
      </c>
      <c r="E929" s="24">
        <v>0.63698631525039595</v>
      </c>
      <c r="F929" s="24">
        <v>0.36301368474960299</v>
      </c>
      <c r="G929" s="23">
        <v>0</v>
      </c>
      <c r="H929" s="23">
        <v>0.123287670314312</v>
      </c>
      <c r="I929" s="24">
        <v>0.47260272502899098</v>
      </c>
      <c r="J929" s="24">
        <v>0.212328761816024</v>
      </c>
      <c r="K929" s="23">
        <v>4.1095890104770702E-2</v>
      </c>
      <c r="L929" s="23">
        <v>3.4246575087308898E-2</v>
      </c>
      <c r="M929" s="23">
        <v>8.9041098952293396E-2</v>
      </c>
      <c r="N929" s="23">
        <v>2.73972600698471E-2</v>
      </c>
      <c r="O929" s="23">
        <v>9.5890410244464902E-2</v>
      </c>
      <c r="P929" s="23">
        <v>1.36986300349236E-2</v>
      </c>
      <c r="Q929" s="24">
        <v>0.55479454994201605</v>
      </c>
      <c r="R929" s="25">
        <v>0</v>
      </c>
      <c r="S929" s="25">
        <v>0</v>
      </c>
      <c r="T929" s="25">
        <v>9.5890410958904104E-2</v>
      </c>
    </row>
    <row r="930" spans="1:20" x14ac:dyDescent="0.25">
      <c r="A930" s="8" t="s">
        <v>1938</v>
      </c>
      <c r="B930" s="8" t="s">
        <v>1939</v>
      </c>
      <c r="C930" s="8" t="s">
        <v>3540</v>
      </c>
      <c r="D930" s="8">
        <v>849</v>
      </c>
      <c r="E930" s="24">
        <v>0.44640752673149098</v>
      </c>
      <c r="F930" s="24">
        <v>0.55359244346618597</v>
      </c>
      <c r="G930" s="23">
        <v>0</v>
      </c>
      <c r="H930" s="24">
        <v>0.15547703206539101</v>
      </c>
      <c r="I930" s="23">
        <v>1.6489988192915899E-2</v>
      </c>
      <c r="J930" s="23">
        <v>0.356890469789505</v>
      </c>
      <c r="K930" s="23">
        <v>1.0600706562399901E-2</v>
      </c>
      <c r="L930" s="23">
        <v>3.5335689317435E-3</v>
      </c>
      <c r="M930" s="24">
        <v>0.45700824260711598</v>
      </c>
      <c r="N930" s="23">
        <v>0</v>
      </c>
      <c r="O930" s="24">
        <v>0.221436977386474</v>
      </c>
      <c r="P930" s="24">
        <v>0.24970553815364799</v>
      </c>
      <c r="Q930" s="24">
        <v>0.82096582651138295</v>
      </c>
      <c r="R930" s="25">
        <v>6.9493521790341573E-2</v>
      </c>
      <c r="S930" s="25">
        <v>0</v>
      </c>
      <c r="T930" s="25">
        <v>0.14487632508833923</v>
      </c>
    </row>
    <row r="931" spans="1:20" x14ac:dyDescent="0.25">
      <c r="A931" s="8" t="s">
        <v>1940</v>
      </c>
      <c r="B931" s="8" t="s">
        <v>1941</v>
      </c>
      <c r="C931" s="8" t="s">
        <v>3540</v>
      </c>
      <c r="D931" s="8">
        <v>488</v>
      </c>
      <c r="E931" s="24">
        <v>0.491803288459777</v>
      </c>
      <c r="F931" s="23">
        <v>0.50614756345748901</v>
      </c>
      <c r="G931" s="23">
        <v>2.0491802133620002E-3</v>
      </c>
      <c r="H931" s="24">
        <v>0.32991802692413302</v>
      </c>
      <c r="I931" s="23">
        <v>6.1475411057472003E-3</v>
      </c>
      <c r="J931" s="23">
        <v>0.43237704038620001</v>
      </c>
      <c r="K931" s="23">
        <v>1.2295082211494401E-2</v>
      </c>
      <c r="L931" s="23">
        <v>8.1967208534479002E-3</v>
      </c>
      <c r="M931" s="24">
        <v>0.21106557548046101</v>
      </c>
      <c r="N931" s="23">
        <v>0</v>
      </c>
      <c r="O931" s="24">
        <v>0.237704917788505</v>
      </c>
      <c r="P931" s="23">
        <v>0.25</v>
      </c>
      <c r="Q931" s="24">
        <v>0.87295079231262196</v>
      </c>
      <c r="R931" s="25">
        <v>7.9918032786885251E-2</v>
      </c>
      <c r="S931" s="25">
        <v>2.0491803278688526E-3</v>
      </c>
      <c r="T931" s="25">
        <v>0.1598360655737705</v>
      </c>
    </row>
    <row r="932" spans="1:20" x14ac:dyDescent="0.25">
      <c r="A932" s="8" t="s">
        <v>1942</v>
      </c>
      <c r="B932" s="8" t="s">
        <v>1943</v>
      </c>
      <c r="C932" s="8" t="s">
        <v>3540</v>
      </c>
      <c r="D932" s="8">
        <v>872</v>
      </c>
      <c r="E932" s="24">
        <v>0.459862381219863</v>
      </c>
      <c r="F932" s="24">
        <v>0.54013758897781305</v>
      </c>
      <c r="G932" s="23">
        <v>0</v>
      </c>
      <c r="H932" s="24">
        <v>0.41628441214561401</v>
      </c>
      <c r="I932" s="24">
        <v>0.12844036519527399</v>
      </c>
      <c r="J932" s="24">
        <v>0.28784403204917902</v>
      </c>
      <c r="K932" s="23">
        <v>1.03211011737585E-2</v>
      </c>
      <c r="L932" s="23">
        <v>6.8807341158390002E-3</v>
      </c>
      <c r="M932" s="24">
        <v>0.15022936463355999</v>
      </c>
      <c r="N932" s="23">
        <v>0</v>
      </c>
      <c r="O932" s="23">
        <v>0.14220184087753299</v>
      </c>
      <c r="P932" s="24">
        <v>0.25573393702507002</v>
      </c>
      <c r="Q932" s="24">
        <v>0.91513758897781305</v>
      </c>
      <c r="R932" s="25">
        <v>3.4403669724770644E-2</v>
      </c>
      <c r="S932" s="25">
        <v>1.4908256880733946E-2</v>
      </c>
      <c r="T932" s="25">
        <v>9.4036697247706427E-2</v>
      </c>
    </row>
    <row r="933" spans="1:20" x14ac:dyDescent="0.25">
      <c r="A933" s="8" t="s">
        <v>1944</v>
      </c>
      <c r="B933" s="8" t="s">
        <v>1945</v>
      </c>
      <c r="C933" s="8" t="s">
        <v>3540</v>
      </c>
      <c r="D933" s="8">
        <v>559</v>
      </c>
      <c r="E933" s="24">
        <v>0.44722718000411898</v>
      </c>
      <c r="F933" s="24">
        <v>0.55277281999588002</v>
      </c>
      <c r="G933" s="23">
        <v>0</v>
      </c>
      <c r="H933" s="24">
        <v>0.869409680366516</v>
      </c>
      <c r="I933" s="23">
        <v>3.5778174642473E-3</v>
      </c>
      <c r="J933" s="23">
        <v>7.6923079788684803E-2</v>
      </c>
      <c r="K933" s="23">
        <v>8.9445440098643008E-3</v>
      </c>
      <c r="L933" s="23">
        <v>1.7889087321237001E-3</v>
      </c>
      <c r="M933" s="23">
        <v>3.9355993270874003E-2</v>
      </c>
      <c r="N933" s="23">
        <v>0</v>
      </c>
      <c r="O933" s="24">
        <v>0.19677996635437001</v>
      </c>
      <c r="P933" s="24">
        <v>0.55635064840316695</v>
      </c>
      <c r="Q933" s="24">
        <v>0.962432920932769</v>
      </c>
      <c r="R933" s="25">
        <v>4.4722719141323794E-2</v>
      </c>
      <c r="S933" s="25">
        <v>0</v>
      </c>
      <c r="T933" s="25">
        <v>0.16279069767441862</v>
      </c>
    </row>
    <row r="934" spans="1:20" x14ac:dyDescent="0.25">
      <c r="A934" s="8" t="s">
        <v>1946</v>
      </c>
      <c r="B934" s="8" t="s">
        <v>1947</v>
      </c>
      <c r="C934" s="8" t="s">
        <v>3540</v>
      </c>
      <c r="D934" s="8">
        <v>1076</v>
      </c>
      <c r="E934" s="24">
        <v>0.47769516706466603</v>
      </c>
      <c r="F934" s="24">
        <v>0.52230483293533303</v>
      </c>
      <c r="G934" s="23">
        <v>0</v>
      </c>
      <c r="H934" s="24">
        <v>0.17472119629383001</v>
      </c>
      <c r="I934" s="23">
        <v>1.7657993361353898E-2</v>
      </c>
      <c r="J934" s="24">
        <v>0.27509292960166898</v>
      </c>
      <c r="K934" s="23">
        <v>4.5539032667875297E-2</v>
      </c>
      <c r="L934" s="23">
        <v>2.7881041169166999E-3</v>
      </c>
      <c r="M934" s="23">
        <v>0.48234200477600098</v>
      </c>
      <c r="N934" s="23">
        <v>1.8587360391393E-3</v>
      </c>
      <c r="O934" s="24">
        <v>0.23513011634349801</v>
      </c>
      <c r="P934" s="24">
        <v>0.145910784602165</v>
      </c>
      <c r="Q934" s="24">
        <v>0.63104087114334095</v>
      </c>
      <c r="R934" s="25">
        <v>5.8550185873605949E-2</v>
      </c>
      <c r="S934" s="25">
        <v>9.2936802973977691E-4</v>
      </c>
      <c r="T934" s="25">
        <v>0.17286245353159851</v>
      </c>
    </row>
    <row r="935" spans="1:20" x14ac:dyDescent="0.25">
      <c r="A935" s="8" t="s">
        <v>1948</v>
      </c>
      <c r="B935" s="8" t="s">
        <v>1949</v>
      </c>
      <c r="C935" s="8" t="s">
        <v>3540</v>
      </c>
      <c r="D935" s="8">
        <v>1023</v>
      </c>
      <c r="E935" s="24">
        <v>0.45356795191764798</v>
      </c>
      <c r="F935" s="24">
        <v>0.54643207788467396</v>
      </c>
      <c r="G935" s="23">
        <v>0</v>
      </c>
      <c r="H935" s="24">
        <v>0.22189638018607999</v>
      </c>
      <c r="I935" s="23">
        <v>3.3235583454370499E-2</v>
      </c>
      <c r="J935" s="24">
        <v>0.285434991121292</v>
      </c>
      <c r="K935" s="23">
        <v>3.8123168051242801E-2</v>
      </c>
      <c r="L935" s="23">
        <v>4.8875855281949E-3</v>
      </c>
      <c r="M935" s="24">
        <v>0.41642227768897999</v>
      </c>
      <c r="N935" s="23">
        <v>0</v>
      </c>
      <c r="O935" s="24">
        <v>0.16520039737224501</v>
      </c>
      <c r="P935" s="24">
        <v>0.16715542972087799</v>
      </c>
      <c r="Q935" s="24">
        <v>0.67839688062667802</v>
      </c>
      <c r="R935" s="25">
        <v>2.6392961876832845E-2</v>
      </c>
      <c r="S935" s="25">
        <v>3.3235581622678395E-2</v>
      </c>
      <c r="T935" s="25">
        <v>0.10263929618768329</v>
      </c>
    </row>
    <row r="936" spans="1:20" x14ac:dyDescent="0.25">
      <c r="A936" s="8" t="s">
        <v>1950</v>
      </c>
      <c r="B936" s="8" t="s">
        <v>1951</v>
      </c>
      <c r="C936" s="8" t="s">
        <v>3540</v>
      </c>
      <c r="D936" s="8">
        <v>1118</v>
      </c>
      <c r="E936" s="24">
        <v>0.46869409084320002</v>
      </c>
      <c r="F936" s="24">
        <v>0.53130590915679898</v>
      </c>
      <c r="G936" s="23">
        <v>0</v>
      </c>
      <c r="H936" s="24">
        <v>0.91949909925460804</v>
      </c>
      <c r="I936" s="23">
        <v>8.9445436606180005E-4</v>
      </c>
      <c r="J936" s="23">
        <v>4.65116277337074E-2</v>
      </c>
      <c r="K936" s="23">
        <v>0</v>
      </c>
      <c r="L936" s="23">
        <v>8.9445436606180005E-4</v>
      </c>
      <c r="M936" s="23">
        <v>3.2200358808040598E-2</v>
      </c>
      <c r="N936" s="23">
        <v>0</v>
      </c>
      <c r="O936" s="24">
        <v>0.12075134366750701</v>
      </c>
      <c r="P936" s="24">
        <v>0.35241502523422202</v>
      </c>
      <c r="Q936" s="24">
        <v>0.94275492429733199</v>
      </c>
      <c r="R936" s="25">
        <v>6.2611806797853312E-3</v>
      </c>
      <c r="S936" s="25">
        <v>1.1627906976744186E-2</v>
      </c>
      <c r="T936" s="25">
        <v>0.10196779964221825</v>
      </c>
    </row>
    <row r="937" spans="1:20" x14ac:dyDescent="0.25">
      <c r="A937" s="8" t="s">
        <v>1952</v>
      </c>
      <c r="B937" s="8" t="s">
        <v>1953</v>
      </c>
      <c r="C937" s="8" t="s">
        <v>3540</v>
      </c>
      <c r="D937" s="8">
        <v>746</v>
      </c>
      <c r="E937" s="24">
        <v>0.469168901443481</v>
      </c>
      <c r="F937" s="24">
        <v>0.530831098556518</v>
      </c>
      <c r="G937" s="23">
        <v>0</v>
      </c>
      <c r="H937" s="24">
        <v>0.32037532329559298</v>
      </c>
      <c r="I937" s="23">
        <v>9.3833776190876995E-3</v>
      </c>
      <c r="J937" s="24">
        <v>0.39946380257606501</v>
      </c>
      <c r="K937" s="23">
        <v>9.3833776190876995E-3</v>
      </c>
      <c r="L937" s="23">
        <v>4.0214476175605999E-3</v>
      </c>
      <c r="M937" s="23">
        <v>0.25737264752388</v>
      </c>
      <c r="N937" s="23">
        <v>0</v>
      </c>
      <c r="O937" s="24">
        <v>0.17426273226737901</v>
      </c>
      <c r="P937" s="24">
        <v>0.27613940834999001</v>
      </c>
      <c r="Q937" s="24">
        <v>0.74396783113479603</v>
      </c>
      <c r="R937" s="25">
        <v>3.0831099195710455E-2</v>
      </c>
      <c r="S937" s="25">
        <v>0</v>
      </c>
      <c r="T937" s="25">
        <v>0.13404825737265416</v>
      </c>
    </row>
    <row r="938" spans="1:20" x14ac:dyDescent="0.25">
      <c r="A938" s="8" t="s">
        <v>1954</v>
      </c>
      <c r="B938" s="8" t="s">
        <v>1955</v>
      </c>
      <c r="C938" s="8" t="s">
        <v>3540</v>
      </c>
      <c r="D938" s="8">
        <v>660</v>
      </c>
      <c r="E938" s="24">
        <v>0.48636364936828602</v>
      </c>
      <c r="F938" s="24">
        <v>0.51363635063171298</v>
      </c>
      <c r="G938" s="23">
        <v>0</v>
      </c>
      <c r="H938" s="24">
        <v>0.41363635659217801</v>
      </c>
      <c r="I938" s="23">
        <v>6.0606058686972003E-3</v>
      </c>
      <c r="J938" s="24">
        <v>0.25151515007018999</v>
      </c>
      <c r="K938" s="23">
        <v>1.9696969538927099E-2</v>
      </c>
      <c r="L938" s="23">
        <v>6.0606058686972003E-3</v>
      </c>
      <c r="M938" s="24">
        <v>0.30303031206130898</v>
      </c>
      <c r="N938" s="23">
        <v>0</v>
      </c>
      <c r="O938" s="24">
        <v>0.21666666865348799</v>
      </c>
      <c r="P938" s="24">
        <v>0.24090908467769601</v>
      </c>
      <c r="Q938" s="24">
        <v>0.74242424964904696</v>
      </c>
      <c r="R938" s="25">
        <v>5.7575757575757579E-2</v>
      </c>
      <c r="S938" s="25">
        <v>0</v>
      </c>
      <c r="T938" s="25">
        <v>0.16969696969696971</v>
      </c>
    </row>
    <row r="939" spans="1:20" x14ac:dyDescent="0.25">
      <c r="A939" s="8" t="s">
        <v>1956</v>
      </c>
      <c r="B939" s="8" t="s">
        <v>1957</v>
      </c>
      <c r="C939" s="8" t="s">
        <v>3540</v>
      </c>
      <c r="D939" s="8">
        <v>973</v>
      </c>
      <c r="E939" s="24">
        <v>0.47070914506912198</v>
      </c>
      <c r="F939" s="24">
        <v>0.52929085493087702</v>
      </c>
      <c r="G939" s="23">
        <v>0</v>
      </c>
      <c r="H939" s="24">
        <v>0.85919833183288497</v>
      </c>
      <c r="I939" s="23">
        <v>1.3360739685595001E-2</v>
      </c>
      <c r="J939" s="23">
        <v>8.7358683347701999E-2</v>
      </c>
      <c r="K939" s="23">
        <v>5.1387459971010997E-3</v>
      </c>
      <c r="L939" s="23">
        <v>1.0277492692694001E-3</v>
      </c>
      <c r="M939" s="23">
        <v>3.3915724605321898E-2</v>
      </c>
      <c r="N939" s="23">
        <v>0</v>
      </c>
      <c r="O939" s="24">
        <v>0.144912645220756</v>
      </c>
      <c r="P939" s="24">
        <v>0.54676258563995295</v>
      </c>
      <c r="Q939" s="24">
        <v>0.97019529342651301</v>
      </c>
      <c r="R939" s="25">
        <v>3.6998972250770812E-2</v>
      </c>
      <c r="S939" s="25">
        <v>0</v>
      </c>
      <c r="T939" s="25">
        <v>0.1079136690647482</v>
      </c>
    </row>
    <row r="940" spans="1:20" x14ac:dyDescent="0.25">
      <c r="A940" s="8" t="s">
        <v>1958</v>
      </c>
      <c r="B940" s="8" t="s">
        <v>1959</v>
      </c>
      <c r="C940" s="8" t="s">
        <v>3540</v>
      </c>
      <c r="D940" s="8">
        <v>631</v>
      </c>
      <c r="E940" s="23">
        <v>0.49920761585235601</v>
      </c>
      <c r="F940" s="23">
        <v>0.50079238414764404</v>
      </c>
      <c r="G940" s="23">
        <v>0</v>
      </c>
      <c r="H940" s="24">
        <v>0.34548336267471302</v>
      </c>
      <c r="I940" s="23">
        <v>2.0602218806743601E-2</v>
      </c>
      <c r="J940" s="24">
        <v>0.38510301709175099</v>
      </c>
      <c r="K940" s="23">
        <v>3.1695722136646999E-3</v>
      </c>
      <c r="L940" s="23">
        <v>0</v>
      </c>
      <c r="M940" s="24">
        <v>0.24564184248447399</v>
      </c>
      <c r="N940" s="23">
        <v>0</v>
      </c>
      <c r="O940" s="24">
        <v>0.210776552557945</v>
      </c>
      <c r="P940" s="23">
        <v>0.29477021098136902</v>
      </c>
      <c r="Q940" s="24">
        <v>0.84627574682235696</v>
      </c>
      <c r="R940" s="25">
        <v>9.0332805071315372E-2</v>
      </c>
      <c r="S940" s="25">
        <v>0</v>
      </c>
      <c r="T940" s="25">
        <v>0.12519809825673534</v>
      </c>
    </row>
    <row r="941" spans="1:20" x14ac:dyDescent="0.25">
      <c r="A941" s="8" t="s">
        <v>1960</v>
      </c>
      <c r="B941" s="8" t="s">
        <v>1961</v>
      </c>
      <c r="C941" s="8" t="s">
        <v>3540</v>
      </c>
      <c r="D941" s="8">
        <v>497</v>
      </c>
      <c r="E941" s="24">
        <v>0.48893359303474399</v>
      </c>
      <c r="F941" s="24">
        <v>0.51106637716293302</v>
      </c>
      <c r="G941" s="23">
        <v>0</v>
      </c>
      <c r="H941" s="24">
        <v>0.43661972880363398</v>
      </c>
      <c r="I941" s="23">
        <v>3.8229376077651998E-2</v>
      </c>
      <c r="J941" s="24">
        <v>0.374245464801788</v>
      </c>
      <c r="K941" s="23">
        <v>8.0482894554734005E-3</v>
      </c>
      <c r="L941" s="23">
        <v>4.0241447277367002E-3</v>
      </c>
      <c r="M941" s="24">
        <v>0.13883300125598899</v>
      </c>
      <c r="N941" s="23">
        <v>0</v>
      </c>
      <c r="O941" s="24">
        <v>0.29577463865280101</v>
      </c>
      <c r="P941" s="24">
        <v>0.175050303339958</v>
      </c>
      <c r="Q941" s="24">
        <v>0.89336013793945301</v>
      </c>
      <c r="R941" s="25">
        <v>0.1488933601609658</v>
      </c>
      <c r="S941" s="25">
        <v>0</v>
      </c>
      <c r="T941" s="25">
        <v>0.13279678068410464</v>
      </c>
    </row>
    <row r="942" spans="1:20" x14ac:dyDescent="0.25">
      <c r="A942" s="8" t="s">
        <v>1962</v>
      </c>
      <c r="B942" s="8" t="s">
        <v>1963</v>
      </c>
      <c r="C942" s="8" t="s">
        <v>3540</v>
      </c>
      <c r="D942" s="8">
        <v>830</v>
      </c>
      <c r="E942" s="24">
        <v>0.48192772269248901</v>
      </c>
      <c r="F942" s="24">
        <v>0.51807230710983199</v>
      </c>
      <c r="G942" s="23">
        <v>0</v>
      </c>
      <c r="H942" s="24">
        <v>0.58192771673202504</v>
      </c>
      <c r="I942" s="23">
        <v>6.0240961611271E-3</v>
      </c>
      <c r="J942" s="24">
        <v>0.17469879984855599</v>
      </c>
      <c r="K942" s="23">
        <v>2.0481927320361099E-2</v>
      </c>
      <c r="L942" s="23">
        <v>1.2048193020745999E-3</v>
      </c>
      <c r="M942" s="24">
        <v>0.21566264331340701</v>
      </c>
      <c r="N942" s="23">
        <v>0</v>
      </c>
      <c r="O942" s="24">
        <v>0.171084344387054</v>
      </c>
      <c r="P942" s="24">
        <v>0.27831324934959401</v>
      </c>
      <c r="Q942" s="24">
        <v>0.90722888708114602</v>
      </c>
      <c r="R942" s="25">
        <v>3.2530120481927709E-2</v>
      </c>
      <c r="S942" s="25">
        <v>0</v>
      </c>
      <c r="T942" s="25">
        <v>0.13012048192771083</v>
      </c>
    </row>
    <row r="943" spans="1:20" x14ac:dyDescent="0.25">
      <c r="A943" s="8" t="s">
        <v>1964</v>
      </c>
      <c r="B943" s="8" t="s">
        <v>1965</v>
      </c>
      <c r="C943" s="8" t="s">
        <v>3540</v>
      </c>
      <c r="D943" s="8">
        <v>1058</v>
      </c>
      <c r="E943" s="24">
        <v>0.48960301280021601</v>
      </c>
      <c r="F943" s="24">
        <v>0.51039695739746005</v>
      </c>
      <c r="G943" s="23">
        <v>0</v>
      </c>
      <c r="H943" s="24">
        <v>0.62287336587905795</v>
      </c>
      <c r="I943" s="23">
        <v>6.6162571310997001E-3</v>
      </c>
      <c r="J943" s="23">
        <v>0.23913043737411499</v>
      </c>
      <c r="K943" s="23">
        <v>6.6162571310997001E-3</v>
      </c>
      <c r="L943" s="23">
        <v>5.6710774078964996E-3</v>
      </c>
      <c r="M943" s="24">
        <v>0.11909262835979401</v>
      </c>
      <c r="N943" s="23">
        <v>0</v>
      </c>
      <c r="O943" s="24">
        <v>0.14744801819324399</v>
      </c>
      <c r="P943" s="24">
        <v>0.26748582720756497</v>
      </c>
      <c r="Q943" s="24">
        <v>0.85349714756011896</v>
      </c>
      <c r="R943" s="25">
        <v>3.2136105860113423E-2</v>
      </c>
      <c r="S943" s="25">
        <v>9.4517958412098301E-4</v>
      </c>
      <c r="T943" s="25">
        <v>0.11247637051039698</v>
      </c>
    </row>
    <row r="944" spans="1:20" x14ac:dyDescent="0.25">
      <c r="A944" s="8" t="s">
        <v>1966</v>
      </c>
      <c r="B944" s="8" t="s">
        <v>1967</v>
      </c>
      <c r="C944" s="8" t="s">
        <v>3540</v>
      </c>
      <c r="D944" s="8">
        <v>671</v>
      </c>
      <c r="E944" s="24">
        <v>0.496274203062057</v>
      </c>
      <c r="F944" s="24">
        <v>0.50372576713562001</v>
      </c>
      <c r="G944" s="23">
        <v>0</v>
      </c>
      <c r="H944" s="24">
        <v>0.65722799301147405</v>
      </c>
      <c r="I944" s="23">
        <v>2.38450076431036E-2</v>
      </c>
      <c r="J944" s="24">
        <v>0.18926975131034801</v>
      </c>
      <c r="K944" s="23">
        <v>4.4709388166665996E-3</v>
      </c>
      <c r="L944" s="23">
        <v>8.9418776333331992E-3</v>
      </c>
      <c r="M944" s="23">
        <v>0.11624441295862201</v>
      </c>
      <c r="N944" s="23">
        <v>0</v>
      </c>
      <c r="O944" s="24">
        <v>0.144560351967811</v>
      </c>
      <c r="P944" s="24">
        <v>0.50670641660690297</v>
      </c>
      <c r="Q944" s="24">
        <v>0.93889719247817904</v>
      </c>
      <c r="R944" s="25">
        <v>7.4515648286140088E-2</v>
      </c>
      <c r="S944" s="25">
        <v>4.4709388971684054E-3</v>
      </c>
      <c r="T944" s="25">
        <v>6.1102831594634872E-2</v>
      </c>
    </row>
    <row r="945" spans="1:20" x14ac:dyDescent="0.25">
      <c r="A945" s="8" t="s">
        <v>1968</v>
      </c>
      <c r="B945" s="8" t="s">
        <v>1969</v>
      </c>
      <c r="C945" s="8" t="s">
        <v>3540</v>
      </c>
      <c r="D945" s="8">
        <v>853</v>
      </c>
      <c r="E945" s="24">
        <v>0.49706918001174899</v>
      </c>
      <c r="F945" s="24">
        <v>0.50293081998824996</v>
      </c>
      <c r="G945" s="23">
        <v>0</v>
      </c>
      <c r="H945" s="24">
        <v>0.41148886084556502</v>
      </c>
      <c r="I945" s="23">
        <v>7.0339976809919002E-3</v>
      </c>
      <c r="J945" s="24">
        <v>0.35521689057350098</v>
      </c>
      <c r="K945" s="23">
        <v>1.17233293130994E-2</v>
      </c>
      <c r="L945" s="23">
        <v>5.8616646565497E-3</v>
      </c>
      <c r="M945" s="24">
        <v>0.20867526531219399</v>
      </c>
      <c r="N945" s="23">
        <v>0</v>
      </c>
      <c r="O945" s="24">
        <v>0.17936694622039701</v>
      </c>
      <c r="P945" s="24">
        <v>0.20984759926795901</v>
      </c>
      <c r="Q945" s="24">
        <v>0.90152400732040405</v>
      </c>
      <c r="R945" s="25">
        <v>2.3446658851113716E-2</v>
      </c>
      <c r="S945" s="25">
        <v>0</v>
      </c>
      <c r="T945" s="25">
        <v>0.1477139507620164</v>
      </c>
    </row>
    <row r="946" spans="1:20" x14ac:dyDescent="0.25">
      <c r="A946" s="8" t="s">
        <v>1970</v>
      </c>
      <c r="B946" s="8" t="s">
        <v>1971</v>
      </c>
      <c r="C946" s="8" t="s">
        <v>3540</v>
      </c>
      <c r="D946" s="8">
        <v>578</v>
      </c>
      <c r="E946" s="24">
        <v>0.48096886277198703</v>
      </c>
      <c r="F946" s="24">
        <v>0.51903116703033403</v>
      </c>
      <c r="G946" s="23">
        <v>0</v>
      </c>
      <c r="H946" s="24">
        <v>0.115916952490806</v>
      </c>
      <c r="I946" s="23">
        <v>1.7301037907600399E-2</v>
      </c>
      <c r="J946" s="24">
        <v>0.200692042708396</v>
      </c>
      <c r="K946" s="23">
        <v>4.1522491723298999E-2</v>
      </c>
      <c r="L946" s="23">
        <v>0</v>
      </c>
      <c r="M946" s="23">
        <v>0.62456744909286499</v>
      </c>
      <c r="N946" s="23">
        <v>0</v>
      </c>
      <c r="O946" s="23">
        <v>0.19377163052558899</v>
      </c>
      <c r="P946" s="23">
        <v>6.0553632676601403E-2</v>
      </c>
      <c r="Q946" s="23">
        <v>0.41868510842323298</v>
      </c>
      <c r="R946" s="25">
        <v>2.0761245674740483E-2</v>
      </c>
      <c r="S946" s="25">
        <v>0</v>
      </c>
      <c r="T946" s="25">
        <v>0.16435986159169549</v>
      </c>
    </row>
    <row r="947" spans="1:20" x14ac:dyDescent="0.25">
      <c r="A947" s="8" t="s">
        <v>1972</v>
      </c>
      <c r="B947" s="8" t="s">
        <v>1973</v>
      </c>
      <c r="C947" s="8" t="s">
        <v>3540</v>
      </c>
      <c r="D947" s="8">
        <v>975</v>
      </c>
      <c r="E947" s="23">
        <v>0.48205128312110901</v>
      </c>
      <c r="F947" s="24">
        <v>0.51794874668121305</v>
      </c>
      <c r="G947" s="23">
        <v>0</v>
      </c>
      <c r="H947" s="24">
        <v>0.317948728799819</v>
      </c>
      <c r="I947" s="23">
        <v>7.1794870309532001E-3</v>
      </c>
      <c r="J947" s="24">
        <v>0.35794872045516901</v>
      </c>
      <c r="K947" s="23">
        <v>7.1794870309532001E-3</v>
      </c>
      <c r="L947" s="23">
        <v>9.2307692393660996E-3</v>
      </c>
      <c r="M947" s="23">
        <v>0.30051282048225397</v>
      </c>
      <c r="N947" s="23">
        <v>0</v>
      </c>
      <c r="O947" s="24">
        <v>0.16410256922245001</v>
      </c>
      <c r="P947" s="24">
        <v>0.39692306518554599</v>
      </c>
      <c r="Q947" s="24">
        <v>0.84615385532379095</v>
      </c>
      <c r="R947" s="25">
        <v>5.4358974358974362E-2</v>
      </c>
      <c r="S947" s="25">
        <v>0</v>
      </c>
      <c r="T947" s="25">
        <v>0.11487179487179487</v>
      </c>
    </row>
    <row r="948" spans="1:20" x14ac:dyDescent="0.25">
      <c r="A948" s="8" t="s">
        <v>1974</v>
      </c>
      <c r="B948" s="8" t="s">
        <v>1975</v>
      </c>
      <c r="C948" s="8" t="s">
        <v>3540</v>
      </c>
      <c r="D948" s="8">
        <v>954</v>
      </c>
      <c r="E948" s="24">
        <v>0.49580714106559698</v>
      </c>
      <c r="F948" s="24">
        <v>0.50419288873672397</v>
      </c>
      <c r="G948" s="23">
        <v>0</v>
      </c>
      <c r="H948" s="24">
        <v>0.78721171617507901</v>
      </c>
      <c r="I948" s="23">
        <v>8.3857439458370001E-3</v>
      </c>
      <c r="J948" s="23">
        <v>8.5953876376151997E-2</v>
      </c>
      <c r="K948" s="23">
        <v>1.25786159187555E-2</v>
      </c>
      <c r="L948" s="23">
        <v>2.0964359864592999E-3</v>
      </c>
      <c r="M948" s="24">
        <v>0.103773586452007</v>
      </c>
      <c r="N948" s="23">
        <v>0</v>
      </c>
      <c r="O948" s="24">
        <v>0.13626834750175401</v>
      </c>
      <c r="P948" s="23">
        <v>5.2410900592803997E-2</v>
      </c>
      <c r="Q948" s="23">
        <v>0.75262051820755005</v>
      </c>
      <c r="R948" s="25">
        <v>4.6121593291404611E-2</v>
      </c>
      <c r="S948" s="25">
        <v>1.2578616352201259E-2</v>
      </c>
      <c r="T948" s="25">
        <v>7.5471698113207544E-2</v>
      </c>
    </row>
    <row r="949" spans="1:20" x14ac:dyDescent="0.25">
      <c r="A949" s="8" t="s">
        <v>1976</v>
      </c>
      <c r="B949" s="8" t="s">
        <v>1977</v>
      </c>
      <c r="C949" s="8" t="s">
        <v>3540</v>
      </c>
      <c r="D949" s="8">
        <v>597</v>
      </c>
      <c r="E949" s="24">
        <v>0.47571188211441001</v>
      </c>
      <c r="F949" s="24">
        <v>0.52428811788558904</v>
      </c>
      <c r="G949" s="23">
        <v>0</v>
      </c>
      <c r="H949" s="24">
        <v>0.239530995488166</v>
      </c>
      <c r="I949" s="23">
        <v>1.6750419512391101E-2</v>
      </c>
      <c r="J949" s="24">
        <v>0.39028474688529902</v>
      </c>
      <c r="K949" s="23">
        <v>0</v>
      </c>
      <c r="L949" s="23">
        <v>6.7001674324274002E-3</v>
      </c>
      <c r="M949" s="24">
        <v>0.34673365950584401</v>
      </c>
      <c r="N949" s="23">
        <v>0</v>
      </c>
      <c r="O949" s="24">
        <v>0.217755436897277</v>
      </c>
      <c r="P949" s="24">
        <v>0.22948074340820299</v>
      </c>
      <c r="Q949" s="24">
        <v>0.91792297363281194</v>
      </c>
      <c r="R949" s="25">
        <v>1.340033500837521E-2</v>
      </c>
      <c r="S949" s="25">
        <v>0</v>
      </c>
      <c r="T949" s="25">
        <v>0.19262981574539365</v>
      </c>
    </row>
    <row r="950" spans="1:20" x14ac:dyDescent="0.25">
      <c r="A950" s="8" t="s">
        <v>1978</v>
      </c>
      <c r="B950" s="8" t="s">
        <v>1979</v>
      </c>
      <c r="C950" s="8" t="s">
        <v>3540</v>
      </c>
      <c r="D950" s="8">
        <v>1210</v>
      </c>
      <c r="E950" s="23">
        <v>0.45785123109817499</v>
      </c>
      <c r="F950" s="24">
        <v>0.54132229089736905</v>
      </c>
      <c r="G950" s="23">
        <v>8.2644628128040001E-4</v>
      </c>
      <c r="H950" s="23">
        <v>0.38677686452865601</v>
      </c>
      <c r="I950" s="23">
        <v>1.57024785876274E-2</v>
      </c>
      <c r="J950" s="23">
        <v>0.193388432264328</v>
      </c>
      <c r="K950" s="23">
        <v>1.4876033179461999E-2</v>
      </c>
      <c r="L950" s="23">
        <v>2.4793387856334001E-3</v>
      </c>
      <c r="M950" s="23">
        <v>0.38677686452865601</v>
      </c>
      <c r="N950" s="23">
        <v>0</v>
      </c>
      <c r="O950" s="24">
        <v>0.147933885455131</v>
      </c>
      <c r="P950" s="24">
        <v>0.329752057790756</v>
      </c>
      <c r="Q950" s="24">
        <v>0.91157025098800604</v>
      </c>
      <c r="R950" s="25">
        <v>3.9669421487603308E-2</v>
      </c>
      <c r="S950" s="25">
        <v>0</v>
      </c>
      <c r="T950" s="25">
        <v>0.10909090909090909</v>
      </c>
    </row>
    <row r="951" spans="1:20" x14ac:dyDescent="0.25">
      <c r="A951" s="8" t="s">
        <v>1980</v>
      </c>
      <c r="B951" s="8" t="s">
        <v>1981</v>
      </c>
      <c r="C951" s="8" t="s">
        <v>3540</v>
      </c>
      <c r="D951" s="8">
        <v>1526</v>
      </c>
      <c r="E951" s="24">
        <v>0.47640889883041299</v>
      </c>
      <c r="F951" s="24">
        <v>0.52359110116958596</v>
      </c>
      <c r="G951" s="23">
        <v>0</v>
      </c>
      <c r="H951" s="24">
        <v>0.61730015277862504</v>
      </c>
      <c r="I951" s="23">
        <v>5.2424641326069997E-3</v>
      </c>
      <c r="J951" s="24">
        <v>0.18807339668273901</v>
      </c>
      <c r="K951" s="23">
        <v>4.5871557667850997E-3</v>
      </c>
      <c r="L951" s="23">
        <v>4.5871557667850997E-3</v>
      </c>
      <c r="M951" s="24">
        <v>0.179554387927055</v>
      </c>
      <c r="N951" s="23">
        <v>6.553080165759E-4</v>
      </c>
      <c r="O951" s="24">
        <v>0.14809960126876801</v>
      </c>
      <c r="P951" s="23">
        <v>0.102228045463562</v>
      </c>
      <c r="Q951" s="24">
        <v>0.76802098751068104</v>
      </c>
      <c r="R951" s="25">
        <v>4.7182175622542594E-2</v>
      </c>
      <c r="S951" s="25">
        <v>1.9659239842726079E-3</v>
      </c>
      <c r="T951" s="25">
        <v>0.10222804718217562</v>
      </c>
    </row>
    <row r="952" spans="1:20" x14ac:dyDescent="0.25">
      <c r="A952" s="8" t="s">
        <v>1982</v>
      </c>
      <c r="B952" s="8" t="s">
        <v>1983</v>
      </c>
      <c r="C952" s="8" t="s">
        <v>3540</v>
      </c>
      <c r="D952" s="8">
        <v>1000</v>
      </c>
      <c r="E952" s="24">
        <v>0.47699999809265098</v>
      </c>
      <c r="F952" s="24">
        <v>0.52300000190734797</v>
      </c>
      <c r="G952" s="23">
        <v>0</v>
      </c>
      <c r="H952" s="24">
        <v>0.58300000429153398</v>
      </c>
      <c r="I952" s="23">
        <v>3.000000026077E-3</v>
      </c>
      <c r="J952" s="24">
        <v>0.22800000011920901</v>
      </c>
      <c r="K952" s="23">
        <v>4.9999998882412997E-3</v>
      </c>
      <c r="L952" s="23">
        <v>8.9999996125698003E-3</v>
      </c>
      <c r="M952" s="24">
        <v>0.17200000584125499</v>
      </c>
      <c r="N952" s="23">
        <v>0</v>
      </c>
      <c r="O952" s="24">
        <v>0.19799999892711601</v>
      </c>
      <c r="P952" s="24">
        <v>0.22800000011920901</v>
      </c>
      <c r="Q952" s="24">
        <v>0.78200000524520796</v>
      </c>
      <c r="R952" s="25">
        <v>8.2000000000000003E-2</v>
      </c>
      <c r="S952" s="25">
        <v>0</v>
      </c>
      <c r="T952" s="25">
        <v>0.112</v>
      </c>
    </row>
    <row r="953" spans="1:20" x14ac:dyDescent="0.25">
      <c r="A953" s="8" t="s">
        <v>1984</v>
      </c>
      <c r="B953" s="8" t="s">
        <v>1985</v>
      </c>
      <c r="C953" s="8" t="s">
        <v>3540</v>
      </c>
      <c r="D953" s="8">
        <v>1098</v>
      </c>
      <c r="E953" s="24">
        <v>0.50819671154022195</v>
      </c>
      <c r="F953" s="24">
        <v>0.491803288459777</v>
      </c>
      <c r="G953" s="23">
        <v>0</v>
      </c>
      <c r="H953" s="24">
        <v>0.55191254615783603</v>
      </c>
      <c r="I953" s="23">
        <v>1.09289614483714E-2</v>
      </c>
      <c r="J953" s="24">
        <v>0.28597450256347601</v>
      </c>
      <c r="K953" s="23">
        <v>9.1074677184224007E-3</v>
      </c>
      <c r="L953" s="23">
        <v>4.5537338592112004E-3</v>
      </c>
      <c r="M953" s="24">
        <v>0.13752277195453599</v>
      </c>
      <c r="N953" s="23">
        <v>0</v>
      </c>
      <c r="O953" s="24">
        <v>0.18214936554431899</v>
      </c>
      <c r="P953" s="24">
        <v>0.29052823781967102</v>
      </c>
      <c r="Q953" s="24">
        <v>0.789617478847503</v>
      </c>
      <c r="R953" s="25">
        <v>8.1056466302367944E-2</v>
      </c>
      <c r="S953" s="25">
        <v>0</v>
      </c>
      <c r="T953" s="25">
        <v>9.6539162112932606E-2</v>
      </c>
    </row>
    <row r="954" spans="1:20" x14ac:dyDescent="0.25">
      <c r="A954" s="8" t="s">
        <v>1986</v>
      </c>
      <c r="B954" s="8" t="s">
        <v>1987</v>
      </c>
      <c r="C954" s="8" t="s">
        <v>3540</v>
      </c>
      <c r="D954" s="8">
        <v>1263</v>
      </c>
      <c r="E954" s="24">
        <v>0.46159937977790799</v>
      </c>
      <c r="F954" s="24">
        <v>0.53840065002441395</v>
      </c>
      <c r="G954" s="23">
        <v>0</v>
      </c>
      <c r="H954" s="24">
        <v>0.65399843454360895</v>
      </c>
      <c r="I954" s="23">
        <v>4.7505940310656998E-3</v>
      </c>
      <c r="J954" s="24">
        <v>0.29374504089355402</v>
      </c>
      <c r="K954" s="23">
        <v>7.9176563303919999E-4</v>
      </c>
      <c r="L954" s="23">
        <v>3.1670625321566998E-3</v>
      </c>
      <c r="M954" s="23">
        <v>4.3547108769416802E-2</v>
      </c>
      <c r="N954" s="23">
        <v>0</v>
      </c>
      <c r="O954" s="24">
        <v>0.17735549807548501</v>
      </c>
      <c r="P954" s="24">
        <v>0.31512272357940602</v>
      </c>
      <c r="Q954" s="24">
        <v>0.88677752017974798</v>
      </c>
      <c r="R954" s="25">
        <v>5.1464766429136978E-2</v>
      </c>
      <c r="S954" s="25">
        <v>0</v>
      </c>
      <c r="T954" s="25">
        <v>0.12193190815518606</v>
      </c>
    </row>
    <row r="955" spans="1:20" x14ac:dyDescent="0.25">
      <c r="A955" s="8" t="s">
        <v>1988</v>
      </c>
      <c r="B955" s="8" t="s">
        <v>1989</v>
      </c>
      <c r="C955" s="8" t="s">
        <v>3540</v>
      </c>
      <c r="D955" s="8">
        <v>623</v>
      </c>
      <c r="E955" s="24">
        <v>0.43017655611038202</v>
      </c>
      <c r="F955" s="24">
        <v>0.56982344388961703</v>
      </c>
      <c r="G955" s="23">
        <v>0</v>
      </c>
      <c r="H955" s="24">
        <v>0.51524877548217696</v>
      </c>
      <c r="I955" s="23">
        <v>2.4077046662569001E-2</v>
      </c>
      <c r="J955" s="23">
        <v>0.30176565051078802</v>
      </c>
      <c r="K955" s="23">
        <v>3.2102728728205E-3</v>
      </c>
      <c r="L955" s="23">
        <v>6.4205457456410001E-3</v>
      </c>
      <c r="M955" s="24">
        <v>0.14927768707275299</v>
      </c>
      <c r="N955" s="23">
        <v>0</v>
      </c>
      <c r="O955" s="24">
        <v>0.18459069728851299</v>
      </c>
      <c r="P955" s="24">
        <v>0.28571429848670898</v>
      </c>
      <c r="Q955" s="24">
        <v>0.93900483846664395</v>
      </c>
      <c r="R955" s="25">
        <v>7.3836276083467101E-2</v>
      </c>
      <c r="S955" s="25">
        <v>0</v>
      </c>
      <c r="T955" s="25">
        <v>0.10593900481540931</v>
      </c>
    </row>
    <row r="956" spans="1:20" x14ac:dyDescent="0.25">
      <c r="A956" s="8" t="s">
        <v>1990</v>
      </c>
      <c r="B956" s="8" t="s">
        <v>1991</v>
      </c>
      <c r="C956" s="8" t="s">
        <v>3540</v>
      </c>
      <c r="D956" s="8">
        <v>1325</v>
      </c>
      <c r="E956" s="24">
        <v>0.44905659556388799</v>
      </c>
      <c r="F956" s="24">
        <v>0.55094337463378895</v>
      </c>
      <c r="G956" s="23">
        <v>0</v>
      </c>
      <c r="H956" s="24">
        <v>0.46716982126235901</v>
      </c>
      <c r="I956" s="23">
        <v>8.3018867298960998E-3</v>
      </c>
      <c r="J956" s="24">
        <v>0.39094340801239003</v>
      </c>
      <c r="K956" s="23">
        <v>6.7924526520072998E-3</v>
      </c>
      <c r="L956" s="23">
        <v>8.3018867298960998E-3</v>
      </c>
      <c r="M956" s="24">
        <v>0.116981133818626</v>
      </c>
      <c r="N956" s="23">
        <v>1.5094339614733999E-3</v>
      </c>
      <c r="O956" s="24">
        <v>0.13811320066451999</v>
      </c>
      <c r="P956" s="24">
        <v>0.29509434103965698</v>
      </c>
      <c r="Q956" s="24">
        <v>0.875471711158752</v>
      </c>
      <c r="R956" s="25">
        <v>0.04</v>
      </c>
      <c r="S956" s="25">
        <v>0</v>
      </c>
      <c r="T956" s="25">
        <v>9.2830188679245279E-2</v>
      </c>
    </row>
    <row r="957" spans="1:20" x14ac:dyDescent="0.25">
      <c r="A957" s="8" t="s">
        <v>1992</v>
      </c>
      <c r="B957" s="8" t="s">
        <v>1993</v>
      </c>
      <c r="C957" s="8" t="s">
        <v>3540</v>
      </c>
      <c r="D957" s="8">
        <v>1118</v>
      </c>
      <c r="E957" s="24">
        <v>0.46332737803459101</v>
      </c>
      <c r="F957" s="24">
        <v>0.53667265176773005</v>
      </c>
      <c r="G957" s="23">
        <v>0</v>
      </c>
      <c r="H957" s="24">
        <v>0.59660106897354104</v>
      </c>
      <c r="I957" s="23">
        <v>1.6100179404020299E-2</v>
      </c>
      <c r="J957" s="23">
        <v>0.19051878154277799</v>
      </c>
      <c r="K957" s="23">
        <v>1.0733452625572701E-2</v>
      </c>
      <c r="L957" s="23">
        <v>2.6833631563931998E-3</v>
      </c>
      <c r="M957" s="24">
        <v>0.182468697428703</v>
      </c>
      <c r="N957" s="23">
        <v>8.9445436606180005E-4</v>
      </c>
      <c r="O957" s="24">
        <v>0.17352415621280601</v>
      </c>
      <c r="P957" s="24">
        <v>0.18336315453052501</v>
      </c>
      <c r="Q957" s="24">
        <v>0.79248660802841098</v>
      </c>
      <c r="R957" s="25">
        <v>4.7406082289803218E-2</v>
      </c>
      <c r="S957" s="25">
        <v>8.9445438282647585E-4</v>
      </c>
      <c r="T957" s="25">
        <v>0.11538461538461539</v>
      </c>
    </row>
    <row r="958" spans="1:20" x14ac:dyDescent="0.25">
      <c r="A958" s="8" t="s">
        <v>1994</v>
      </c>
      <c r="B958" s="8" t="s">
        <v>1995</v>
      </c>
      <c r="C958" s="8" t="s">
        <v>3540</v>
      </c>
      <c r="D958" s="8">
        <v>753</v>
      </c>
      <c r="E958" s="24">
        <v>0.501992046833038</v>
      </c>
      <c r="F958" s="24">
        <v>0.498007982969284</v>
      </c>
      <c r="G958" s="23">
        <v>0</v>
      </c>
      <c r="H958" s="24">
        <v>0.59628152847289995</v>
      </c>
      <c r="I958" s="23">
        <v>1.3280212879180999E-3</v>
      </c>
      <c r="J958" s="24">
        <v>0.15936255455017001</v>
      </c>
      <c r="K958" s="23">
        <v>7.9681277275084998E-3</v>
      </c>
      <c r="L958" s="23">
        <v>2.6560425758361999E-3</v>
      </c>
      <c r="M958" s="24">
        <v>0.23240372538566501</v>
      </c>
      <c r="N958" s="23">
        <v>0</v>
      </c>
      <c r="O958" s="24">
        <v>0.20318725705146701</v>
      </c>
      <c r="P958" s="24">
        <v>0.28552457690238903</v>
      </c>
      <c r="Q958" s="24">
        <v>0.77954846620559604</v>
      </c>
      <c r="R958" s="25">
        <v>0</v>
      </c>
      <c r="S958" s="25">
        <v>0</v>
      </c>
      <c r="T958" s="25">
        <v>0.21779548472775564</v>
      </c>
    </row>
    <row r="959" spans="1:20" x14ac:dyDescent="0.25">
      <c r="A959" s="8" t="s">
        <v>1996</v>
      </c>
      <c r="B959" s="8" t="s">
        <v>1997</v>
      </c>
      <c r="C959" s="8" t="s">
        <v>3540</v>
      </c>
      <c r="D959" s="8">
        <v>1798</v>
      </c>
      <c r="E959" s="23">
        <v>0.46718576550483698</v>
      </c>
      <c r="F959" s="24">
        <v>0.53281426429748502</v>
      </c>
      <c r="G959" s="23">
        <v>0</v>
      </c>
      <c r="H959" s="24">
        <v>0.55394881963729803</v>
      </c>
      <c r="I959" s="23">
        <v>1.00111234933138E-2</v>
      </c>
      <c r="J959" s="24">
        <v>0.20355951786041199</v>
      </c>
      <c r="K959" s="23">
        <v>1.55728589743376E-2</v>
      </c>
      <c r="L959" s="23">
        <v>2.224694006145E-3</v>
      </c>
      <c r="M959" s="24">
        <v>0.21190211176872201</v>
      </c>
      <c r="N959" s="23">
        <v>2.7808677405118999E-3</v>
      </c>
      <c r="O959" s="24">
        <v>0.12625138461589799</v>
      </c>
      <c r="P959" s="24">
        <v>0.14794215559959401</v>
      </c>
      <c r="Q959" s="24">
        <v>0.80923247337341297</v>
      </c>
      <c r="R959" s="25">
        <v>2.9477196885428252E-2</v>
      </c>
      <c r="S959" s="25">
        <v>0</v>
      </c>
      <c r="T959" s="25">
        <v>9.3437152391546166E-2</v>
      </c>
    </row>
    <row r="960" spans="1:20" x14ac:dyDescent="0.25">
      <c r="A960" s="8" t="s">
        <v>1998</v>
      </c>
      <c r="B960" s="8" t="s">
        <v>1999</v>
      </c>
      <c r="C960" s="8" t="s">
        <v>3540</v>
      </c>
      <c r="D960" s="8">
        <v>383</v>
      </c>
      <c r="E960" s="24">
        <v>0.49086162447929299</v>
      </c>
      <c r="F960" s="24">
        <v>0.50913840532302801</v>
      </c>
      <c r="G960" s="23">
        <v>0</v>
      </c>
      <c r="H960" s="24">
        <v>0.12532636523246701</v>
      </c>
      <c r="I960" s="23">
        <v>2.3498695343732799E-2</v>
      </c>
      <c r="J960" s="24">
        <v>0.33942559361457803</v>
      </c>
      <c r="K960" s="23">
        <v>3.1331591308116899E-2</v>
      </c>
      <c r="L960" s="23">
        <v>0</v>
      </c>
      <c r="M960" s="24">
        <v>0.48041775822639399</v>
      </c>
      <c r="N960" s="23">
        <v>0</v>
      </c>
      <c r="O960" s="24">
        <v>0.187989562749862</v>
      </c>
      <c r="P960" s="24">
        <v>0.15143603086471499</v>
      </c>
      <c r="Q960" s="24">
        <v>0.66318535804748502</v>
      </c>
      <c r="R960" s="25">
        <v>3.6553524804177548E-2</v>
      </c>
      <c r="S960" s="25">
        <v>0</v>
      </c>
      <c r="T960" s="25">
        <v>0.1566579634464752</v>
      </c>
    </row>
    <row r="961" spans="1:20" x14ac:dyDescent="0.25">
      <c r="A961" s="8" t="s">
        <v>2000</v>
      </c>
      <c r="B961" s="8" t="s">
        <v>2001</v>
      </c>
      <c r="C961" s="8" t="s">
        <v>3540</v>
      </c>
      <c r="D961" s="8">
        <v>539</v>
      </c>
      <c r="E961" s="24">
        <v>0.46011132001876798</v>
      </c>
      <c r="F961" s="24">
        <v>0.53988867998123102</v>
      </c>
      <c r="G961" s="23">
        <v>0</v>
      </c>
      <c r="H961" s="24">
        <v>0.83858996629714899</v>
      </c>
      <c r="I961" s="23">
        <v>5.5658626370132004E-3</v>
      </c>
      <c r="J961" s="23">
        <v>8.9053802192211207E-2</v>
      </c>
      <c r="K961" s="23">
        <v>1.1131725274026401E-2</v>
      </c>
      <c r="L961" s="23">
        <v>0</v>
      </c>
      <c r="M961" s="23">
        <v>5.5658627301454502E-2</v>
      </c>
      <c r="N961" s="23">
        <v>0</v>
      </c>
      <c r="O961" s="23">
        <v>0.14471243321895599</v>
      </c>
      <c r="P961" s="24">
        <v>0.36178109049797003</v>
      </c>
      <c r="Q961" s="24">
        <v>0.89610391855239802</v>
      </c>
      <c r="R961" s="25">
        <v>3.525046382189239E-2</v>
      </c>
      <c r="S961" s="25">
        <v>0</v>
      </c>
      <c r="T961" s="25">
        <v>0.1038961038961039</v>
      </c>
    </row>
    <row r="962" spans="1:20" x14ac:dyDescent="0.25">
      <c r="A962" s="8" t="s">
        <v>2002</v>
      </c>
      <c r="B962" s="8" t="s">
        <v>2003</v>
      </c>
      <c r="C962" s="8" t="s">
        <v>3540</v>
      </c>
      <c r="D962" s="8">
        <v>31</v>
      </c>
      <c r="E962" s="24">
        <v>0.61290323734283403</v>
      </c>
      <c r="F962" s="24">
        <v>0.38709676265716497</v>
      </c>
      <c r="G962" s="23">
        <v>0</v>
      </c>
      <c r="H962" s="24">
        <v>0.29032257199287398</v>
      </c>
      <c r="I962" s="23">
        <v>3.2258063554763801E-2</v>
      </c>
      <c r="J962" s="24">
        <v>0.61290323734283403</v>
      </c>
      <c r="K962" s="23">
        <v>0</v>
      </c>
      <c r="L962" s="23">
        <v>0</v>
      </c>
      <c r="M962" s="23">
        <v>6.4516127109527602E-2</v>
      </c>
      <c r="N962" s="23">
        <v>0</v>
      </c>
      <c r="O962" s="24">
        <v>0.322580635547637</v>
      </c>
      <c r="P962" s="24">
        <v>0.61290323734283403</v>
      </c>
      <c r="Q962" s="24">
        <v>0.80645161867141701</v>
      </c>
      <c r="R962" s="25">
        <v>6.4516129032258063E-2</v>
      </c>
      <c r="S962" s="25">
        <v>0</v>
      </c>
      <c r="T962" s="25">
        <v>0.25806451612903225</v>
      </c>
    </row>
    <row r="963" spans="1:20" x14ac:dyDescent="0.25">
      <c r="A963" s="8" t="s">
        <v>2004</v>
      </c>
      <c r="B963" s="8" t="s">
        <v>2005</v>
      </c>
      <c r="C963" s="8" t="s">
        <v>3540</v>
      </c>
      <c r="D963" s="8">
        <v>116</v>
      </c>
      <c r="E963" s="24">
        <v>0.362068951129913</v>
      </c>
      <c r="F963" s="24">
        <v>0.637931048870086</v>
      </c>
      <c r="G963" s="23">
        <v>0</v>
      </c>
      <c r="H963" s="24">
        <v>0.146551728248596</v>
      </c>
      <c r="I963" s="23">
        <v>0</v>
      </c>
      <c r="J963" s="24">
        <v>0.387931048870086</v>
      </c>
      <c r="K963" s="23">
        <v>2.5862069800496101E-2</v>
      </c>
      <c r="L963" s="23">
        <v>8.6206896230578006E-3</v>
      </c>
      <c r="M963" s="24">
        <v>0.431034475564956</v>
      </c>
      <c r="N963" s="23">
        <v>0</v>
      </c>
      <c r="O963" s="24">
        <v>0.20689655840396801</v>
      </c>
      <c r="P963" s="23">
        <v>7.7586203813552898E-2</v>
      </c>
      <c r="Q963" s="24">
        <v>0.75862067937850897</v>
      </c>
      <c r="R963" s="25">
        <v>4.3103448275862072E-2</v>
      </c>
      <c r="S963" s="25">
        <v>0</v>
      </c>
      <c r="T963" s="25">
        <v>0.15517241379310345</v>
      </c>
    </row>
    <row r="964" spans="1:20" x14ac:dyDescent="0.25">
      <c r="A964" s="8" t="s">
        <v>2006</v>
      </c>
      <c r="B964" s="8" t="s">
        <v>2007</v>
      </c>
      <c r="C964" s="8" t="s">
        <v>3540</v>
      </c>
      <c r="D964" s="8">
        <v>27</v>
      </c>
      <c r="E964" s="24">
        <v>0.518518507480621</v>
      </c>
      <c r="F964" s="24">
        <v>0.481481492519378</v>
      </c>
      <c r="G964" s="23">
        <v>0</v>
      </c>
      <c r="H964" s="24">
        <v>0.14814814925193701</v>
      </c>
      <c r="I964" s="23">
        <v>0</v>
      </c>
      <c r="J964" s="24">
        <v>0.33333334326744002</v>
      </c>
      <c r="K964" s="23">
        <v>0</v>
      </c>
      <c r="L964" s="23">
        <v>0</v>
      </c>
      <c r="M964" s="24">
        <v>0.518518507480621</v>
      </c>
      <c r="N964" s="23">
        <v>0</v>
      </c>
      <c r="O964" s="24">
        <v>0.18518517911434099</v>
      </c>
      <c r="P964" s="24">
        <v>0.29629629850387501</v>
      </c>
      <c r="Q964" s="24">
        <v>0.74074071645736606</v>
      </c>
      <c r="R964" s="25">
        <v>0</v>
      </c>
      <c r="S964" s="25">
        <v>0</v>
      </c>
      <c r="T964" s="25">
        <v>0.14814814814814814</v>
      </c>
    </row>
    <row r="965" spans="1:20" x14ac:dyDescent="0.25">
      <c r="A965" s="8" t="s">
        <v>2008</v>
      </c>
      <c r="B965" s="8" t="s">
        <v>2009</v>
      </c>
      <c r="C965" s="8" t="s">
        <v>3540</v>
      </c>
      <c r="D965" s="8">
        <v>3212</v>
      </c>
      <c r="E965" s="24">
        <v>0.46762141585349998</v>
      </c>
      <c r="F965" s="24">
        <v>0.53237855434417702</v>
      </c>
      <c r="G965" s="23">
        <v>0</v>
      </c>
      <c r="H965" s="23">
        <v>0.41220423579215998</v>
      </c>
      <c r="I965" s="23">
        <v>1.9302615895867299E-2</v>
      </c>
      <c r="J965" s="24">
        <v>0.35927769541740401</v>
      </c>
      <c r="K965" s="23">
        <v>4.3586548417806998E-3</v>
      </c>
      <c r="L965" s="23">
        <v>3.1133249867707001E-3</v>
      </c>
      <c r="M965" s="24">
        <v>0.191469490528106</v>
      </c>
      <c r="N965" s="23">
        <v>1.02739725261927E-2</v>
      </c>
      <c r="O965" s="24">
        <v>0.161581575870513</v>
      </c>
      <c r="P965" s="24">
        <v>0.21513076126575401</v>
      </c>
      <c r="Q965" s="24">
        <v>0.81133252382278398</v>
      </c>
      <c r="R965" s="25">
        <v>9.3399750933997514E-4</v>
      </c>
      <c r="S965" s="25">
        <v>4.3275217932752179E-2</v>
      </c>
      <c r="T965" s="25">
        <v>0.10990037359900373</v>
      </c>
    </row>
    <row r="966" spans="1:20" x14ac:dyDescent="0.25">
      <c r="A966" s="8" t="s">
        <v>2010</v>
      </c>
      <c r="B966" s="8" t="s">
        <v>2011</v>
      </c>
      <c r="C966" s="8" t="s">
        <v>3540</v>
      </c>
      <c r="D966" s="8">
        <v>1209</v>
      </c>
      <c r="E966" s="24">
        <v>0.42018195986747697</v>
      </c>
      <c r="F966" s="24">
        <v>0.57981801033019997</v>
      </c>
      <c r="G966" s="23">
        <v>0</v>
      </c>
      <c r="H966" s="24">
        <v>0.20264682173728901</v>
      </c>
      <c r="I966" s="23">
        <v>3.6393713206052801E-2</v>
      </c>
      <c r="J966" s="24">
        <v>0.55086851119995095</v>
      </c>
      <c r="K966" s="23">
        <v>9.0984283015132002E-3</v>
      </c>
      <c r="L966" s="23">
        <v>4.9627791158854996E-3</v>
      </c>
      <c r="M966" s="24">
        <v>0.18114143610000599</v>
      </c>
      <c r="N966" s="23">
        <v>1.48883378133178E-2</v>
      </c>
      <c r="O966" s="24">
        <v>0.22167080640792799</v>
      </c>
      <c r="P966" s="24">
        <v>0.11497104912996201</v>
      </c>
      <c r="Q966" s="24">
        <v>0.79900741577148404</v>
      </c>
      <c r="R966" s="25">
        <v>1.6542597187758478E-3</v>
      </c>
      <c r="S966" s="25">
        <v>2.3986765922249794E-2</v>
      </c>
      <c r="T966" s="25">
        <v>0.19437551695616212</v>
      </c>
    </row>
    <row r="967" spans="1:20" x14ac:dyDescent="0.25">
      <c r="A967" s="8" t="s">
        <v>2012</v>
      </c>
      <c r="B967" s="8" t="s">
        <v>2013</v>
      </c>
      <c r="C967" s="8" t="s">
        <v>3540</v>
      </c>
      <c r="D967" s="8">
        <v>4066</v>
      </c>
      <c r="E967" s="23">
        <v>0.47220855951309199</v>
      </c>
      <c r="F967" s="24">
        <v>0.52754551172256403</v>
      </c>
      <c r="G967" s="23">
        <v>2.4594194837849998E-4</v>
      </c>
      <c r="H967" s="23">
        <v>0.31210035085678101</v>
      </c>
      <c r="I967" s="23">
        <v>2.09050662815571E-2</v>
      </c>
      <c r="J967" s="24">
        <v>0.31259223818778897</v>
      </c>
      <c r="K967" s="23">
        <v>9.0998522937297995E-3</v>
      </c>
      <c r="L967" s="23">
        <v>4.1810134425759003E-3</v>
      </c>
      <c r="M967" s="24">
        <v>0.32439744472503601</v>
      </c>
      <c r="N967" s="23">
        <v>1.6724053770303698E-2</v>
      </c>
      <c r="O967" s="24">
        <v>0.152729958295822</v>
      </c>
      <c r="P967" s="24">
        <v>0.181997045874595</v>
      </c>
      <c r="Q967" s="24">
        <v>0.75258237123489302</v>
      </c>
      <c r="R967" s="25">
        <v>4.9188391539596653E-4</v>
      </c>
      <c r="S967" s="25">
        <v>3.8612887358583377E-2</v>
      </c>
      <c r="T967" s="25">
        <v>0.10895228726020659</v>
      </c>
    </row>
    <row r="968" spans="1:20" x14ac:dyDescent="0.25">
      <c r="A968" s="8" t="s">
        <v>2014</v>
      </c>
      <c r="B968" s="8" t="s">
        <v>2015</v>
      </c>
      <c r="C968" s="8" t="s">
        <v>3540</v>
      </c>
      <c r="D968" s="8">
        <v>557</v>
      </c>
      <c r="E968" s="24">
        <v>0.48473969101905801</v>
      </c>
      <c r="F968" s="24">
        <v>0.51526033878326405</v>
      </c>
      <c r="G968" s="23">
        <v>0</v>
      </c>
      <c r="H968" s="24">
        <v>0.145421907305717</v>
      </c>
      <c r="I968" s="23">
        <v>0</v>
      </c>
      <c r="J968" s="24">
        <v>0.75942552089691095</v>
      </c>
      <c r="K968" s="23">
        <v>5.3859963081777E-3</v>
      </c>
      <c r="L968" s="23">
        <v>7.1813287213444996E-3</v>
      </c>
      <c r="M968" s="23">
        <v>8.2585275173187297E-2</v>
      </c>
      <c r="N968" s="23">
        <v>0</v>
      </c>
      <c r="O968" s="24">
        <v>0.319569110870361</v>
      </c>
      <c r="P968" s="24">
        <v>0.58886891603469804</v>
      </c>
      <c r="Q968" s="24">
        <v>0.94075405597686701</v>
      </c>
      <c r="R968" s="25">
        <v>8.2585278276481155E-2</v>
      </c>
      <c r="S968" s="25">
        <v>1.7953321364452424E-3</v>
      </c>
      <c r="T968" s="25">
        <v>0.24236983842010773</v>
      </c>
    </row>
    <row r="969" spans="1:20" x14ac:dyDescent="0.25">
      <c r="A969" s="8" t="s">
        <v>2017</v>
      </c>
      <c r="B969" s="8" t="s">
        <v>2018</v>
      </c>
      <c r="C969" s="8" t="s">
        <v>3540</v>
      </c>
      <c r="D969" s="8">
        <v>3412</v>
      </c>
      <c r="E969" s="24">
        <v>0.41735053062438898</v>
      </c>
      <c r="F969" s="24">
        <v>0.58264946937561002</v>
      </c>
      <c r="G969" s="23">
        <v>0</v>
      </c>
      <c r="H969" s="24">
        <v>0.37368112802505399</v>
      </c>
      <c r="I969" s="23">
        <v>5.6271981447935097E-2</v>
      </c>
      <c r="J969" s="24">
        <v>0.39683470129966703</v>
      </c>
      <c r="K969" s="23">
        <v>4.6893316321074997E-3</v>
      </c>
      <c r="L969" s="23">
        <v>5.2754981443286003E-3</v>
      </c>
      <c r="M969" s="24">
        <v>0.15679952502250599</v>
      </c>
      <c r="N969" s="23">
        <v>6.4478311687707996E-3</v>
      </c>
      <c r="O969" s="24">
        <v>0.16940210759639701</v>
      </c>
      <c r="P969" s="24">
        <v>0.31389215588569602</v>
      </c>
      <c r="Q969" s="24">
        <v>0.84261429309844904</v>
      </c>
      <c r="R969" s="25">
        <v>0</v>
      </c>
      <c r="S969" s="25">
        <v>6.1840562719812427E-2</v>
      </c>
      <c r="T969" s="25">
        <v>9.583821805392731E-2</v>
      </c>
    </row>
    <row r="970" spans="1:20" x14ac:dyDescent="0.25">
      <c r="A970" s="8" t="s">
        <v>2019</v>
      </c>
      <c r="B970" s="8" t="s">
        <v>2020</v>
      </c>
      <c r="C970" s="8" t="s">
        <v>3540</v>
      </c>
      <c r="D970" s="8">
        <v>335</v>
      </c>
      <c r="E970" s="23">
        <v>0.48955222964286799</v>
      </c>
      <c r="F970" s="24">
        <v>0.51044774055480902</v>
      </c>
      <c r="G970" s="23">
        <v>0</v>
      </c>
      <c r="H970" s="24">
        <v>0.27761194109916598</v>
      </c>
      <c r="I970" s="23">
        <v>0</v>
      </c>
      <c r="J970" s="24">
        <v>0.665671646595001</v>
      </c>
      <c r="K970" s="23">
        <v>2.9850746504962002E-3</v>
      </c>
      <c r="L970" s="23">
        <v>2.9850746504962002E-3</v>
      </c>
      <c r="M970" s="23">
        <v>5.0746269524097401E-2</v>
      </c>
      <c r="N970" s="23">
        <v>0</v>
      </c>
      <c r="O970" s="24">
        <v>0.28059700131416299</v>
      </c>
      <c r="P970" s="24">
        <v>0.40000000596046398</v>
      </c>
      <c r="Q970" s="24">
        <v>0.95223879814147905</v>
      </c>
      <c r="R970" s="25">
        <v>9.5522388059701493E-2</v>
      </c>
      <c r="S970" s="25">
        <v>0</v>
      </c>
      <c r="T970" s="25">
        <v>0.19701492537313434</v>
      </c>
    </row>
    <row r="971" spans="1:20" x14ac:dyDescent="0.25">
      <c r="A971" s="8" t="s">
        <v>2021</v>
      </c>
      <c r="B971" s="8" t="s">
        <v>2022</v>
      </c>
      <c r="C971" s="8" t="s">
        <v>3540</v>
      </c>
      <c r="D971" s="8">
        <v>497</v>
      </c>
      <c r="E971" s="24">
        <v>0.99798792600631703</v>
      </c>
      <c r="F971" s="23">
        <v>2.0120723638684E-3</v>
      </c>
      <c r="G971" s="23">
        <v>0</v>
      </c>
      <c r="H971" s="24">
        <v>0.51307845115661599</v>
      </c>
      <c r="I971" s="23">
        <v>5.4325956851244001E-2</v>
      </c>
      <c r="J971" s="24">
        <v>0.191146880388259</v>
      </c>
      <c r="K971" s="23">
        <v>1.4084506779909099E-2</v>
      </c>
      <c r="L971" s="23">
        <v>3.0181085690856001E-2</v>
      </c>
      <c r="M971" s="24">
        <v>0.197183102369308</v>
      </c>
      <c r="N971" s="23">
        <v>0</v>
      </c>
      <c r="O971" s="24">
        <v>0.15895372629165599</v>
      </c>
      <c r="P971" s="24">
        <v>0.15694165229797299</v>
      </c>
      <c r="Q971" s="23">
        <v>0.86317908763885498</v>
      </c>
      <c r="R971" s="25">
        <v>0</v>
      </c>
      <c r="S971" s="25">
        <v>2.012072434607646E-3</v>
      </c>
      <c r="T971" s="25">
        <v>0.15291750503018109</v>
      </c>
    </row>
    <row r="972" spans="1:20" x14ac:dyDescent="0.25">
      <c r="A972" s="8" t="s">
        <v>2023</v>
      </c>
      <c r="B972" s="8" t="s">
        <v>2024</v>
      </c>
      <c r="C972" s="8" t="s">
        <v>3540</v>
      </c>
      <c r="D972" s="8">
        <v>385</v>
      </c>
      <c r="E972" s="24">
        <v>0.45974025130271901</v>
      </c>
      <c r="F972" s="24">
        <v>0.54025971889495805</v>
      </c>
      <c r="G972" s="23">
        <v>0</v>
      </c>
      <c r="H972" s="24">
        <v>0.32207792997360202</v>
      </c>
      <c r="I972" s="23">
        <v>1.5584415756166E-2</v>
      </c>
      <c r="J972" s="23">
        <v>9.6103899180889102E-2</v>
      </c>
      <c r="K972" s="23">
        <v>1.5584415756166E-2</v>
      </c>
      <c r="L972" s="23">
        <v>0</v>
      </c>
      <c r="M972" s="24">
        <v>0.54805195331573398</v>
      </c>
      <c r="N972" s="23">
        <v>2.5974025484174E-3</v>
      </c>
      <c r="O972" s="24">
        <v>0.207792207598686</v>
      </c>
      <c r="P972" s="23">
        <v>0.28311687707901001</v>
      </c>
      <c r="Q972" s="24">
        <v>0.69870132207870395</v>
      </c>
      <c r="R972" s="25">
        <v>2.5974025974025974E-3</v>
      </c>
      <c r="S972" s="25">
        <v>0</v>
      </c>
      <c r="T972" s="25">
        <v>0.21298701298701297</v>
      </c>
    </row>
    <row r="973" spans="1:20" x14ac:dyDescent="0.25">
      <c r="A973" s="8" t="s">
        <v>2025</v>
      </c>
      <c r="B973" s="8" t="s">
        <v>2026</v>
      </c>
      <c r="C973" s="8" t="s">
        <v>3540</v>
      </c>
      <c r="D973" s="8">
        <v>501</v>
      </c>
      <c r="E973" s="24">
        <v>0.49900200963020303</v>
      </c>
      <c r="F973" s="24">
        <v>0.50099802017211903</v>
      </c>
      <c r="G973" s="23">
        <v>0</v>
      </c>
      <c r="H973" s="24">
        <v>0.38922154903411799</v>
      </c>
      <c r="I973" s="23">
        <v>6.1876248568296398E-2</v>
      </c>
      <c r="J973" s="23">
        <v>5.1896207034587902E-2</v>
      </c>
      <c r="K973" s="23">
        <v>5.58882243931293E-2</v>
      </c>
      <c r="L973" s="23">
        <v>0</v>
      </c>
      <c r="M973" s="24">
        <v>0.441117763519287</v>
      </c>
      <c r="N973" s="23">
        <v>0</v>
      </c>
      <c r="O973" s="23">
        <v>9.1816365718841594E-2</v>
      </c>
      <c r="P973" s="23">
        <v>6.9860279560089097E-2</v>
      </c>
      <c r="Q973" s="23">
        <v>0.371257483959198</v>
      </c>
      <c r="R973" s="25">
        <v>0</v>
      </c>
      <c r="S973" s="25">
        <v>0</v>
      </c>
      <c r="T973" s="25">
        <v>8.9820359281437126E-2</v>
      </c>
    </row>
    <row r="974" spans="1:20" x14ac:dyDescent="0.25">
      <c r="A974" s="8" t="s">
        <v>2027</v>
      </c>
      <c r="B974" s="8" t="s">
        <v>2028</v>
      </c>
      <c r="C974" s="8" t="s">
        <v>3540</v>
      </c>
      <c r="D974" s="8">
        <v>430</v>
      </c>
      <c r="E974" s="24">
        <v>0.467441856861114</v>
      </c>
      <c r="F974" s="24">
        <v>0.53255814313888505</v>
      </c>
      <c r="G974" s="23">
        <v>0</v>
      </c>
      <c r="H974" s="24">
        <v>0.420930236577987</v>
      </c>
      <c r="I974" s="23">
        <v>0</v>
      </c>
      <c r="J974" s="24">
        <v>0.27674418687820401</v>
      </c>
      <c r="K974" s="23">
        <v>1.62790697067976E-2</v>
      </c>
      <c r="L974" s="23">
        <v>1.16279069334269E-2</v>
      </c>
      <c r="M974" s="24">
        <v>0.27441859245300199</v>
      </c>
      <c r="N974" s="23">
        <v>0</v>
      </c>
      <c r="O974" s="24">
        <v>0.19069766998290999</v>
      </c>
      <c r="P974" s="24">
        <v>0.20697674155235199</v>
      </c>
      <c r="Q974" s="24">
        <v>0.82093024253845204</v>
      </c>
      <c r="R974" s="25">
        <v>2.3255813953488372E-2</v>
      </c>
      <c r="S974" s="25">
        <v>0</v>
      </c>
      <c r="T974" s="25">
        <v>0.16511627906976745</v>
      </c>
    </row>
    <row r="975" spans="1:20" x14ac:dyDescent="0.25">
      <c r="A975" s="8" t="s">
        <v>2029</v>
      </c>
      <c r="B975" s="8" t="s">
        <v>2030</v>
      </c>
      <c r="C975" s="8" t="s">
        <v>3540</v>
      </c>
      <c r="D975" s="8">
        <v>442</v>
      </c>
      <c r="E975" s="24">
        <v>0.669683277606964</v>
      </c>
      <c r="F975" s="24">
        <v>0.328054308891296</v>
      </c>
      <c r="G975" s="23">
        <v>2.2624435368924999E-3</v>
      </c>
      <c r="H975" s="23">
        <v>8.37104097008705E-2</v>
      </c>
      <c r="I975" s="23">
        <v>6.7873303778469996E-3</v>
      </c>
      <c r="J975" s="24">
        <v>0.71266967058181696</v>
      </c>
      <c r="K975" s="23">
        <v>1.8099548295140301E-2</v>
      </c>
      <c r="L975" s="23">
        <v>2.2624435368924999E-3</v>
      </c>
      <c r="M975" s="24">
        <v>0.176470592617988</v>
      </c>
      <c r="N975" s="23">
        <v>0</v>
      </c>
      <c r="O975" s="24">
        <v>0.21945701539516399</v>
      </c>
      <c r="P975" s="24">
        <v>0.11990950256586</v>
      </c>
      <c r="Q975" s="24">
        <v>0.76018100976943903</v>
      </c>
      <c r="R975" s="25">
        <v>3.3936651583710405E-2</v>
      </c>
      <c r="S975" s="25">
        <v>0</v>
      </c>
      <c r="T975" s="25">
        <v>0.18099547511312217</v>
      </c>
    </row>
    <row r="976" spans="1:20" x14ac:dyDescent="0.25">
      <c r="A976" s="8" t="s">
        <v>2031</v>
      </c>
      <c r="B976" s="8" t="s">
        <v>2032</v>
      </c>
      <c r="C976" s="8" t="s">
        <v>3540</v>
      </c>
      <c r="D976" s="8">
        <v>269</v>
      </c>
      <c r="E976" s="24">
        <v>0.56877321004867498</v>
      </c>
      <c r="F976" s="24">
        <v>0.43122676014900202</v>
      </c>
      <c r="G976" s="23">
        <v>0</v>
      </c>
      <c r="H976" s="24">
        <v>0.13382899761199901</v>
      </c>
      <c r="I976" s="23">
        <v>1.11524164676666E-2</v>
      </c>
      <c r="J976" s="24">
        <v>0.750929355621337</v>
      </c>
      <c r="K976" s="23">
        <v>1.8587360158562698E-2</v>
      </c>
      <c r="L976" s="23">
        <v>0</v>
      </c>
      <c r="M976" s="23">
        <v>8.5501857101917295E-2</v>
      </c>
      <c r="N976" s="23">
        <v>0</v>
      </c>
      <c r="O976" s="24">
        <v>0.27137547731399497</v>
      </c>
      <c r="P976" s="24">
        <v>0.21933086216449699</v>
      </c>
      <c r="Q976" s="24">
        <v>0.88104087114334095</v>
      </c>
      <c r="R976" s="25">
        <v>8.5501858736059477E-2</v>
      </c>
      <c r="S976" s="25">
        <v>7.4349442379182153E-3</v>
      </c>
      <c r="T976" s="25">
        <v>0.17472118959107807</v>
      </c>
    </row>
    <row r="977" spans="1:20" x14ac:dyDescent="0.25">
      <c r="A977" s="8" t="s">
        <v>2033</v>
      </c>
      <c r="B977" s="8" t="s">
        <v>2034</v>
      </c>
      <c r="C977" s="8" t="s">
        <v>3540</v>
      </c>
      <c r="D977" s="8">
        <v>170</v>
      </c>
      <c r="E977" s="24">
        <v>0.44117647409438998</v>
      </c>
      <c r="F977" s="24">
        <v>0.55882352590560902</v>
      </c>
      <c r="G977" s="23">
        <v>0</v>
      </c>
      <c r="H977" s="24">
        <v>0.25294119119644098</v>
      </c>
      <c r="I977" s="23">
        <v>0</v>
      </c>
      <c r="J977" s="24">
        <v>0.62941175699233998</v>
      </c>
      <c r="K977" s="23">
        <v>1.1764706112444401E-2</v>
      </c>
      <c r="L977" s="23">
        <v>0</v>
      </c>
      <c r="M977" s="23">
        <v>0.105882354080677</v>
      </c>
      <c r="N977" s="23">
        <v>0</v>
      </c>
      <c r="O977" s="24">
        <v>0.24117647111415799</v>
      </c>
      <c r="P977" s="24">
        <v>0.38823530077934199</v>
      </c>
      <c r="Q977" s="24">
        <v>0.94705879688262895</v>
      </c>
      <c r="R977" s="25">
        <v>2.9411764705882353E-2</v>
      </c>
      <c r="S977" s="25">
        <v>0</v>
      </c>
      <c r="T977" s="25">
        <v>0.19411764705882353</v>
      </c>
    </row>
    <row r="978" spans="1:20" x14ac:dyDescent="0.25">
      <c r="A978" s="8" t="s">
        <v>2035</v>
      </c>
      <c r="B978" s="8" t="s">
        <v>2036</v>
      </c>
      <c r="C978" s="8" t="s">
        <v>3540</v>
      </c>
      <c r="D978" s="8">
        <v>496</v>
      </c>
      <c r="E978" s="24">
        <v>0.50604838132858199</v>
      </c>
      <c r="F978" s="24">
        <v>0.49395161867141701</v>
      </c>
      <c r="G978" s="23">
        <v>0</v>
      </c>
      <c r="H978" s="23">
        <v>0.151209682226181</v>
      </c>
      <c r="I978" s="24">
        <v>0.21572580933570801</v>
      </c>
      <c r="J978" s="24">
        <v>0.41935482621192899</v>
      </c>
      <c r="K978" s="23">
        <v>1.41129028052092E-2</v>
      </c>
      <c r="L978" s="23">
        <v>1.0080644860863699E-2</v>
      </c>
      <c r="M978" s="24">
        <v>0.18951612710952701</v>
      </c>
      <c r="N978" s="23">
        <v>0</v>
      </c>
      <c r="O978" s="24">
        <v>0.22983871400356201</v>
      </c>
      <c r="P978" s="23">
        <v>0.223790317773819</v>
      </c>
      <c r="Q978" s="24">
        <v>0.96572577953338601</v>
      </c>
      <c r="R978" s="25">
        <v>3.8306451612903226E-2</v>
      </c>
      <c r="S978" s="25">
        <v>2.0161290322580645E-3</v>
      </c>
      <c r="T978" s="25">
        <v>0.18346774193548387</v>
      </c>
    </row>
    <row r="979" spans="1:20" x14ac:dyDescent="0.25">
      <c r="A979" s="8" t="s">
        <v>2037</v>
      </c>
      <c r="B979" s="8" t="s">
        <v>2038</v>
      </c>
      <c r="C979" s="8" t="s">
        <v>3540</v>
      </c>
      <c r="D979" s="8">
        <v>924</v>
      </c>
      <c r="E979" s="24">
        <v>0.48917749524116499</v>
      </c>
      <c r="F979" s="24">
        <v>0.510822534561157</v>
      </c>
      <c r="G979" s="23">
        <v>0</v>
      </c>
      <c r="H979" s="24">
        <v>0.34307360649108798</v>
      </c>
      <c r="I979" s="23">
        <v>4.76190485060215E-2</v>
      </c>
      <c r="J979" s="24">
        <v>0.335497826337814</v>
      </c>
      <c r="K979" s="23">
        <v>1.5151515603065499E-2</v>
      </c>
      <c r="L979" s="23">
        <v>8.6580086499453007E-3</v>
      </c>
      <c r="M979" s="23">
        <v>0.25</v>
      </c>
      <c r="N979" s="23">
        <v>0</v>
      </c>
      <c r="O979" s="23">
        <v>0.17965367436408999</v>
      </c>
      <c r="P979" s="24">
        <v>0.18073593080043701</v>
      </c>
      <c r="Q979" s="24">
        <v>0.83116883039474398</v>
      </c>
      <c r="R979" s="25">
        <v>5.4112554112554112E-2</v>
      </c>
      <c r="S979" s="25">
        <v>1.0822510822510823E-3</v>
      </c>
      <c r="T979" s="25">
        <v>0.12445887445887446</v>
      </c>
    </row>
    <row r="980" spans="1:20" x14ac:dyDescent="0.25">
      <c r="A980" s="8" t="s">
        <v>2039</v>
      </c>
      <c r="B980" s="8" t="s">
        <v>2040</v>
      </c>
      <c r="C980" s="8" t="s">
        <v>3540</v>
      </c>
      <c r="D980" s="8">
        <v>868</v>
      </c>
      <c r="E980" s="24">
        <v>0.49308755993843001</v>
      </c>
      <c r="F980" s="24">
        <v>0.50691246986389105</v>
      </c>
      <c r="G980" s="23">
        <v>0</v>
      </c>
      <c r="H980" s="24">
        <v>0.252304136753082</v>
      </c>
      <c r="I980" s="23">
        <v>5.8755759149789803E-2</v>
      </c>
      <c r="J980" s="24">
        <v>0.33640551567077598</v>
      </c>
      <c r="K980" s="23">
        <v>4.6082949265837999E-3</v>
      </c>
      <c r="L980" s="23">
        <v>2.3041474632918999E-3</v>
      </c>
      <c r="M980" s="24">
        <v>0.344470053911209</v>
      </c>
      <c r="N980" s="23">
        <v>1.1520737316459001E-3</v>
      </c>
      <c r="O980" s="23">
        <v>0.22235022485256201</v>
      </c>
      <c r="P980" s="24">
        <v>0.30645161867141701</v>
      </c>
      <c r="Q980" s="24">
        <v>0.85944700241088801</v>
      </c>
      <c r="R980" s="25">
        <v>4.4930875576036866E-2</v>
      </c>
      <c r="S980" s="25">
        <v>8.0645161290322578E-3</v>
      </c>
      <c r="T980" s="25">
        <v>0.16589861751152074</v>
      </c>
    </row>
    <row r="981" spans="1:20" x14ac:dyDescent="0.25">
      <c r="A981" s="8" t="s">
        <v>2041</v>
      </c>
      <c r="B981" s="8" t="s">
        <v>2042</v>
      </c>
      <c r="C981" s="8" t="s">
        <v>3540</v>
      </c>
      <c r="D981" s="8">
        <v>896</v>
      </c>
      <c r="E981" s="24">
        <v>0.48995536565780601</v>
      </c>
      <c r="F981" s="24">
        <v>0.51004463434219305</v>
      </c>
      <c r="G981" s="23">
        <v>0</v>
      </c>
      <c r="H981" s="23">
        <v>0.484375</v>
      </c>
      <c r="I981" s="23">
        <v>1.22767854481936E-2</v>
      </c>
      <c r="J981" s="24">
        <v>0.22991071641445099</v>
      </c>
      <c r="K981" s="23">
        <v>1.5625E-2</v>
      </c>
      <c r="L981" s="23">
        <v>8.9285718277097009E-3</v>
      </c>
      <c r="M981" s="24">
        <v>0.248883932828903</v>
      </c>
      <c r="N981" s="23">
        <v>0</v>
      </c>
      <c r="O981" s="24">
        <v>0.178571432828903</v>
      </c>
      <c r="P981" s="24">
        <v>0.25446429848670898</v>
      </c>
      <c r="Q981" s="24">
        <v>0.77455359697341897</v>
      </c>
      <c r="R981" s="25">
        <v>4.4642857142857144E-2</v>
      </c>
      <c r="S981" s="25">
        <v>0</v>
      </c>
      <c r="T981" s="25">
        <v>0.12946428571428573</v>
      </c>
    </row>
    <row r="982" spans="1:20" x14ac:dyDescent="0.25">
      <c r="A982" s="8" t="s">
        <v>2043</v>
      </c>
      <c r="B982" s="8" t="s">
        <v>2044</v>
      </c>
      <c r="C982" s="8" t="s">
        <v>3540</v>
      </c>
      <c r="D982" s="8">
        <v>1440</v>
      </c>
      <c r="E982" s="24">
        <v>0.52152776718139604</v>
      </c>
      <c r="F982" s="24">
        <v>0.47847223281860302</v>
      </c>
      <c r="G982" s="23">
        <v>0</v>
      </c>
      <c r="H982" s="24">
        <v>0.352777779102325</v>
      </c>
      <c r="I982" s="23">
        <v>2.3611111566424401E-2</v>
      </c>
      <c r="J982" s="23">
        <v>9.375E-2</v>
      </c>
      <c r="K982" s="23">
        <v>1.5972223132848701E-2</v>
      </c>
      <c r="L982" s="23">
        <v>4.1666668839753004E-3</v>
      </c>
      <c r="M982" s="24">
        <v>0.50277775526046697</v>
      </c>
      <c r="N982" s="23">
        <v>6.9444444961845996E-3</v>
      </c>
      <c r="O982" s="24">
        <v>0.103472225368022</v>
      </c>
      <c r="P982" s="23">
        <v>2.5694444775581401E-2</v>
      </c>
      <c r="Q982" s="24">
        <v>0.60833334922790505</v>
      </c>
      <c r="R982" s="25">
        <v>2.0833333333333333E-3</v>
      </c>
      <c r="S982" s="25">
        <v>1.1111111111111112E-2</v>
      </c>
      <c r="T982" s="25">
        <v>9.166666666666666E-2</v>
      </c>
    </row>
    <row r="983" spans="1:20" x14ac:dyDescent="0.25">
      <c r="A983" s="8" t="s">
        <v>2045</v>
      </c>
      <c r="B983" s="8" t="s">
        <v>2046</v>
      </c>
      <c r="C983" s="8" t="s">
        <v>3540</v>
      </c>
      <c r="D983" s="8">
        <v>855</v>
      </c>
      <c r="E983" s="24">
        <v>0.50643277168273904</v>
      </c>
      <c r="F983" s="24">
        <v>0.49356725811958302</v>
      </c>
      <c r="G983" s="23">
        <v>0</v>
      </c>
      <c r="H983" s="24">
        <v>0.46315789222717202</v>
      </c>
      <c r="I983" s="23">
        <v>3.9766080677509301E-2</v>
      </c>
      <c r="J983" s="24">
        <v>0.18596491217613201</v>
      </c>
      <c r="K983" s="23">
        <v>9.3567250296474006E-3</v>
      </c>
      <c r="L983" s="23">
        <v>1.16959065198898E-2</v>
      </c>
      <c r="M983" s="24">
        <v>0.290058493614196</v>
      </c>
      <c r="N983" s="23">
        <v>0</v>
      </c>
      <c r="O983" s="24">
        <v>0.126315787434577</v>
      </c>
      <c r="P983" s="24">
        <v>0.32865497469902</v>
      </c>
      <c r="Q983" s="24">
        <v>0.86783623695373502</v>
      </c>
      <c r="R983" s="25">
        <v>4.0935672514619881E-2</v>
      </c>
      <c r="S983" s="25">
        <v>0</v>
      </c>
      <c r="T983" s="25">
        <v>7.6023391812865493E-2</v>
      </c>
    </row>
    <row r="984" spans="1:20" x14ac:dyDescent="0.25">
      <c r="A984" s="8" t="s">
        <v>2047</v>
      </c>
      <c r="B984" s="8" t="s">
        <v>2048</v>
      </c>
      <c r="C984" s="8" t="s">
        <v>3540</v>
      </c>
      <c r="D984" s="8">
        <v>584</v>
      </c>
      <c r="E984" s="24">
        <v>0.47773972153663602</v>
      </c>
      <c r="F984" s="24">
        <v>0.52226024866104104</v>
      </c>
      <c r="G984" s="23">
        <v>0</v>
      </c>
      <c r="H984" s="23">
        <v>7.02054798603058E-2</v>
      </c>
      <c r="I984" s="23">
        <v>2.3972602561116201E-2</v>
      </c>
      <c r="J984" s="23">
        <v>4.1095890104770702E-2</v>
      </c>
      <c r="K984" s="23">
        <v>1.02739725261927E-2</v>
      </c>
      <c r="L984" s="23">
        <v>3.4246575087309001E-3</v>
      </c>
      <c r="M984" s="24">
        <v>0.85102736949920599</v>
      </c>
      <c r="N984" s="23">
        <v>0</v>
      </c>
      <c r="O984" s="24">
        <v>0.18321917951107</v>
      </c>
      <c r="P984" s="24">
        <v>0.210616439580917</v>
      </c>
      <c r="Q984" s="24">
        <v>0.65068495273589999</v>
      </c>
      <c r="R984" s="25">
        <v>4.965753424657534E-2</v>
      </c>
      <c r="S984" s="25">
        <v>6.8493150684931503E-3</v>
      </c>
      <c r="T984" s="25">
        <v>0.11815068493150685</v>
      </c>
    </row>
    <row r="985" spans="1:20" x14ac:dyDescent="0.25">
      <c r="A985" s="8" t="s">
        <v>2049</v>
      </c>
      <c r="B985" s="8" t="s">
        <v>2050</v>
      </c>
      <c r="C985" s="8" t="s">
        <v>3540</v>
      </c>
      <c r="D985" s="8">
        <v>1117</v>
      </c>
      <c r="E985" s="23">
        <v>0.49328559637069702</v>
      </c>
      <c r="F985" s="23">
        <v>0.50671440362930298</v>
      </c>
      <c r="G985" s="23">
        <v>0</v>
      </c>
      <c r="H985" s="24">
        <v>0.55595344305038397</v>
      </c>
      <c r="I985" s="23">
        <v>8.9525515213609002E-3</v>
      </c>
      <c r="J985" s="24">
        <v>0.16293643414974199</v>
      </c>
      <c r="K985" s="23">
        <v>9.8478067666292E-3</v>
      </c>
      <c r="L985" s="23">
        <v>8.0572962760924998E-3</v>
      </c>
      <c r="M985" s="24">
        <v>0.25425246357917702</v>
      </c>
      <c r="N985" s="23">
        <v>0</v>
      </c>
      <c r="O985" s="24">
        <v>0.18621307611465401</v>
      </c>
      <c r="P985" s="24">
        <v>0.18710832297801899</v>
      </c>
      <c r="Q985" s="24">
        <v>0.77708148956298795</v>
      </c>
      <c r="R985" s="25">
        <v>3.312444046553268E-2</v>
      </c>
      <c r="S985" s="25">
        <v>8.9525514771709937E-4</v>
      </c>
      <c r="T985" s="25">
        <v>0.16114592658907789</v>
      </c>
    </row>
    <row r="986" spans="1:20" x14ac:dyDescent="0.25">
      <c r="A986" s="8" t="s">
        <v>2051</v>
      </c>
      <c r="B986" s="8" t="s">
        <v>2052</v>
      </c>
      <c r="C986" s="8" t="s">
        <v>3540</v>
      </c>
      <c r="D986" s="8">
        <v>306</v>
      </c>
      <c r="E986" s="23">
        <v>0.46405228972434998</v>
      </c>
      <c r="F986" s="24">
        <v>0.53594774007797197</v>
      </c>
      <c r="G986" s="23">
        <v>0</v>
      </c>
      <c r="H986" s="24">
        <v>0.248366013169288</v>
      </c>
      <c r="I986" s="23">
        <v>4.5751634985208497E-2</v>
      </c>
      <c r="J986" s="24">
        <v>0.34640523791313099</v>
      </c>
      <c r="K986" s="23">
        <v>2.9411764815449701E-2</v>
      </c>
      <c r="L986" s="23">
        <v>9.8039219155907995E-3</v>
      </c>
      <c r="M986" s="24">
        <v>0.32026144862174899</v>
      </c>
      <c r="N986" s="23">
        <v>0</v>
      </c>
      <c r="O986" s="24">
        <v>0.26143792271614003</v>
      </c>
      <c r="P986" s="24">
        <v>0.323529422283172</v>
      </c>
      <c r="Q986" s="24">
        <v>0.80392158031463601</v>
      </c>
      <c r="R986" s="25">
        <v>0</v>
      </c>
      <c r="S986" s="25">
        <v>0</v>
      </c>
      <c r="T986" s="25">
        <v>0.27777777777777779</v>
      </c>
    </row>
    <row r="987" spans="1:20" x14ac:dyDescent="0.25">
      <c r="A987" s="8" t="s">
        <v>2053</v>
      </c>
      <c r="B987" s="8" t="s">
        <v>2054</v>
      </c>
      <c r="C987" s="8" t="s">
        <v>3540</v>
      </c>
      <c r="D987" s="8">
        <v>442</v>
      </c>
      <c r="E987" s="24">
        <v>0.45248869061469998</v>
      </c>
      <c r="F987" s="24">
        <v>0.54751133918762196</v>
      </c>
      <c r="G987" s="23">
        <v>0</v>
      </c>
      <c r="H987" s="24">
        <v>0.29864254593849099</v>
      </c>
      <c r="I987" s="23">
        <v>3.3936653286218602E-2</v>
      </c>
      <c r="J987" s="24">
        <v>0.22171945869922599</v>
      </c>
      <c r="K987" s="23">
        <v>1.5837104991078401E-2</v>
      </c>
      <c r="L987" s="23">
        <v>1.1312217451632E-2</v>
      </c>
      <c r="M987" s="23">
        <v>0.41855204105377197</v>
      </c>
      <c r="N987" s="23">
        <v>0</v>
      </c>
      <c r="O987" s="24">
        <v>0.20361991226673101</v>
      </c>
      <c r="P987" s="23">
        <v>0.43891403079032898</v>
      </c>
      <c r="Q987" s="24">
        <v>0.89819002151489202</v>
      </c>
      <c r="R987" s="25">
        <v>7.0135746606334842E-2</v>
      </c>
      <c r="S987" s="25">
        <v>2.2624434389140274E-3</v>
      </c>
      <c r="T987" s="25">
        <v>0.12895927601809956</v>
      </c>
    </row>
    <row r="988" spans="1:20" x14ac:dyDescent="0.25">
      <c r="A988" s="8" t="s">
        <v>2055</v>
      </c>
      <c r="B988" s="8" t="s">
        <v>2056</v>
      </c>
      <c r="C988" s="8" t="s">
        <v>3540</v>
      </c>
      <c r="D988" s="8">
        <v>511</v>
      </c>
      <c r="E988" s="24">
        <v>0.50880628824233998</v>
      </c>
      <c r="F988" s="24">
        <v>0.49119374155998202</v>
      </c>
      <c r="G988" s="23">
        <v>0</v>
      </c>
      <c r="H988" s="24">
        <v>0.24266144633293099</v>
      </c>
      <c r="I988" s="23">
        <v>2.5440312922000899E-2</v>
      </c>
      <c r="J988" s="24">
        <v>0.30136987566947898</v>
      </c>
      <c r="K988" s="23">
        <v>1.56555771827698E-2</v>
      </c>
      <c r="L988" s="23">
        <v>2.15264186263084E-2</v>
      </c>
      <c r="M988" s="23">
        <v>0.39334636926651001</v>
      </c>
      <c r="N988" s="23">
        <v>0</v>
      </c>
      <c r="O988" s="24">
        <v>0.19373777508735601</v>
      </c>
      <c r="P988" s="24">
        <v>0.35029354691505399</v>
      </c>
      <c r="Q988" s="24">
        <v>0.89823871850967396</v>
      </c>
      <c r="R988" s="25">
        <v>5.4794520547945202E-2</v>
      </c>
      <c r="S988" s="25">
        <v>1.3698630136986301E-2</v>
      </c>
      <c r="T988" s="25">
        <v>0.11350293542074363</v>
      </c>
    </row>
    <row r="989" spans="1:20" x14ac:dyDescent="0.25">
      <c r="A989" s="8" t="s">
        <v>2057</v>
      </c>
      <c r="B989" s="8" t="s">
        <v>2058</v>
      </c>
      <c r="C989" s="8" t="s">
        <v>3540</v>
      </c>
      <c r="D989" s="8">
        <v>896</v>
      </c>
      <c r="E989" s="23">
        <v>0.46875</v>
      </c>
      <c r="F989" s="23">
        <v>0.53125</v>
      </c>
      <c r="G989" s="23">
        <v>0</v>
      </c>
      <c r="H989" s="23">
        <v>0.2890625</v>
      </c>
      <c r="I989" s="23">
        <v>2.1205356344580699E-2</v>
      </c>
      <c r="J989" s="24">
        <v>0.28013393282890298</v>
      </c>
      <c r="K989" s="23">
        <v>7.8125E-3</v>
      </c>
      <c r="L989" s="23">
        <v>4.4642859138548001E-3</v>
      </c>
      <c r="M989" s="24">
        <v>0.39732143282890298</v>
      </c>
      <c r="N989" s="23">
        <v>0</v>
      </c>
      <c r="O989" s="24">
        <v>0.202008932828903</v>
      </c>
      <c r="P989" s="24">
        <v>0.33705356717109602</v>
      </c>
      <c r="Q989" s="24">
        <v>0.89285713434219305</v>
      </c>
      <c r="R989" s="25">
        <v>6.5848214285714288E-2</v>
      </c>
      <c r="S989" s="25">
        <v>1.1160714285714285E-3</v>
      </c>
      <c r="T989" s="25">
        <v>0.12946428571428573</v>
      </c>
    </row>
    <row r="990" spans="1:20" x14ac:dyDescent="0.25">
      <c r="A990" s="8" t="s">
        <v>2059</v>
      </c>
      <c r="B990" s="8" t="s">
        <v>2060</v>
      </c>
      <c r="C990" s="8" t="s">
        <v>3540</v>
      </c>
      <c r="D990" s="8">
        <v>233</v>
      </c>
      <c r="E990" s="24">
        <v>0.39914163947105402</v>
      </c>
      <c r="F990" s="24">
        <v>0.60085839033126798</v>
      </c>
      <c r="G990" s="23">
        <v>0</v>
      </c>
      <c r="H990" s="23">
        <v>4.7210302203893703E-2</v>
      </c>
      <c r="I990" s="24">
        <v>0.53218883275985696</v>
      </c>
      <c r="J990" s="24">
        <v>0.317596554756164</v>
      </c>
      <c r="K990" s="23">
        <v>8.5836909711361001E-3</v>
      </c>
      <c r="L990" s="23">
        <v>8.5836909711361001E-3</v>
      </c>
      <c r="M990" s="23">
        <v>8.5836909711360904E-2</v>
      </c>
      <c r="N990" s="23">
        <v>0</v>
      </c>
      <c r="O990" s="24">
        <v>0.31330472230911199</v>
      </c>
      <c r="P990" s="24">
        <v>0.10300429165363301</v>
      </c>
      <c r="Q990" s="24">
        <v>0.96566522121429399</v>
      </c>
      <c r="R990" s="25">
        <v>0.18454935622317598</v>
      </c>
      <c r="S990" s="25">
        <v>0</v>
      </c>
      <c r="T990" s="25">
        <v>0.11158798283261803</v>
      </c>
    </row>
    <row r="991" spans="1:20" x14ac:dyDescent="0.25">
      <c r="A991" s="8" t="s">
        <v>2061</v>
      </c>
      <c r="B991" s="8" t="s">
        <v>2062</v>
      </c>
      <c r="C991" s="8" t="s">
        <v>3540</v>
      </c>
      <c r="D991" s="8">
        <v>520</v>
      </c>
      <c r="E991" s="24">
        <v>0.47884616255760099</v>
      </c>
      <c r="F991" s="24">
        <v>0.52115386724472001</v>
      </c>
      <c r="G991" s="23">
        <v>0</v>
      </c>
      <c r="H991" s="24">
        <v>0.21538461744785301</v>
      </c>
      <c r="I991" s="23">
        <v>7.6923079788684803E-2</v>
      </c>
      <c r="J991" s="24">
        <v>0.201923072338104</v>
      </c>
      <c r="K991" s="23">
        <v>2.6923077180981601E-2</v>
      </c>
      <c r="L991" s="23">
        <v>7.6923076994717E-3</v>
      </c>
      <c r="M991" s="24">
        <v>0.471153855323791</v>
      </c>
      <c r="N991" s="23">
        <v>0</v>
      </c>
      <c r="O991" s="24">
        <v>0.24615384638309401</v>
      </c>
      <c r="P991" s="24">
        <v>0.33076924085616999</v>
      </c>
      <c r="Q991" s="24">
        <v>0.88076925277709905</v>
      </c>
      <c r="R991" s="25">
        <v>8.461538461538462E-2</v>
      </c>
      <c r="S991" s="25">
        <v>0.05</v>
      </c>
      <c r="T991" s="25">
        <v>0.11346153846153846</v>
      </c>
    </row>
    <row r="992" spans="1:20" x14ac:dyDescent="0.25">
      <c r="A992" s="8" t="s">
        <v>2063</v>
      </c>
      <c r="B992" s="8" t="s">
        <v>2064</v>
      </c>
      <c r="C992" s="8" t="s">
        <v>3540</v>
      </c>
      <c r="D992" s="8">
        <v>709</v>
      </c>
      <c r="E992" s="24">
        <v>0.45980253815650901</v>
      </c>
      <c r="F992" s="24">
        <v>0.54019743204116799</v>
      </c>
      <c r="G992" s="23">
        <v>0</v>
      </c>
      <c r="H992" s="24">
        <v>0.26657262444496099</v>
      </c>
      <c r="I992" s="23">
        <v>2.3977432399988199E-2</v>
      </c>
      <c r="J992" s="24">
        <v>0.210155144333839</v>
      </c>
      <c r="K992" s="23">
        <v>9.8730605095624993E-3</v>
      </c>
      <c r="L992" s="23">
        <v>4.2313118465245004E-3</v>
      </c>
      <c r="M992" s="24">
        <v>0.48519042134284901</v>
      </c>
      <c r="N992" s="23">
        <v>0</v>
      </c>
      <c r="O992" s="24">
        <v>0.194640338420867</v>
      </c>
      <c r="P992" s="24">
        <v>0.31734839081764199</v>
      </c>
      <c r="Q992" s="24">
        <v>0.78279268741607599</v>
      </c>
      <c r="R992" s="25">
        <v>6.7700987306064886E-2</v>
      </c>
      <c r="S992" s="25">
        <v>0</v>
      </c>
      <c r="T992" s="25">
        <v>0.13399153737658676</v>
      </c>
    </row>
    <row r="993" spans="1:20" x14ac:dyDescent="0.25">
      <c r="A993" s="8" t="s">
        <v>2065</v>
      </c>
      <c r="B993" s="8" t="s">
        <v>2066</v>
      </c>
      <c r="C993" s="8" t="s">
        <v>3540</v>
      </c>
      <c r="D993" s="8">
        <v>572</v>
      </c>
      <c r="E993" s="24">
        <v>0.48426574468612599</v>
      </c>
      <c r="F993" s="24">
        <v>0.51573425531387296</v>
      </c>
      <c r="G993" s="23">
        <v>0</v>
      </c>
      <c r="H993" s="24">
        <v>0.25699299573898299</v>
      </c>
      <c r="I993" s="23">
        <v>9.2657342553138705E-2</v>
      </c>
      <c r="J993" s="24">
        <v>0.40209791064262301</v>
      </c>
      <c r="K993" s="23">
        <v>1.2237762100994601E-2</v>
      </c>
      <c r="L993" s="23">
        <v>6.9930069148540002E-3</v>
      </c>
      <c r="M993" s="24">
        <v>0.22902098298072801</v>
      </c>
      <c r="N993" s="23">
        <v>0</v>
      </c>
      <c r="O993" s="24">
        <v>0.26748251914978</v>
      </c>
      <c r="P993" s="24">
        <v>0.31993007659912098</v>
      </c>
      <c r="Q993" s="24">
        <v>0.85664337873458796</v>
      </c>
      <c r="R993" s="25">
        <v>0.10139860139860139</v>
      </c>
      <c r="S993" s="25">
        <v>3.4965034965034965E-3</v>
      </c>
      <c r="T993" s="25">
        <v>0.17132867132867133</v>
      </c>
    </row>
    <row r="994" spans="1:20" x14ac:dyDescent="0.25">
      <c r="A994" s="8" t="s">
        <v>2067</v>
      </c>
      <c r="B994" s="8" t="s">
        <v>2068</v>
      </c>
      <c r="C994" s="8" t="s">
        <v>3540</v>
      </c>
      <c r="D994" s="8">
        <v>691</v>
      </c>
      <c r="E994" s="24">
        <v>0.46888566017150801</v>
      </c>
      <c r="F994" s="24">
        <v>0.53111433982849099</v>
      </c>
      <c r="G994" s="23">
        <v>0</v>
      </c>
      <c r="H994" s="23">
        <v>0.29956585168838501</v>
      </c>
      <c r="I994" s="23">
        <v>1.4471779577434099E-2</v>
      </c>
      <c r="J994" s="24">
        <v>0.23589001595973899</v>
      </c>
      <c r="K994" s="23">
        <v>8.6830677464603996E-3</v>
      </c>
      <c r="L994" s="23">
        <v>8.6830677464603996E-3</v>
      </c>
      <c r="M994" s="24">
        <v>0.43270623683929399</v>
      </c>
      <c r="N994" s="23">
        <v>0</v>
      </c>
      <c r="O994" s="24">
        <v>0.15774239599704701</v>
      </c>
      <c r="P994" s="24">
        <v>0.20839363336563099</v>
      </c>
      <c r="Q994" s="23">
        <v>0.77134585380554199</v>
      </c>
      <c r="R994" s="25">
        <v>4.3415340086830678E-2</v>
      </c>
      <c r="S994" s="25">
        <v>0</v>
      </c>
      <c r="T994" s="25">
        <v>0.11432706222865413</v>
      </c>
    </row>
    <row r="995" spans="1:20" x14ac:dyDescent="0.25">
      <c r="A995" s="8" t="s">
        <v>2069</v>
      </c>
      <c r="B995" s="8" t="s">
        <v>2070</v>
      </c>
      <c r="C995" s="8" t="s">
        <v>3540</v>
      </c>
      <c r="D995" s="8">
        <v>718</v>
      </c>
      <c r="E995" s="24">
        <v>0.50696378946304299</v>
      </c>
      <c r="F995" s="24">
        <v>0.49303621053695601</v>
      </c>
      <c r="G995" s="23">
        <v>0</v>
      </c>
      <c r="H995" s="23">
        <v>0.28551530838012701</v>
      </c>
      <c r="I995" s="23">
        <v>4.0389973670244203E-2</v>
      </c>
      <c r="J995" s="24">
        <v>0.189415037631988</v>
      </c>
      <c r="K995" s="23">
        <v>5.5710305459797001E-3</v>
      </c>
      <c r="L995" s="23">
        <v>8.3565460518002996E-3</v>
      </c>
      <c r="M995" s="23">
        <v>0.47075209021568298</v>
      </c>
      <c r="N995" s="23">
        <v>0</v>
      </c>
      <c r="O995" s="24">
        <v>0.17688022553920699</v>
      </c>
      <c r="P995" s="24">
        <v>0.35793870687484702</v>
      </c>
      <c r="Q995" s="24">
        <v>0.82451254129409701</v>
      </c>
      <c r="R995" s="25">
        <v>2.6462395543175487E-2</v>
      </c>
      <c r="S995" s="25">
        <v>0</v>
      </c>
      <c r="T995" s="25">
        <v>0.13649025069637882</v>
      </c>
    </row>
    <row r="996" spans="1:20" x14ac:dyDescent="0.25">
      <c r="A996" s="8" t="s">
        <v>2071</v>
      </c>
      <c r="B996" s="8" t="s">
        <v>2072</v>
      </c>
      <c r="C996" s="8" t="s">
        <v>3540</v>
      </c>
      <c r="D996" s="8">
        <v>1057</v>
      </c>
      <c r="E996" s="24">
        <v>0.47776725888252197</v>
      </c>
      <c r="F996" s="23">
        <v>0.52223271131515503</v>
      </c>
      <c r="G996" s="23">
        <v>0</v>
      </c>
      <c r="H996" s="24">
        <v>0.17786186933517401</v>
      </c>
      <c r="I996" s="23">
        <v>1.89214758574963E-2</v>
      </c>
      <c r="J996" s="24">
        <v>0.24408704042434601</v>
      </c>
      <c r="K996" s="23">
        <v>6.6225165501237002E-3</v>
      </c>
      <c r="L996" s="23">
        <v>8.5146641358733004E-3</v>
      </c>
      <c r="M996" s="24">
        <v>0.543046355247497</v>
      </c>
      <c r="N996" s="23">
        <v>9.4607379287479996E-4</v>
      </c>
      <c r="O996" s="24">
        <v>0.14853358268737701</v>
      </c>
      <c r="P996" s="24">
        <v>0.43897825479507402</v>
      </c>
      <c r="Q996" s="24">
        <v>0.89120149612426702</v>
      </c>
      <c r="R996" s="25">
        <v>3.8789025543992432E-2</v>
      </c>
      <c r="S996" s="25">
        <v>3.7842951750236518E-3</v>
      </c>
      <c r="T996" s="25">
        <v>0.10785241248817408</v>
      </c>
    </row>
    <row r="997" spans="1:20" x14ac:dyDescent="0.25">
      <c r="A997" s="8" t="s">
        <v>2073</v>
      </c>
      <c r="B997" s="8" t="s">
        <v>2074</v>
      </c>
      <c r="C997" s="8" t="s">
        <v>3540</v>
      </c>
      <c r="D997" s="8">
        <v>888</v>
      </c>
      <c r="E997" s="24">
        <v>0.50112611055374101</v>
      </c>
      <c r="F997" s="24">
        <v>0.49887385964393599</v>
      </c>
      <c r="G997" s="23">
        <v>0</v>
      </c>
      <c r="H997" s="24">
        <v>0.28378379344940102</v>
      </c>
      <c r="I997" s="23">
        <v>1.4639639295637601E-2</v>
      </c>
      <c r="J997" s="24">
        <v>0.337837845087051</v>
      </c>
      <c r="K997" s="23">
        <v>6.7567569203675001E-3</v>
      </c>
      <c r="L997" s="23">
        <v>1.1261261068284499E-2</v>
      </c>
      <c r="M997" s="24">
        <v>0.34572070837020802</v>
      </c>
      <c r="N997" s="23">
        <v>0</v>
      </c>
      <c r="O997" s="24">
        <v>0.18243242800235701</v>
      </c>
      <c r="P997" s="24">
        <v>0.27027025818824701</v>
      </c>
      <c r="Q997" s="23">
        <v>0.85247749090194702</v>
      </c>
      <c r="R997" s="25">
        <v>8.5585585585585586E-2</v>
      </c>
      <c r="S997" s="25">
        <v>4.5045045045045045E-3</v>
      </c>
      <c r="T997" s="25">
        <v>8.6711711711711714E-2</v>
      </c>
    </row>
    <row r="998" spans="1:20" x14ac:dyDescent="0.25">
      <c r="A998" s="8" t="s">
        <v>2075</v>
      </c>
      <c r="B998" s="8" t="s">
        <v>2076</v>
      </c>
      <c r="C998" s="8" t="s">
        <v>3540</v>
      </c>
      <c r="D998" s="8">
        <v>1559</v>
      </c>
      <c r="E998" s="24">
        <v>0.48492622375488198</v>
      </c>
      <c r="F998" s="24">
        <v>0.51507377624511697</v>
      </c>
      <c r="G998" s="23">
        <v>0</v>
      </c>
      <c r="H998" s="24">
        <v>0.28608080744743303</v>
      </c>
      <c r="I998" s="23">
        <v>1.86016671359539E-2</v>
      </c>
      <c r="J998" s="24">
        <v>0.232841566205024</v>
      </c>
      <c r="K998" s="23">
        <v>1.7318794503808001E-2</v>
      </c>
      <c r="L998" s="23">
        <v>3.2071841415017999E-3</v>
      </c>
      <c r="M998" s="24">
        <v>0.441949963569641</v>
      </c>
      <c r="N998" s="23">
        <v>0</v>
      </c>
      <c r="O998" s="24">
        <v>0.14688903093337999</v>
      </c>
      <c r="P998" s="24">
        <v>0.13662603497505099</v>
      </c>
      <c r="Q998" s="24">
        <v>0.77036559581756503</v>
      </c>
      <c r="R998" s="25">
        <v>3.463758819756254E-2</v>
      </c>
      <c r="S998" s="25">
        <v>2.5657472738935213E-3</v>
      </c>
      <c r="T998" s="25">
        <v>0.10711994868505452</v>
      </c>
    </row>
    <row r="999" spans="1:20" x14ac:dyDescent="0.25">
      <c r="A999" s="8" t="s">
        <v>2077</v>
      </c>
      <c r="B999" s="8" t="s">
        <v>2078</v>
      </c>
      <c r="C999" s="8" t="s">
        <v>3540</v>
      </c>
      <c r="D999" s="8">
        <v>551</v>
      </c>
      <c r="E999" s="24">
        <v>0.50816696882247903</v>
      </c>
      <c r="F999" s="24">
        <v>0.49183303117751997</v>
      </c>
      <c r="G999" s="23">
        <v>0</v>
      </c>
      <c r="H999" s="24">
        <v>0.25952813029289201</v>
      </c>
      <c r="I999" s="23">
        <v>1.9963702186942101E-2</v>
      </c>
      <c r="J999" s="24">
        <v>0.42649728059768599</v>
      </c>
      <c r="K999" s="23">
        <v>9.0744104236364E-3</v>
      </c>
      <c r="L999" s="23">
        <v>1.8148820381612E-3</v>
      </c>
      <c r="M999" s="24">
        <v>0.28312158584594699</v>
      </c>
      <c r="N999" s="23">
        <v>0</v>
      </c>
      <c r="O999" s="24">
        <v>0.20689655840396801</v>
      </c>
      <c r="P999" s="24">
        <v>0.41197821497917098</v>
      </c>
      <c r="Q999" s="24">
        <v>0.93103450536727905</v>
      </c>
      <c r="R999" s="25">
        <v>6.3520871143375679E-2</v>
      </c>
      <c r="S999" s="25">
        <v>1.0889292196007259E-2</v>
      </c>
      <c r="T999" s="25">
        <v>0.10707803992740472</v>
      </c>
    </row>
    <row r="1000" spans="1:20" x14ac:dyDescent="0.25">
      <c r="A1000" s="8" t="s">
        <v>2079</v>
      </c>
      <c r="B1000" s="8" t="s">
        <v>2080</v>
      </c>
      <c r="C1000" s="8" t="s">
        <v>3540</v>
      </c>
      <c r="D1000" s="8">
        <v>1290</v>
      </c>
      <c r="E1000" s="24">
        <v>0.55813956260681097</v>
      </c>
      <c r="F1000" s="24">
        <v>0.44108527898788402</v>
      </c>
      <c r="G1000" s="23">
        <v>7.7519379556180001E-4</v>
      </c>
      <c r="H1000" s="24">
        <v>0.38139533996581998</v>
      </c>
      <c r="I1000" s="23">
        <v>7.6744183897972107E-2</v>
      </c>
      <c r="J1000" s="23">
        <v>9.5348834991455106E-2</v>
      </c>
      <c r="K1000" s="23">
        <v>5.81395365297794E-2</v>
      </c>
      <c r="L1000" s="23">
        <v>1.5503875911236E-3</v>
      </c>
      <c r="M1000" s="24">
        <v>0.38527131080627403</v>
      </c>
      <c r="N1000" s="23">
        <v>1.5503875911236E-3</v>
      </c>
      <c r="O1000" s="24">
        <v>0.10930232703685699</v>
      </c>
      <c r="P1000" s="23">
        <v>1.00775193423033E-2</v>
      </c>
      <c r="Q1000" s="24">
        <v>0.42945736646652199</v>
      </c>
      <c r="R1000" s="25">
        <v>0</v>
      </c>
      <c r="S1000" s="25">
        <v>1.7829457364341085E-2</v>
      </c>
      <c r="T1000" s="25">
        <v>9.1472868217054262E-2</v>
      </c>
    </row>
    <row r="1001" spans="1:20" x14ac:dyDescent="0.25">
      <c r="A1001" s="8" t="s">
        <v>2081</v>
      </c>
      <c r="B1001" s="8" t="s">
        <v>2082</v>
      </c>
      <c r="C1001" s="8" t="s">
        <v>3540</v>
      </c>
      <c r="D1001" s="8">
        <v>964</v>
      </c>
      <c r="E1001" s="24">
        <v>0.46369293332099898</v>
      </c>
      <c r="F1001" s="24">
        <v>0.53630703687667802</v>
      </c>
      <c r="G1001" s="23">
        <v>0</v>
      </c>
      <c r="H1001" s="24">
        <v>0.32883816957473699</v>
      </c>
      <c r="I1001" s="23">
        <v>1.1410788632929301E-2</v>
      </c>
      <c r="J1001" s="24">
        <v>0.25311204791068997</v>
      </c>
      <c r="K1001" s="23">
        <v>1.6597511246800398E-2</v>
      </c>
      <c r="L1001" s="23">
        <v>6.2240664847195001E-3</v>
      </c>
      <c r="M1001" s="24">
        <v>0.38381743431091297</v>
      </c>
      <c r="N1001" s="23">
        <v>0</v>
      </c>
      <c r="O1001" s="24">
        <v>0.16597510874271301</v>
      </c>
      <c r="P1001" s="23">
        <v>0.26037344336509699</v>
      </c>
      <c r="Q1001" s="24">
        <v>0.90663897991180398</v>
      </c>
      <c r="R1001" s="25">
        <v>5.9128630705394189E-2</v>
      </c>
      <c r="S1001" s="25">
        <v>0</v>
      </c>
      <c r="T1001" s="25">
        <v>9.9585062240663894E-2</v>
      </c>
    </row>
    <row r="1002" spans="1:20" x14ac:dyDescent="0.25">
      <c r="A1002" s="8" t="s">
        <v>2083</v>
      </c>
      <c r="B1002" s="8" t="s">
        <v>2084</v>
      </c>
      <c r="C1002" s="8" t="s">
        <v>3540</v>
      </c>
      <c r="D1002" s="8">
        <v>1203</v>
      </c>
      <c r="E1002" s="24">
        <v>0.48462179303169201</v>
      </c>
      <c r="F1002" s="24">
        <v>0.51537823677062899</v>
      </c>
      <c r="G1002" s="23">
        <v>0</v>
      </c>
      <c r="H1002" s="24">
        <v>0.401496261358261</v>
      </c>
      <c r="I1002" s="23">
        <v>6.4837902784347506E-2</v>
      </c>
      <c r="J1002" s="24">
        <v>0.27348294854164101</v>
      </c>
      <c r="K1002" s="23">
        <v>9.9750626832247006E-3</v>
      </c>
      <c r="L1002" s="23">
        <v>4.9875313416123E-3</v>
      </c>
      <c r="M1002" s="24">
        <v>0.24522028863430001</v>
      </c>
      <c r="N1002" s="23">
        <v>0</v>
      </c>
      <c r="O1002" s="24">
        <v>0.18952618539333299</v>
      </c>
      <c r="P1002" s="24">
        <v>0.26517039537429798</v>
      </c>
      <c r="Q1002" s="24">
        <v>0.84039902687072698</v>
      </c>
      <c r="R1002" s="25">
        <v>5.8187863674147966E-2</v>
      </c>
      <c r="S1002" s="25">
        <v>2.4937655860349127E-3</v>
      </c>
      <c r="T1002" s="25">
        <v>0.12967581047381546</v>
      </c>
    </row>
    <row r="1003" spans="1:20" x14ac:dyDescent="0.25">
      <c r="A1003" s="8" t="s">
        <v>2085</v>
      </c>
      <c r="B1003" s="8" t="s">
        <v>2086</v>
      </c>
      <c r="C1003" s="8" t="s">
        <v>3540</v>
      </c>
      <c r="D1003" s="8">
        <v>504</v>
      </c>
      <c r="E1003" s="24">
        <v>0.47023808956146201</v>
      </c>
      <c r="F1003" s="24">
        <v>0.52976191043853704</v>
      </c>
      <c r="G1003" s="23">
        <v>0</v>
      </c>
      <c r="H1003" s="23">
        <v>9.9206352606415991E-3</v>
      </c>
      <c r="I1003" s="24">
        <v>0.55952382087707497</v>
      </c>
      <c r="J1003" s="24">
        <v>0.37698411941528298</v>
      </c>
      <c r="K1003" s="23">
        <v>1.9841270986943999E-3</v>
      </c>
      <c r="L1003" s="23">
        <v>7.9365083947778008E-3</v>
      </c>
      <c r="M1003" s="23">
        <v>4.36507947742939E-2</v>
      </c>
      <c r="N1003" s="23">
        <v>0</v>
      </c>
      <c r="O1003" s="24">
        <v>0.25198411941528298</v>
      </c>
      <c r="P1003" s="24">
        <v>0.16865079104900299</v>
      </c>
      <c r="Q1003" s="24">
        <v>0.95039683580398504</v>
      </c>
      <c r="R1003" s="25">
        <v>0.10515873015873016</v>
      </c>
      <c r="S1003" s="25">
        <v>0</v>
      </c>
      <c r="T1003" s="25">
        <v>0.13492063492063491</v>
      </c>
    </row>
    <row r="1004" spans="1:20" x14ac:dyDescent="0.25">
      <c r="A1004" s="8" t="s">
        <v>2087</v>
      </c>
      <c r="B1004" s="8" t="s">
        <v>2088</v>
      </c>
      <c r="C1004" s="8" t="s">
        <v>3540</v>
      </c>
      <c r="D1004" s="8">
        <v>433</v>
      </c>
      <c r="E1004" s="24">
        <v>0.48267897963523798</v>
      </c>
      <c r="F1004" s="23">
        <v>0.51732099056243896</v>
      </c>
      <c r="G1004" s="23">
        <v>0</v>
      </c>
      <c r="H1004" s="24">
        <v>0.182448029518127</v>
      </c>
      <c r="I1004" s="24">
        <v>0.131639719009399</v>
      </c>
      <c r="J1004" s="24">
        <v>0.24942263960838301</v>
      </c>
      <c r="K1004" s="23">
        <v>2.07852199673653E-2</v>
      </c>
      <c r="L1004" s="23">
        <v>6.9284066557883999E-3</v>
      </c>
      <c r="M1004" s="24">
        <v>0.406466513872146</v>
      </c>
      <c r="N1004" s="23">
        <v>2.3094688076526E-3</v>
      </c>
      <c r="O1004" s="24">
        <v>0.17090068757533999</v>
      </c>
      <c r="P1004" s="24">
        <v>0.34180137515067999</v>
      </c>
      <c r="Q1004" s="23">
        <v>0.92378753423690796</v>
      </c>
      <c r="R1004" s="25">
        <v>5.7736720554272515E-2</v>
      </c>
      <c r="S1004" s="25">
        <v>0</v>
      </c>
      <c r="T1004" s="25">
        <v>0.12240184757505773</v>
      </c>
    </row>
    <row r="1005" spans="1:20" x14ac:dyDescent="0.25">
      <c r="A1005" s="8" t="s">
        <v>2089</v>
      </c>
      <c r="B1005" s="8" t="s">
        <v>2090</v>
      </c>
      <c r="C1005" s="8" t="s">
        <v>3540</v>
      </c>
      <c r="D1005" s="8">
        <v>286</v>
      </c>
      <c r="E1005" s="24">
        <v>0.48951047658920199</v>
      </c>
      <c r="F1005" s="24">
        <v>0.51048952341079701</v>
      </c>
      <c r="G1005" s="23">
        <v>0</v>
      </c>
      <c r="H1005" s="23">
        <v>3.1468532979488401E-2</v>
      </c>
      <c r="I1005" s="24">
        <v>0.59090906381607</v>
      </c>
      <c r="J1005" s="24">
        <v>0.30769231915473899</v>
      </c>
      <c r="K1005" s="23">
        <v>1.74825172871351E-2</v>
      </c>
      <c r="L1005" s="23">
        <v>3.1468532979488401E-2</v>
      </c>
      <c r="M1005" s="23">
        <v>2.09790207445621E-2</v>
      </c>
      <c r="N1005" s="23">
        <v>0</v>
      </c>
      <c r="O1005" s="24">
        <v>0.29370629787445002</v>
      </c>
      <c r="P1005" s="23">
        <v>5.9440560638904599E-2</v>
      </c>
      <c r="Q1005" s="24">
        <v>0.95104897022247303</v>
      </c>
      <c r="R1005" s="25">
        <v>0.15034965034965034</v>
      </c>
      <c r="S1005" s="25">
        <v>3.4965034965034965E-3</v>
      </c>
      <c r="T1005" s="25">
        <v>0.14685314685314685</v>
      </c>
    </row>
    <row r="1006" spans="1:20" x14ac:dyDescent="0.25">
      <c r="A1006" s="8" t="s">
        <v>2091</v>
      </c>
      <c r="B1006" s="8" t="s">
        <v>2092</v>
      </c>
      <c r="C1006" s="8" t="s">
        <v>3540</v>
      </c>
      <c r="D1006" s="8">
        <v>349</v>
      </c>
      <c r="E1006" s="23">
        <v>0.40687680244445801</v>
      </c>
      <c r="F1006" s="23">
        <v>0.59312319755554199</v>
      </c>
      <c r="G1006" s="23">
        <v>0</v>
      </c>
      <c r="H1006" s="24">
        <v>0.15759311616420699</v>
      </c>
      <c r="I1006" s="23">
        <v>2.57879663258791E-2</v>
      </c>
      <c r="J1006" s="24">
        <v>0.51862466335296598</v>
      </c>
      <c r="K1006" s="23">
        <v>1.1461318470537701E-2</v>
      </c>
      <c r="L1006" s="23">
        <v>0</v>
      </c>
      <c r="M1006" s="24">
        <v>0.28653293848037698</v>
      </c>
      <c r="N1006" s="23">
        <v>0</v>
      </c>
      <c r="O1006" s="23">
        <v>2.00573056936264E-2</v>
      </c>
      <c r="P1006" s="24">
        <v>0.86246418952941795</v>
      </c>
      <c r="Q1006" s="24">
        <v>0.93696272373199396</v>
      </c>
      <c r="R1006" s="25">
        <v>0</v>
      </c>
      <c r="S1006" s="25">
        <v>0</v>
      </c>
      <c r="T1006" s="25">
        <v>2.0057306590257881E-2</v>
      </c>
    </row>
    <row r="1007" spans="1:20" x14ac:dyDescent="0.25">
      <c r="A1007" s="8" t="s">
        <v>2093</v>
      </c>
      <c r="B1007" s="8" t="s">
        <v>2094</v>
      </c>
      <c r="C1007" s="8" t="s">
        <v>3540</v>
      </c>
      <c r="D1007" s="8">
        <v>622</v>
      </c>
      <c r="E1007" s="24">
        <v>0.42765274643897999</v>
      </c>
      <c r="F1007" s="24">
        <v>0.57234728336334195</v>
      </c>
      <c r="G1007" s="23">
        <v>0</v>
      </c>
      <c r="H1007" s="24">
        <v>0.13344050943851399</v>
      </c>
      <c r="I1007" s="23">
        <v>8.5209004580974607E-2</v>
      </c>
      <c r="J1007" s="24">
        <v>0.18167202174663499</v>
      </c>
      <c r="K1007" s="23">
        <v>1.44694531336427E-2</v>
      </c>
      <c r="L1007" s="23">
        <v>3.2154340296984001E-3</v>
      </c>
      <c r="M1007" s="24">
        <v>0.55948555469512895</v>
      </c>
      <c r="N1007" s="23">
        <v>2.25080382078886E-2</v>
      </c>
      <c r="O1007" s="24">
        <v>0.18488745391368799</v>
      </c>
      <c r="P1007" s="24">
        <v>0.19935691356658899</v>
      </c>
      <c r="Q1007" s="24">
        <v>0.83440512418746904</v>
      </c>
      <c r="R1007" s="25">
        <v>8.0385852090032149E-3</v>
      </c>
      <c r="S1007" s="25">
        <v>0</v>
      </c>
      <c r="T1007" s="25">
        <v>0.16077170418006431</v>
      </c>
    </row>
    <row r="1008" spans="1:20" x14ac:dyDescent="0.25">
      <c r="A1008" s="8" t="s">
        <v>2095</v>
      </c>
      <c r="B1008" s="8" t="s">
        <v>2096</v>
      </c>
      <c r="C1008" s="8" t="s">
        <v>3540</v>
      </c>
      <c r="D1008" s="8">
        <v>388</v>
      </c>
      <c r="E1008" s="24">
        <v>0.239690721035003</v>
      </c>
      <c r="F1008" s="24">
        <v>0.760309278964996</v>
      </c>
      <c r="G1008" s="23">
        <v>0</v>
      </c>
      <c r="H1008" s="24">
        <v>0.118556700646877</v>
      </c>
      <c r="I1008" s="24">
        <v>0.14948453009128501</v>
      </c>
      <c r="J1008" s="24">
        <v>0.39175257086753801</v>
      </c>
      <c r="K1008" s="23">
        <v>1.03092780336738E-2</v>
      </c>
      <c r="L1008" s="23">
        <v>7.7319587580859999E-3</v>
      </c>
      <c r="M1008" s="24">
        <v>0.32216495275497398</v>
      </c>
      <c r="N1008" s="23">
        <v>0</v>
      </c>
      <c r="O1008" s="24">
        <v>0.175257727503776</v>
      </c>
      <c r="P1008" s="24">
        <v>0.48453608155250499</v>
      </c>
      <c r="Q1008" s="24">
        <v>0.82989692687988204</v>
      </c>
      <c r="R1008" s="25">
        <v>0</v>
      </c>
      <c r="S1008" s="25">
        <v>0</v>
      </c>
      <c r="T1008" s="25">
        <v>0.17525773195876287</v>
      </c>
    </row>
    <row r="1009" spans="1:20" x14ac:dyDescent="0.25">
      <c r="A1009" s="8" t="s">
        <v>2097</v>
      </c>
      <c r="B1009" s="8" t="s">
        <v>2098</v>
      </c>
      <c r="C1009" s="8" t="s">
        <v>3540</v>
      </c>
      <c r="D1009" s="8">
        <v>2228</v>
      </c>
      <c r="E1009" s="24">
        <v>0.45152604579925498</v>
      </c>
      <c r="F1009" s="24">
        <v>0.54847395420074396</v>
      </c>
      <c r="G1009" s="23">
        <v>0</v>
      </c>
      <c r="H1009" s="24">
        <v>0.162926390767097</v>
      </c>
      <c r="I1009" s="24">
        <v>0.34470376372337302</v>
      </c>
      <c r="J1009" s="24">
        <v>0.32046678662300099</v>
      </c>
      <c r="K1009" s="23">
        <v>6.2836622819303998E-3</v>
      </c>
      <c r="L1009" s="23">
        <v>1.30161577835679E-2</v>
      </c>
      <c r="M1009" s="24">
        <v>0.14317773282527901</v>
      </c>
      <c r="N1009" s="23">
        <v>9.4254938885570006E-3</v>
      </c>
      <c r="O1009" s="23">
        <v>0.16382405161857599</v>
      </c>
      <c r="P1009" s="24">
        <v>0.15978455543518</v>
      </c>
      <c r="Q1009" s="24">
        <v>0.82136446237563998</v>
      </c>
      <c r="R1009" s="25">
        <v>0</v>
      </c>
      <c r="S1009" s="25">
        <v>4.8922800718132854E-2</v>
      </c>
      <c r="T1009" s="25">
        <v>0.10906642728904847</v>
      </c>
    </row>
    <row r="1010" spans="1:20" x14ac:dyDescent="0.25">
      <c r="A1010" s="8" t="s">
        <v>2099</v>
      </c>
      <c r="B1010" s="8" t="s">
        <v>2100</v>
      </c>
      <c r="C1010" s="8" t="s">
        <v>3540</v>
      </c>
      <c r="D1010" s="8">
        <v>721</v>
      </c>
      <c r="E1010" s="24">
        <v>0.50485438108444203</v>
      </c>
      <c r="F1010" s="24">
        <v>0.49514561891555697</v>
      </c>
      <c r="G1010" s="23">
        <v>0</v>
      </c>
      <c r="H1010" s="23">
        <v>8.3217754960060106E-2</v>
      </c>
      <c r="I1010" s="24">
        <v>0.21497920155525199</v>
      </c>
      <c r="J1010" s="24">
        <v>0.41886270046234098</v>
      </c>
      <c r="K1010" s="23">
        <v>2.0804438740014999E-2</v>
      </c>
      <c r="L1010" s="23">
        <v>8.3217751234769995E-3</v>
      </c>
      <c r="M1010" s="24">
        <v>0.25242719054222101</v>
      </c>
      <c r="N1010" s="23">
        <v>1.3869625981897001E-3</v>
      </c>
      <c r="O1010" s="24">
        <v>0.21359223127365101</v>
      </c>
      <c r="P1010" s="23">
        <v>4.0221914649009698E-2</v>
      </c>
      <c r="Q1010" s="24">
        <v>0.77947294712066595</v>
      </c>
      <c r="R1010" s="25">
        <v>2.7739251040221915E-3</v>
      </c>
      <c r="S1010" s="25">
        <v>2.9126213592233011E-2</v>
      </c>
      <c r="T1010" s="25">
        <v>0.17614424410540916</v>
      </c>
    </row>
    <row r="1011" spans="1:20" x14ac:dyDescent="0.25">
      <c r="A1011" s="8" t="s">
        <v>2101</v>
      </c>
      <c r="B1011" s="8" t="s">
        <v>2102</v>
      </c>
      <c r="C1011" s="8" t="s">
        <v>3540</v>
      </c>
      <c r="D1011" s="8">
        <v>3490</v>
      </c>
      <c r="E1011" s="23">
        <v>0.57736390829086304</v>
      </c>
      <c r="F1011" s="23">
        <v>0.42206302285194403</v>
      </c>
      <c r="G1011" s="23">
        <v>5.7306588860230002E-4</v>
      </c>
      <c r="H1011" s="24">
        <v>0.224928364157676</v>
      </c>
      <c r="I1011" s="24">
        <v>0.189398273825645</v>
      </c>
      <c r="J1011" s="24">
        <v>0.23638968169689101</v>
      </c>
      <c r="K1011" s="23">
        <v>2.0630372688174199E-2</v>
      </c>
      <c r="L1011" s="23">
        <v>6.3037248328328003E-3</v>
      </c>
      <c r="M1011" s="24">
        <v>0.303151875734329</v>
      </c>
      <c r="N1011" s="23">
        <v>1.91977079957724E-2</v>
      </c>
      <c r="O1011" s="24">
        <v>0.18366761505603699</v>
      </c>
      <c r="P1011" s="23">
        <v>8.6532950401306194E-2</v>
      </c>
      <c r="Q1011" s="24">
        <v>0.66418337821960405</v>
      </c>
      <c r="R1011" s="25">
        <v>1.4326647564469914E-3</v>
      </c>
      <c r="S1011" s="25">
        <v>4.7277936962750719E-2</v>
      </c>
      <c r="T1011" s="25">
        <v>0.13123209169054442</v>
      </c>
    </row>
    <row r="1012" spans="1:20" x14ac:dyDescent="0.25">
      <c r="A1012" s="8" t="s">
        <v>2103</v>
      </c>
      <c r="B1012" s="8" t="s">
        <v>2104</v>
      </c>
      <c r="C1012" s="8" t="s">
        <v>3540</v>
      </c>
      <c r="D1012" s="8">
        <v>2210</v>
      </c>
      <c r="E1012" s="24">
        <v>0.51855206489562899</v>
      </c>
      <c r="F1012" s="24">
        <v>0.48144796490669201</v>
      </c>
      <c r="G1012" s="23">
        <v>0</v>
      </c>
      <c r="H1012" s="24">
        <v>0.29547512531280501</v>
      </c>
      <c r="I1012" s="23">
        <v>0.16018100082874301</v>
      </c>
      <c r="J1012" s="23">
        <v>0.27013576030731201</v>
      </c>
      <c r="K1012" s="23">
        <v>8.1447968259453999E-3</v>
      </c>
      <c r="L1012" s="23">
        <v>8.1447968259453999E-3</v>
      </c>
      <c r="M1012" s="24">
        <v>0.24253393709659499</v>
      </c>
      <c r="N1012" s="23">
        <v>1.53846153989434E-2</v>
      </c>
      <c r="O1012" s="24">
        <v>0.14615385234355899</v>
      </c>
      <c r="P1012" s="24">
        <v>0.19773755967616999</v>
      </c>
      <c r="Q1012" s="24">
        <v>0.87873303890228205</v>
      </c>
      <c r="R1012" s="25">
        <v>1.9457013574660634E-2</v>
      </c>
      <c r="S1012" s="25">
        <v>2.8959276018099549E-2</v>
      </c>
      <c r="T1012" s="25">
        <v>9.2307692307692313E-2</v>
      </c>
    </row>
    <row r="1013" spans="1:20" x14ac:dyDescent="0.25">
      <c r="A1013" s="8" t="s">
        <v>2105</v>
      </c>
      <c r="B1013" s="8" t="s">
        <v>2106</v>
      </c>
      <c r="C1013" s="8" t="s">
        <v>3540</v>
      </c>
      <c r="D1013" s="8">
        <v>195</v>
      </c>
      <c r="E1013" s="24">
        <v>0.55384618043899503</v>
      </c>
      <c r="F1013" s="23">
        <v>0.44615384936332703</v>
      </c>
      <c r="G1013" s="23">
        <v>0</v>
      </c>
      <c r="H1013" s="24">
        <v>0.128205135464668</v>
      </c>
      <c r="I1013" s="23">
        <v>6.6666670143604306E-2</v>
      </c>
      <c r="J1013" s="23">
        <v>0.44615384936332703</v>
      </c>
      <c r="K1013" s="23">
        <v>5.1282052882016E-3</v>
      </c>
      <c r="L1013" s="23">
        <v>5.1282052882016E-3</v>
      </c>
      <c r="M1013" s="24">
        <v>0.34871795773506098</v>
      </c>
      <c r="N1013" s="23">
        <v>0</v>
      </c>
      <c r="O1013" s="24">
        <v>0.17948718369007099</v>
      </c>
      <c r="P1013" s="24">
        <v>0.471794873476028</v>
      </c>
      <c r="Q1013" s="24">
        <v>0.80512821674346902</v>
      </c>
      <c r="R1013" s="25">
        <v>0</v>
      </c>
      <c r="S1013" s="25">
        <v>5.1282051282051282E-3</v>
      </c>
      <c r="T1013" s="25">
        <v>0.1641025641025641</v>
      </c>
    </row>
    <row r="1014" spans="1:20" x14ac:dyDescent="0.25">
      <c r="A1014" s="8" t="s">
        <v>2107</v>
      </c>
      <c r="B1014" s="8" t="s">
        <v>2108</v>
      </c>
      <c r="C1014" s="8" t="s">
        <v>3540</v>
      </c>
      <c r="D1014" s="8">
        <v>384</v>
      </c>
      <c r="E1014" s="23">
        <v>0.46875</v>
      </c>
      <c r="F1014" s="23">
        <v>0.53125</v>
      </c>
      <c r="G1014" s="23">
        <v>0</v>
      </c>
      <c r="H1014" s="24">
        <v>0.17708332836627899</v>
      </c>
      <c r="I1014" s="23">
        <v>8.59375E-2</v>
      </c>
      <c r="J1014" s="24">
        <v>0.44791665673255898</v>
      </c>
      <c r="K1014" s="23">
        <v>1.5625E-2</v>
      </c>
      <c r="L1014" s="23">
        <v>7.8125E-3</v>
      </c>
      <c r="M1014" s="24">
        <v>0.23697917163372001</v>
      </c>
      <c r="N1014" s="23">
        <v>2.8645833954215001E-2</v>
      </c>
      <c r="O1014" s="24">
        <v>0.23177082836627899</v>
      </c>
      <c r="P1014" s="24">
        <v>0.13541667163372001</v>
      </c>
      <c r="Q1014" s="23">
        <v>0.8359375</v>
      </c>
      <c r="R1014" s="25">
        <v>0</v>
      </c>
      <c r="S1014" s="25">
        <v>0</v>
      </c>
      <c r="T1014" s="25">
        <v>0.234375</v>
      </c>
    </row>
    <row r="1015" spans="1:20" x14ac:dyDescent="0.25">
      <c r="A1015" s="8" t="s">
        <v>2109</v>
      </c>
      <c r="B1015" s="8" t="s">
        <v>2110</v>
      </c>
      <c r="C1015" s="8" t="s">
        <v>3540</v>
      </c>
      <c r="D1015" s="8">
        <v>644</v>
      </c>
      <c r="E1015" s="24">
        <v>0.30124223232269198</v>
      </c>
      <c r="F1015" s="24">
        <v>0.69875776767730702</v>
      </c>
      <c r="G1015" s="23">
        <v>0</v>
      </c>
      <c r="H1015" s="23">
        <v>7.9192548990249606E-2</v>
      </c>
      <c r="I1015" s="24">
        <v>0.29813665151596003</v>
      </c>
      <c r="J1015" s="24">
        <v>0.31211179494857699</v>
      </c>
      <c r="K1015" s="23">
        <v>4.6583851799368997E-3</v>
      </c>
      <c r="L1015" s="23">
        <v>1.2422360479831701E-2</v>
      </c>
      <c r="M1015" s="24">
        <v>0.281055897474288</v>
      </c>
      <c r="N1015" s="23">
        <v>1.2422360479831701E-2</v>
      </c>
      <c r="O1015" s="23">
        <v>0.28260868787765497</v>
      </c>
      <c r="P1015" s="24">
        <v>0.192546591162681</v>
      </c>
      <c r="Q1015" s="24">
        <v>0.87111800909042303</v>
      </c>
      <c r="R1015" s="25">
        <v>1.5527950310559005E-3</v>
      </c>
      <c r="S1015" s="25">
        <v>9.7826086956521743E-2</v>
      </c>
      <c r="T1015" s="25">
        <v>0.15372670807453417</v>
      </c>
    </row>
    <row r="1016" spans="1:20" x14ac:dyDescent="0.25">
      <c r="A1016" s="8" t="s">
        <v>2111</v>
      </c>
      <c r="B1016" s="8" t="s">
        <v>2112</v>
      </c>
      <c r="C1016" s="8" t="s">
        <v>3540</v>
      </c>
      <c r="D1016" s="8">
        <v>893</v>
      </c>
      <c r="E1016" s="23">
        <v>0.46024635434150701</v>
      </c>
      <c r="F1016" s="24">
        <v>0.53975361585616999</v>
      </c>
      <c r="G1016" s="23">
        <v>0</v>
      </c>
      <c r="H1016" s="24">
        <v>0.16573348641395499</v>
      </c>
      <c r="I1016" s="23">
        <v>3.0235162004828502E-2</v>
      </c>
      <c r="J1016" s="24">
        <v>0.39417693018913202</v>
      </c>
      <c r="K1016" s="23">
        <v>1.00783873349428E-2</v>
      </c>
      <c r="L1016" s="23">
        <v>3.3594626002014E-3</v>
      </c>
      <c r="M1016" s="23">
        <v>0.39641657471656799</v>
      </c>
      <c r="N1016" s="23">
        <v>0</v>
      </c>
      <c r="O1016" s="24">
        <v>0.195968642830848</v>
      </c>
      <c r="P1016" s="24">
        <v>0.20268757641315399</v>
      </c>
      <c r="Q1016" s="23">
        <v>0.836506187915802</v>
      </c>
      <c r="R1016" s="25">
        <v>0</v>
      </c>
      <c r="S1016" s="25">
        <v>3.3594624860022397E-2</v>
      </c>
      <c r="T1016" s="25">
        <v>0.1612541993281075</v>
      </c>
    </row>
    <row r="1017" spans="1:20" x14ac:dyDescent="0.25">
      <c r="A1017" s="8" t="s">
        <v>2113</v>
      </c>
      <c r="B1017" s="8" t="s">
        <v>2114</v>
      </c>
      <c r="C1017" s="8" t="s">
        <v>3540</v>
      </c>
      <c r="D1017" s="8">
        <v>225</v>
      </c>
      <c r="E1017" s="23">
        <v>0.44888889789581299</v>
      </c>
      <c r="F1017" s="23">
        <v>0.55111110210418701</v>
      </c>
      <c r="G1017" s="23">
        <v>0</v>
      </c>
      <c r="H1017" s="23">
        <v>3.1111111864447601E-2</v>
      </c>
      <c r="I1017" s="24">
        <v>0.31999999284744202</v>
      </c>
      <c r="J1017" s="24">
        <v>0.47111111879348699</v>
      </c>
      <c r="K1017" s="23">
        <v>0</v>
      </c>
      <c r="L1017" s="23">
        <v>4.4444445520639003E-3</v>
      </c>
      <c r="M1017" s="24">
        <v>0.17333333194255801</v>
      </c>
      <c r="N1017" s="23">
        <v>0</v>
      </c>
      <c r="O1017" s="24">
        <v>0.38222223520278897</v>
      </c>
      <c r="P1017" s="24">
        <v>0.111111111938953</v>
      </c>
      <c r="Q1017" s="24">
        <v>0.94222223758697499</v>
      </c>
      <c r="R1017" s="25">
        <v>0</v>
      </c>
      <c r="S1017" s="25">
        <v>0</v>
      </c>
      <c r="T1017" s="25">
        <v>0.32444444444444442</v>
      </c>
    </row>
    <row r="1018" spans="1:20" x14ac:dyDescent="0.25">
      <c r="A1018" s="8" t="s">
        <v>2117</v>
      </c>
      <c r="B1018" s="8" t="s">
        <v>2118</v>
      </c>
      <c r="C1018" s="8" t="s">
        <v>3540</v>
      </c>
      <c r="D1018" s="8">
        <v>486</v>
      </c>
      <c r="E1018" s="24">
        <v>0.44444444775581299</v>
      </c>
      <c r="F1018" s="24">
        <v>0.55555558204650801</v>
      </c>
      <c r="G1018" s="23">
        <v>0</v>
      </c>
      <c r="H1018" s="24">
        <v>0.15432098507881101</v>
      </c>
      <c r="I1018" s="24">
        <v>0.25102880597114502</v>
      </c>
      <c r="J1018" s="24">
        <v>0.22016461193561501</v>
      </c>
      <c r="K1018" s="23">
        <v>4.1152262128890003E-3</v>
      </c>
      <c r="L1018" s="23">
        <v>1.2345679104328201E-2</v>
      </c>
      <c r="M1018" s="24">
        <v>0.353909462690353</v>
      </c>
      <c r="N1018" s="23">
        <v>4.1152262128890003E-3</v>
      </c>
      <c r="O1018" s="24">
        <v>0.27572017908096302</v>
      </c>
      <c r="P1018" s="24">
        <v>0.33950617909431402</v>
      </c>
      <c r="Q1018" s="24">
        <v>0.91358023881912198</v>
      </c>
      <c r="R1018" s="25">
        <v>0.15020576131687244</v>
      </c>
      <c r="S1018" s="25">
        <v>8.23045267489712E-3</v>
      </c>
      <c r="T1018" s="25">
        <v>0.12345679012345678</v>
      </c>
    </row>
    <row r="1019" spans="1:20" x14ac:dyDescent="0.25">
      <c r="A1019" s="8" t="s">
        <v>2119</v>
      </c>
      <c r="B1019" s="8" t="s">
        <v>2120</v>
      </c>
      <c r="C1019" s="8" t="s">
        <v>3540</v>
      </c>
      <c r="D1019" s="8">
        <v>704</v>
      </c>
      <c r="E1019" s="24">
        <v>0.473011374473571</v>
      </c>
      <c r="F1019" s="24">
        <v>0.526988625526428</v>
      </c>
      <c r="G1019" s="23">
        <v>0</v>
      </c>
      <c r="H1019" s="24">
        <v>0.196022734045982</v>
      </c>
      <c r="I1019" s="23">
        <v>9.51704531908035E-2</v>
      </c>
      <c r="J1019" s="24">
        <v>0.157670453190803</v>
      </c>
      <c r="K1019" s="23">
        <v>1.27840908244252E-2</v>
      </c>
      <c r="L1019" s="23">
        <v>7.1022729389369002E-3</v>
      </c>
      <c r="M1019" s="23">
        <v>0.53125</v>
      </c>
      <c r="N1019" s="23">
        <v>0</v>
      </c>
      <c r="O1019" s="24">
        <v>0.134943187236785</v>
      </c>
      <c r="P1019" s="24">
        <v>0.313920468091964</v>
      </c>
      <c r="Q1019" s="24">
        <v>0.850852251052856</v>
      </c>
      <c r="R1019" s="25">
        <v>3.2670454545454544E-2</v>
      </c>
      <c r="S1019" s="25">
        <v>0</v>
      </c>
      <c r="T1019" s="25">
        <v>9.9431818181818177E-2</v>
      </c>
    </row>
    <row r="1020" spans="1:20" x14ac:dyDescent="0.25">
      <c r="A1020" s="8" t="s">
        <v>2121</v>
      </c>
      <c r="B1020" s="8" t="s">
        <v>2122</v>
      </c>
      <c r="C1020" s="8" t="s">
        <v>3540</v>
      </c>
      <c r="D1020" s="8">
        <v>666</v>
      </c>
      <c r="E1020" s="24">
        <v>0.48048049211501997</v>
      </c>
      <c r="F1020" s="24">
        <v>0.51951950788497903</v>
      </c>
      <c r="G1020" s="23">
        <v>0</v>
      </c>
      <c r="H1020" s="24">
        <v>0.10510510206222499</v>
      </c>
      <c r="I1020" s="24">
        <v>0.49249249696731501</v>
      </c>
      <c r="J1020" s="24">
        <v>0.18018017709255199</v>
      </c>
      <c r="K1020" s="23">
        <v>1.9519519060850098E-2</v>
      </c>
      <c r="L1020" s="23">
        <v>4.5045046135782996E-3</v>
      </c>
      <c r="M1020" s="24">
        <v>0.18918919563293399</v>
      </c>
      <c r="N1020" s="23">
        <v>9.0090092271565992E-3</v>
      </c>
      <c r="O1020" s="24">
        <v>0.22672672569751701</v>
      </c>
      <c r="P1020" s="24">
        <v>0.12912912666797599</v>
      </c>
      <c r="Q1020" s="23">
        <v>0.70720720291137695</v>
      </c>
      <c r="R1020" s="25">
        <v>9.1591591591591595E-2</v>
      </c>
      <c r="S1020" s="25">
        <v>0</v>
      </c>
      <c r="T1020" s="25">
        <v>0.14414414414414414</v>
      </c>
    </row>
    <row r="1021" spans="1:20" x14ac:dyDescent="0.25">
      <c r="A1021" s="8" t="s">
        <v>2123</v>
      </c>
      <c r="B1021" s="8" t="s">
        <v>2124</v>
      </c>
      <c r="C1021" s="8" t="s">
        <v>3540</v>
      </c>
      <c r="D1021" s="8">
        <v>581</v>
      </c>
      <c r="E1021" s="24">
        <v>0.45438897609710599</v>
      </c>
      <c r="F1021" s="24">
        <v>0.54561102390289296</v>
      </c>
      <c r="G1021" s="23">
        <v>0</v>
      </c>
      <c r="H1021" s="23">
        <v>3.2702237367629998E-2</v>
      </c>
      <c r="I1021" s="24">
        <v>0.67814111709594704</v>
      </c>
      <c r="J1021" s="23">
        <v>0.25129088759422302</v>
      </c>
      <c r="K1021" s="23">
        <v>1.7211703583598099E-2</v>
      </c>
      <c r="L1021" s="23">
        <v>5.1635112613440002E-3</v>
      </c>
      <c r="M1021" s="23">
        <v>1.5490533784031899E-2</v>
      </c>
      <c r="N1021" s="23">
        <v>0</v>
      </c>
      <c r="O1021" s="24">
        <v>0.26850259304046598</v>
      </c>
      <c r="P1021" s="24">
        <v>0.172117039561271</v>
      </c>
      <c r="Q1021" s="24">
        <v>0.88123923540115301</v>
      </c>
      <c r="R1021" s="25">
        <v>0.13597246127366611</v>
      </c>
      <c r="S1021" s="25">
        <v>1.0327022375215147E-2</v>
      </c>
      <c r="T1021" s="25">
        <v>0.11703958691910499</v>
      </c>
    </row>
    <row r="1022" spans="1:20" x14ac:dyDescent="0.25">
      <c r="A1022" s="8" t="s">
        <v>2125</v>
      </c>
      <c r="B1022" s="8" t="s">
        <v>2126</v>
      </c>
      <c r="C1022" s="8" t="s">
        <v>3540</v>
      </c>
      <c r="D1022" s="8">
        <v>406</v>
      </c>
      <c r="E1022" s="24">
        <v>0.512315273284912</v>
      </c>
      <c r="F1022" s="24">
        <v>0.487684726715087</v>
      </c>
      <c r="G1022" s="23">
        <v>0</v>
      </c>
      <c r="H1022" s="24">
        <v>0.28078818321228</v>
      </c>
      <c r="I1022" s="24">
        <v>0.45073890686035101</v>
      </c>
      <c r="J1022" s="24">
        <v>0.17980295419692899</v>
      </c>
      <c r="K1022" s="23">
        <v>1.9704433158040002E-2</v>
      </c>
      <c r="L1022" s="23">
        <v>1.7241379246115698E-2</v>
      </c>
      <c r="M1022" s="23">
        <v>4.6798028051853201E-2</v>
      </c>
      <c r="N1022" s="23">
        <v>4.9261082895100004E-3</v>
      </c>
      <c r="O1022" s="24">
        <v>0.184729069471359</v>
      </c>
      <c r="P1022" s="24">
        <v>0.19458128511905601</v>
      </c>
      <c r="Q1022" s="24">
        <v>0.85960590839385898</v>
      </c>
      <c r="R1022" s="25">
        <v>7.3891625615763554E-2</v>
      </c>
      <c r="S1022" s="25">
        <v>7.3891625615763543E-3</v>
      </c>
      <c r="T1022" s="25">
        <v>0.10837438423645321</v>
      </c>
    </row>
    <row r="1023" spans="1:20" x14ac:dyDescent="0.25">
      <c r="A1023" s="8" t="s">
        <v>2127</v>
      </c>
      <c r="B1023" s="8" t="s">
        <v>2128</v>
      </c>
      <c r="C1023" s="8" t="s">
        <v>3540</v>
      </c>
      <c r="D1023" s="8">
        <v>503</v>
      </c>
      <c r="E1023" s="23">
        <v>0.45526838302612299</v>
      </c>
      <c r="F1023" s="23">
        <v>0.54473161697387695</v>
      </c>
      <c r="G1023" s="23">
        <v>0</v>
      </c>
      <c r="H1023" s="23">
        <v>0.44532802700996399</v>
      </c>
      <c r="I1023" s="23">
        <v>3.37972156703472E-2</v>
      </c>
      <c r="J1023" s="23">
        <v>7.9522863030433696E-2</v>
      </c>
      <c r="K1023" s="23">
        <v>2.5844929739832899E-2</v>
      </c>
      <c r="L1023" s="23">
        <v>1.1928429827094101E-2</v>
      </c>
      <c r="M1023" s="23">
        <v>0.40357851982116699</v>
      </c>
      <c r="N1023" s="23">
        <v>0</v>
      </c>
      <c r="O1023" s="24">
        <v>0.159045726060867</v>
      </c>
      <c r="P1023" s="24">
        <v>0.11729622632264999</v>
      </c>
      <c r="Q1023" s="24">
        <v>0.88270378112792902</v>
      </c>
      <c r="R1023" s="25">
        <v>2.3856858846918488E-2</v>
      </c>
      <c r="S1023" s="25">
        <v>0</v>
      </c>
      <c r="T1023" s="25">
        <v>0.13518886679920478</v>
      </c>
    </row>
    <row r="1024" spans="1:20" x14ac:dyDescent="0.25">
      <c r="A1024" s="8" t="s">
        <v>2129</v>
      </c>
      <c r="B1024" s="8" t="s">
        <v>2130</v>
      </c>
      <c r="C1024" s="8" t="s">
        <v>3540</v>
      </c>
      <c r="D1024" s="8">
        <v>716</v>
      </c>
      <c r="E1024" s="24">
        <v>0.50279331207275302</v>
      </c>
      <c r="F1024" s="24">
        <v>0.49720671772956798</v>
      </c>
      <c r="G1024" s="23">
        <v>0</v>
      </c>
      <c r="H1024" s="24">
        <v>0.13128492236137301</v>
      </c>
      <c r="I1024" s="24">
        <v>0.189944133162498</v>
      </c>
      <c r="J1024" s="24">
        <v>0.37709498405456499</v>
      </c>
      <c r="K1024" s="23">
        <v>7.9608939588069902E-2</v>
      </c>
      <c r="L1024" s="23">
        <v>1.25698326155543E-2</v>
      </c>
      <c r="M1024" s="24">
        <v>0.20949721336364699</v>
      </c>
      <c r="N1024" s="23">
        <v>0</v>
      </c>
      <c r="O1024" s="24">
        <v>0.20111732184886899</v>
      </c>
      <c r="P1024" s="24">
        <v>0.17318435013294201</v>
      </c>
      <c r="Q1024" s="24">
        <v>0.67039108276367099</v>
      </c>
      <c r="R1024" s="25">
        <v>6.0055865921787709E-2</v>
      </c>
      <c r="S1024" s="25">
        <v>1.3966480446927375E-3</v>
      </c>
      <c r="T1024" s="25">
        <v>0.13826815642458101</v>
      </c>
    </row>
    <row r="1025" spans="1:20" x14ac:dyDescent="0.25">
      <c r="A1025" s="8" t="s">
        <v>2131</v>
      </c>
      <c r="B1025" s="8" t="s">
        <v>2132</v>
      </c>
      <c r="C1025" s="8" t="s">
        <v>3540</v>
      </c>
      <c r="D1025" s="8">
        <v>546</v>
      </c>
      <c r="E1025" s="24">
        <v>0.45604395866393999</v>
      </c>
      <c r="F1025" s="24">
        <v>0.54395604133605902</v>
      </c>
      <c r="G1025" s="23">
        <v>0</v>
      </c>
      <c r="H1025" s="23">
        <v>9.3406595289707198E-2</v>
      </c>
      <c r="I1025" s="24">
        <v>0.44505494832992498</v>
      </c>
      <c r="J1025" s="24">
        <v>0.31318682432174599</v>
      </c>
      <c r="K1025" s="23">
        <v>3.66300381720066E-2</v>
      </c>
      <c r="L1025" s="23">
        <v>1.6483517363667499E-2</v>
      </c>
      <c r="M1025" s="23">
        <v>9.5238097012042999E-2</v>
      </c>
      <c r="N1025" s="23">
        <v>0</v>
      </c>
      <c r="O1025" s="24">
        <v>0.21794871985912301</v>
      </c>
      <c r="P1025" s="24">
        <v>0.27106228470802302</v>
      </c>
      <c r="Q1025" s="24">
        <v>0.91391938924789395</v>
      </c>
      <c r="R1025" s="25">
        <v>8.4249084249084255E-2</v>
      </c>
      <c r="S1025" s="25">
        <v>5.4945054945054949E-3</v>
      </c>
      <c r="T1025" s="25">
        <v>0.1227106227106227</v>
      </c>
    </row>
    <row r="1026" spans="1:20" x14ac:dyDescent="0.25">
      <c r="A1026" s="8" t="s">
        <v>2133</v>
      </c>
      <c r="B1026" s="8" t="s">
        <v>2134</v>
      </c>
      <c r="C1026" s="8" t="s">
        <v>3540</v>
      </c>
      <c r="D1026" s="8">
        <v>492</v>
      </c>
      <c r="E1026" s="24">
        <v>0.51829266548156705</v>
      </c>
      <c r="F1026" s="24">
        <v>0.48170730471611001</v>
      </c>
      <c r="G1026" s="23">
        <v>0</v>
      </c>
      <c r="H1026" s="24">
        <v>0.215447157621383</v>
      </c>
      <c r="I1026" s="23">
        <v>0.25</v>
      </c>
      <c r="J1026" s="24">
        <v>0.19105690717697099</v>
      </c>
      <c r="K1026" s="23">
        <v>3.2520323991775499E-2</v>
      </c>
      <c r="L1026" s="23">
        <v>2.23577227443457E-2</v>
      </c>
      <c r="M1026" s="24">
        <v>0.28658536076545699</v>
      </c>
      <c r="N1026" s="23">
        <v>2.0325202494859999E-3</v>
      </c>
      <c r="O1026" s="24">
        <v>0.15650406479835499</v>
      </c>
      <c r="P1026" s="24">
        <v>0.16666667163372001</v>
      </c>
      <c r="Q1026" s="23">
        <v>0.77235770225524902</v>
      </c>
      <c r="R1026" s="25">
        <v>4.2682926829268296E-2</v>
      </c>
      <c r="S1026" s="25">
        <v>2.0325203252032522E-3</v>
      </c>
      <c r="T1026" s="25">
        <v>0.10975609756097561</v>
      </c>
    </row>
    <row r="1027" spans="1:20" x14ac:dyDescent="0.25">
      <c r="A1027" s="8" t="s">
        <v>2135</v>
      </c>
      <c r="B1027" s="8" t="s">
        <v>2136</v>
      </c>
      <c r="C1027" s="8" t="s">
        <v>3540</v>
      </c>
      <c r="D1027" s="8">
        <v>489</v>
      </c>
      <c r="E1027" s="24">
        <v>0.43762782216071999</v>
      </c>
      <c r="F1027" s="24">
        <v>0.56237220764160101</v>
      </c>
      <c r="G1027" s="23">
        <v>0</v>
      </c>
      <c r="H1027" s="23">
        <v>0.17382413148879999</v>
      </c>
      <c r="I1027" s="24">
        <v>0.35378322005271901</v>
      </c>
      <c r="J1027" s="23">
        <v>0.31492841243743902</v>
      </c>
      <c r="K1027" s="23">
        <v>2.2494887933135001E-2</v>
      </c>
      <c r="L1027" s="23">
        <v>8.1799589097500004E-3</v>
      </c>
      <c r="M1027" s="24">
        <v>0.126789361238479</v>
      </c>
      <c r="N1027" s="23">
        <v>0</v>
      </c>
      <c r="O1027" s="24">
        <v>0.28425356745719899</v>
      </c>
      <c r="P1027" s="24">
        <v>0.25153374671936002</v>
      </c>
      <c r="Q1027" s="24">
        <v>0.94069528579711903</v>
      </c>
      <c r="R1027" s="25">
        <v>0.12065439672801637</v>
      </c>
      <c r="S1027" s="25">
        <v>0</v>
      </c>
      <c r="T1027" s="25">
        <v>0.15132924335378323</v>
      </c>
    </row>
    <row r="1028" spans="1:20" x14ac:dyDescent="0.25">
      <c r="A1028" s="8" t="s">
        <v>2137</v>
      </c>
      <c r="B1028" s="8" t="s">
        <v>2138</v>
      </c>
      <c r="C1028" s="8" t="s">
        <v>3540</v>
      </c>
      <c r="D1028" s="8">
        <v>390</v>
      </c>
      <c r="E1028" s="24">
        <v>0.49743589758872903</v>
      </c>
      <c r="F1028" s="24">
        <v>0.50256413221359197</v>
      </c>
      <c r="G1028" s="23">
        <v>0</v>
      </c>
      <c r="H1028" s="23">
        <v>5.8974359184503597E-2</v>
      </c>
      <c r="I1028" s="23">
        <v>1.28205129876733E-2</v>
      </c>
      <c r="J1028" s="23">
        <v>2.56410259753466E-2</v>
      </c>
      <c r="K1028" s="23">
        <v>1.28205129876733E-2</v>
      </c>
      <c r="L1028" s="23">
        <v>0</v>
      </c>
      <c r="M1028" s="24">
        <v>0.88974356651306097</v>
      </c>
      <c r="N1028" s="23">
        <v>0</v>
      </c>
      <c r="O1028" s="24">
        <v>0.14358974993228901</v>
      </c>
      <c r="P1028" s="23">
        <v>0.15897436439991</v>
      </c>
      <c r="Q1028" s="23">
        <v>0.42820513248443598</v>
      </c>
      <c r="R1028" s="25">
        <v>3.0769230769230771E-2</v>
      </c>
      <c r="S1028" s="25">
        <v>2.5641025641025641E-3</v>
      </c>
      <c r="T1028" s="25">
        <v>0.11025641025641025</v>
      </c>
    </row>
    <row r="1029" spans="1:20" x14ac:dyDescent="0.25">
      <c r="A1029" s="8" t="s">
        <v>2139</v>
      </c>
      <c r="B1029" s="8" t="s">
        <v>2140</v>
      </c>
      <c r="C1029" s="8" t="s">
        <v>3540</v>
      </c>
      <c r="D1029" s="8">
        <v>1080</v>
      </c>
      <c r="E1029" s="24">
        <v>0.483333319425582</v>
      </c>
      <c r="F1029" s="24">
        <v>0.51666665077209395</v>
      </c>
      <c r="G1029" s="23">
        <v>0</v>
      </c>
      <c r="H1029" s="24">
        <v>0.257407397031784</v>
      </c>
      <c r="I1029" s="23">
        <v>5.55555559694767E-2</v>
      </c>
      <c r="J1029" s="24">
        <v>0.106481485068798</v>
      </c>
      <c r="K1029" s="23">
        <v>2.03703697770834E-2</v>
      </c>
      <c r="L1029" s="23">
        <v>2.7777778450400002E-3</v>
      </c>
      <c r="M1029" s="24">
        <v>0.55648148059844904</v>
      </c>
      <c r="N1029" s="23">
        <v>9.2592590954150003E-4</v>
      </c>
      <c r="O1029" s="24">
        <v>0.14537036418914701</v>
      </c>
      <c r="P1029" s="24">
        <v>0.32685184478759699</v>
      </c>
      <c r="Q1029" s="24">
        <v>0.81666666269302302</v>
      </c>
      <c r="R1029" s="25">
        <v>4.8148148148148148E-2</v>
      </c>
      <c r="S1029" s="25">
        <v>0</v>
      </c>
      <c r="T1029" s="25">
        <v>9.7222222222222224E-2</v>
      </c>
    </row>
    <row r="1030" spans="1:20" x14ac:dyDescent="0.25">
      <c r="A1030" s="8" t="s">
        <v>2141</v>
      </c>
      <c r="B1030" s="8" t="s">
        <v>2142</v>
      </c>
      <c r="C1030" s="8" t="s">
        <v>3540</v>
      </c>
      <c r="D1030" s="8">
        <v>333</v>
      </c>
      <c r="E1030" s="24">
        <v>0.49849849939346302</v>
      </c>
      <c r="F1030" s="24">
        <v>0.50150150060653598</v>
      </c>
      <c r="G1030" s="23">
        <v>0</v>
      </c>
      <c r="H1030" s="23">
        <v>4.2042043060064302E-2</v>
      </c>
      <c r="I1030" s="24">
        <v>0.75075078010559004</v>
      </c>
      <c r="J1030" s="24">
        <v>0.17717717587947801</v>
      </c>
      <c r="K1030" s="23">
        <v>9.0090092271565992E-3</v>
      </c>
      <c r="L1030" s="23">
        <v>6.0060061514378002E-3</v>
      </c>
      <c r="M1030" s="23">
        <v>1.50150153785944E-2</v>
      </c>
      <c r="N1030" s="23">
        <v>0</v>
      </c>
      <c r="O1030" s="24">
        <v>0.17717717587947801</v>
      </c>
      <c r="P1030" s="23">
        <v>9.9099099636077895E-2</v>
      </c>
      <c r="Q1030" s="24">
        <v>0.86786788702011097</v>
      </c>
      <c r="R1030" s="25">
        <v>9.0090090090090086E-2</v>
      </c>
      <c r="S1030" s="25">
        <v>0</v>
      </c>
      <c r="T1030" s="25">
        <v>8.408408408408409E-2</v>
      </c>
    </row>
    <row r="1031" spans="1:20" x14ac:dyDescent="0.25">
      <c r="A1031" s="8" t="s">
        <v>2143</v>
      </c>
      <c r="B1031" s="8" t="s">
        <v>2144</v>
      </c>
      <c r="C1031" s="8" t="s">
        <v>3540</v>
      </c>
      <c r="D1031" s="8">
        <v>509</v>
      </c>
      <c r="E1031" s="24">
        <v>0.50098234415054299</v>
      </c>
      <c r="F1031" s="24">
        <v>0.49901768565177901</v>
      </c>
      <c r="G1031" s="23">
        <v>0</v>
      </c>
      <c r="H1031" s="24">
        <v>0.121807463467121</v>
      </c>
      <c r="I1031" s="24">
        <v>0.63064831495285001</v>
      </c>
      <c r="J1031" s="24">
        <v>0.145383104681968</v>
      </c>
      <c r="K1031" s="23">
        <v>1.37524558231235E-2</v>
      </c>
      <c r="L1031" s="23">
        <v>1.37524558231235E-2</v>
      </c>
      <c r="M1031" s="23">
        <v>7.4656188488006606E-2</v>
      </c>
      <c r="N1031" s="23">
        <v>0</v>
      </c>
      <c r="O1031" s="24">
        <v>0.200392931699752</v>
      </c>
      <c r="P1031" s="24">
        <v>0.170923382043838</v>
      </c>
      <c r="Q1031" s="24">
        <v>0.81728881597518899</v>
      </c>
      <c r="R1031" s="25">
        <v>8.0550098231827114E-2</v>
      </c>
      <c r="S1031" s="25">
        <v>1.9646365422396855E-3</v>
      </c>
      <c r="T1031" s="25">
        <v>0.10805500982318271</v>
      </c>
    </row>
    <row r="1032" spans="1:20" x14ac:dyDescent="0.25">
      <c r="A1032" s="8" t="s">
        <v>2145</v>
      </c>
      <c r="B1032" s="8" t="s">
        <v>2146</v>
      </c>
      <c r="C1032" s="8" t="s">
        <v>3540</v>
      </c>
      <c r="D1032" s="8">
        <v>1514</v>
      </c>
      <c r="E1032" s="24">
        <v>0.496036976575851</v>
      </c>
      <c r="F1032" s="24">
        <v>0.50396299362182595</v>
      </c>
      <c r="G1032" s="23">
        <v>0</v>
      </c>
      <c r="H1032" s="24">
        <v>0.41611623764038003</v>
      </c>
      <c r="I1032" s="23">
        <v>1.38705419376493E-2</v>
      </c>
      <c r="J1032" s="23">
        <v>9.9735796451568604E-2</v>
      </c>
      <c r="K1032" s="23">
        <v>1.9154557958245302E-2</v>
      </c>
      <c r="L1032" s="23">
        <v>4.6235136687756001E-3</v>
      </c>
      <c r="M1032" s="24">
        <v>0.44583883881568898</v>
      </c>
      <c r="N1032" s="23">
        <v>6.6050200257449995E-4</v>
      </c>
      <c r="O1032" s="24">
        <v>0.127476885914802</v>
      </c>
      <c r="P1032" s="24">
        <v>0.29392337799072199</v>
      </c>
      <c r="Q1032" s="24">
        <v>0.75429326295852595</v>
      </c>
      <c r="R1032" s="25">
        <v>2.4438573315719948E-2</v>
      </c>
      <c r="S1032" s="25">
        <v>3.3025099075297227E-3</v>
      </c>
      <c r="T1032" s="25">
        <v>9.8414795244385733E-2</v>
      </c>
    </row>
    <row r="1033" spans="1:20" x14ac:dyDescent="0.25">
      <c r="A1033" s="8" t="s">
        <v>2147</v>
      </c>
      <c r="B1033" s="8" t="s">
        <v>2148</v>
      </c>
      <c r="C1033" s="8" t="s">
        <v>3540</v>
      </c>
      <c r="D1033" s="8">
        <v>933</v>
      </c>
      <c r="E1033" s="24">
        <v>0.48767417669296198</v>
      </c>
      <c r="F1033" s="24">
        <v>0.51232582330703702</v>
      </c>
      <c r="G1033" s="23">
        <v>0</v>
      </c>
      <c r="H1033" s="23">
        <v>0.24651661515235901</v>
      </c>
      <c r="I1033" s="24">
        <v>0.25937834382057101</v>
      </c>
      <c r="J1033" s="24">
        <v>0.20685958862304599</v>
      </c>
      <c r="K1033" s="23">
        <v>3.10825295746326E-2</v>
      </c>
      <c r="L1033" s="23">
        <v>9.6463020890951E-3</v>
      </c>
      <c r="M1033" s="23">
        <v>0.24651661515235901</v>
      </c>
      <c r="N1033" s="23">
        <v>0</v>
      </c>
      <c r="O1033" s="24">
        <v>0.21114683151245101</v>
      </c>
      <c r="P1033" s="24">
        <v>0.143622726202011</v>
      </c>
      <c r="Q1033" s="24">
        <v>0.61736333370208696</v>
      </c>
      <c r="R1033" s="25">
        <v>6.4308681672025719E-2</v>
      </c>
      <c r="S1033" s="25">
        <v>0</v>
      </c>
      <c r="T1033" s="25">
        <v>0.13933547695605572</v>
      </c>
    </row>
    <row r="1034" spans="1:20" x14ac:dyDescent="0.25">
      <c r="A1034" s="8" t="s">
        <v>2149</v>
      </c>
      <c r="B1034" s="8" t="s">
        <v>2150</v>
      </c>
      <c r="C1034" s="8" t="s">
        <v>3540</v>
      </c>
      <c r="D1034" s="8">
        <v>900</v>
      </c>
      <c r="E1034" s="24">
        <v>0.496666669845581</v>
      </c>
      <c r="F1034" s="24">
        <v>0.50333333015441795</v>
      </c>
      <c r="G1034" s="23">
        <v>0</v>
      </c>
      <c r="H1034" s="24">
        <v>0.54222220182418801</v>
      </c>
      <c r="I1034" s="23">
        <v>5.6666668504476499E-2</v>
      </c>
      <c r="J1034" s="24">
        <v>0.17666666209697701</v>
      </c>
      <c r="K1034" s="23">
        <v>9.9999997764825994E-3</v>
      </c>
      <c r="L1034" s="23">
        <v>1.8888888880610501E-2</v>
      </c>
      <c r="M1034" s="24">
        <v>0.19555555284023199</v>
      </c>
      <c r="N1034" s="23">
        <v>0</v>
      </c>
      <c r="O1034" s="24">
        <v>0.138888895511627</v>
      </c>
      <c r="P1034" s="24">
        <v>0.31888890266418402</v>
      </c>
      <c r="Q1034" s="24">
        <v>0.85666668415069502</v>
      </c>
      <c r="R1034" s="25">
        <v>5.5555555555555552E-2</v>
      </c>
      <c r="S1034" s="25">
        <v>0</v>
      </c>
      <c r="T1034" s="25">
        <v>8.2222222222222224E-2</v>
      </c>
    </row>
    <row r="1035" spans="1:20" x14ac:dyDescent="0.25">
      <c r="A1035" s="8" t="s">
        <v>2151</v>
      </c>
      <c r="B1035" s="8" t="s">
        <v>2152</v>
      </c>
      <c r="C1035" s="8" t="s">
        <v>3540</v>
      </c>
      <c r="D1035" s="8">
        <v>706</v>
      </c>
      <c r="E1035" s="24">
        <v>0.46458923816680903</v>
      </c>
      <c r="F1035" s="24">
        <v>0.53541076183319003</v>
      </c>
      <c r="G1035" s="23">
        <v>0</v>
      </c>
      <c r="H1035" s="24">
        <v>0.35977336764335599</v>
      </c>
      <c r="I1035" s="24">
        <v>0.14022663235664301</v>
      </c>
      <c r="J1035" s="23">
        <v>0.178470253944397</v>
      </c>
      <c r="K1035" s="23">
        <v>2.97450423240662E-2</v>
      </c>
      <c r="L1035" s="23">
        <v>7.0821531116961999E-3</v>
      </c>
      <c r="M1035" s="24">
        <v>0.28328612446784901</v>
      </c>
      <c r="N1035" s="23">
        <v>1.4164305757731E-3</v>
      </c>
      <c r="O1035" s="24">
        <v>0.23937676846980999</v>
      </c>
      <c r="P1035" s="24">
        <v>0.16288952529430301</v>
      </c>
      <c r="Q1035" s="24">
        <v>0.61614727973937899</v>
      </c>
      <c r="R1035" s="25">
        <v>7.0821529745042494E-2</v>
      </c>
      <c r="S1035" s="25">
        <v>0</v>
      </c>
      <c r="T1035" s="25">
        <v>0.16997167138810199</v>
      </c>
    </row>
    <row r="1036" spans="1:20" x14ac:dyDescent="0.25">
      <c r="A1036" s="8" t="s">
        <v>2153</v>
      </c>
      <c r="B1036" s="8" t="s">
        <v>2154</v>
      </c>
      <c r="C1036" s="8" t="s">
        <v>3540</v>
      </c>
      <c r="D1036" s="8">
        <v>1446</v>
      </c>
      <c r="E1036" s="24">
        <v>0.48132780194282498</v>
      </c>
      <c r="F1036" s="24">
        <v>0.51867222785949696</v>
      </c>
      <c r="G1036" s="23">
        <v>0</v>
      </c>
      <c r="H1036" s="24">
        <v>0.26417705416679299</v>
      </c>
      <c r="I1036" s="23">
        <v>6.9847859442233998E-2</v>
      </c>
      <c r="J1036" s="24">
        <v>0.153526976704597</v>
      </c>
      <c r="K1036" s="23">
        <v>1.4522821642458401E-2</v>
      </c>
      <c r="L1036" s="23">
        <v>1.2448132969439E-2</v>
      </c>
      <c r="M1036" s="24">
        <v>0.47164592146873402</v>
      </c>
      <c r="N1036" s="23">
        <v>1.3831258751452E-2</v>
      </c>
      <c r="O1036" s="24">
        <v>0.15214385092258401</v>
      </c>
      <c r="P1036" s="24">
        <v>0.19640387594699801</v>
      </c>
      <c r="Q1036" s="24">
        <v>0.81604427099227905</v>
      </c>
      <c r="R1036" s="25">
        <v>5.0484094052558784E-2</v>
      </c>
      <c r="S1036" s="25">
        <v>3.4578146611341631E-3</v>
      </c>
      <c r="T1036" s="25">
        <v>9.4052558782849238E-2</v>
      </c>
    </row>
    <row r="1037" spans="1:20" x14ac:dyDescent="0.25">
      <c r="A1037" s="8" t="s">
        <v>2155</v>
      </c>
      <c r="B1037" s="8" t="s">
        <v>2156</v>
      </c>
      <c r="C1037" s="8" t="s">
        <v>3540</v>
      </c>
      <c r="D1037" s="8">
        <v>603</v>
      </c>
      <c r="E1037" s="24">
        <v>0.53233832120895297</v>
      </c>
      <c r="F1037" s="24">
        <v>0.46766167879104598</v>
      </c>
      <c r="G1037" s="23">
        <v>0</v>
      </c>
      <c r="H1037" s="24">
        <v>0.18076285719871499</v>
      </c>
      <c r="I1037" s="24">
        <v>0.18076285719871499</v>
      </c>
      <c r="J1037" s="24">
        <v>0.12769486010074599</v>
      </c>
      <c r="K1037" s="23">
        <v>2.9850745573639901E-2</v>
      </c>
      <c r="L1037" s="23">
        <v>0</v>
      </c>
      <c r="M1037" s="24">
        <v>0.48092868924140902</v>
      </c>
      <c r="N1037" s="23">
        <v>0</v>
      </c>
      <c r="O1037" s="24">
        <v>0.16915422677993699</v>
      </c>
      <c r="P1037" s="23">
        <v>5.9701491147279698E-2</v>
      </c>
      <c r="Q1037" s="24">
        <v>0.44941955804824801</v>
      </c>
      <c r="R1037" s="25">
        <v>3.9800995024875621E-2</v>
      </c>
      <c r="S1037" s="25">
        <v>1.658374792703151E-3</v>
      </c>
      <c r="T1037" s="25">
        <v>0.12769485903814262</v>
      </c>
    </row>
    <row r="1038" spans="1:20" x14ac:dyDescent="0.25">
      <c r="A1038" s="8" t="s">
        <v>2157</v>
      </c>
      <c r="B1038" s="8" t="s">
        <v>2158</v>
      </c>
      <c r="C1038" s="8" t="s">
        <v>3540</v>
      </c>
      <c r="D1038" s="8">
        <v>397</v>
      </c>
      <c r="E1038" s="23">
        <v>0.50881612300872803</v>
      </c>
      <c r="F1038" s="23">
        <v>0.49118387699127197</v>
      </c>
      <c r="G1038" s="23">
        <v>0</v>
      </c>
      <c r="H1038" s="23">
        <v>0.13098236918449399</v>
      </c>
      <c r="I1038" s="23">
        <v>0.49118387699127197</v>
      </c>
      <c r="J1038" s="23">
        <v>0.25440806150436401</v>
      </c>
      <c r="K1038" s="23">
        <v>1.25944586470723E-2</v>
      </c>
      <c r="L1038" s="23">
        <v>2.0151132717728601E-2</v>
      </c>
      <c r="M1038" s="23">
        <v>9.0680100023746504E-2</v>
      </c>
      <c r="N1038" s="23">
        <v>0</v>
      </c>
      <c r="O1038" s="24">
        <v>0.221662461757659</v>
      </c>
      <c r="P1038" s="24">
        <v>0.340050369501113</v>
      </c>
      <c r="Q1038" s="24">
        <v>0.92443323135375899</v>
      </c>
      <c r="R1038" s="25">
        <v>8.5642317380352648E-2</v>
      </c>
      <c r="S1038" s="25">
        <v>0</v>
      </c>
      <c r="T1038" s="25">
        <v>0.12342569269521411</v>
      </c>
    </row>
    <row r="1039" spans="1:20" x14ac:dyDescent="0.25">
      <c r="A1039" s="8" t="s">
        <v>2159</v>
      </c>
      <c r="B1039" s="8" t="s">
        <v>2160</v>
      </c>
      <c r="C1039" s="8" t="s">
        <v>3540</v>
      </c>
      <c r="D1039" s="8">
        <v>227</v>
      </c>
      <c r="E1039" s="24">
        <v>0.51101320981979304</v>
      </c>
      <c r="F1039" s="24">
        <v>0.48898679018020602</v>
      </c>
      <c r="G1039" s="23">
        <v>0</v>
      </c>
      <c r="H1039" s="23">
        <v>1.76211446523666E-2</v>
      </c>
      <c r="I1039" s="24">
        <v>0.43171805143356301</v>
      </c>
      <c r="J1039" s="24">
        <v>0.47577092051505998</v>
      </c>
      <c r="K1039" s="23">
        <v>0</v>
      </c>
      <c r="L1039" s="23">
        <v>3.5242289304733297E-2</v>
      </c>
      <c r="M1039" s="23">
        <v>3.9647575467824901E-2</v>
      </c>
      <c r="N1039" s="23">
        <v>0</v>
      </c>
      <c r="O1039" s="24">
        <v>0.24669604003429399</v>
      </c>
      <c r="P1039" s="24">
        <v>0.16299559175968101</v>
      </c>
      <c r="Q1039" s="24">
        <v>0.89867842197418202</v>
      </c>
      <c r="R1039" s="25">
        <v>0.14537444933920704</v>
      </c>
      <c r="S1039" s="25">
        <v>0</v>
      </c>
      <c r="T1039" s="25">
        <v>0.11453744493392071</v>
      </c>
    </row>
    <row r="1040" spans="1:20" x14ac:dyDescent="0.25">
      <c r="A1040" s="8" t="s">
        <v>2161</v>
      </c>
      <c r="B1040" s="8" t="s">
        <v>2162</v>
      </c>
      <c r="C1040" s="8" t="s">
        <v>3540</v>
      </c>
      <c r="D1040" s="8">
        <v>339</v>
      </c>
      <c r="E1040" s="23">
        <v>0.50737464427947998</v>
      </c>
      <c r="F1040" s="23">
        <v>0.49262535572052002</v>
      </c>
      <c r="G1040" s="23">
        <v>0</v>
      </c>
      <c r="H1040" s="23">
        <v>4.7197639942169203E-2</v>
      </c>
      <c r="I1040" s="24">
        <v>0.67846608161926203</v>
      </c>
      <c r="J1040" s="24">
        <v>0.14749263226985901</v>
      </c>
      <c r="K1040" s="23">
        <v>1.7699114978313401E-2</v>
      </c>
      <c r="L1040" s="23">
        <v>8.8495574891567202E-2</v>
      </c>
      <c r="M1040" s="23">
        <v>2.0648967474699E-2</v>
      </c>
      <c r="N1040" s="23">
        <v>0</v>
      </c>
      <c r="O1040" s="24">
        <v>0.203539818525314</v>
      </c>
      <c r="P1040" s="24">
        <v>0.15339232981204901</v>
      </c>
      <c r="Q1040" s="24">
        <v>0.85545724630355802</v>
      </c>
      <c r="R1040" s="25">
        <v>7.6696165191740412E-2</v>
      </c>
      <c r="S1040" s="25">
        <v>2.0648967551622419E-2</v>
      </c>
      <c r="T1040" s="25">
        <v>0.11209439528023599</v>
      </c>
    </row>
    <row r="1041" spans="1:20" x14ac:dyDescent="0.25">
      <c r="A1041" s="8" t="s">
        <v>2163</v>
      </c>
      <c r="B1041" s="8" t="s">
        <v>2164</v>
      </c>
      <c r="C1041" s="8" t="s">
        <v>3540</v>
      </c>
      <c r="D1041" s="8">
        <v>726</v>
      </c>
      <c r="E1041" s="24">
        <v>0.44765838980674699</v>
      </c>
      <c r="F1041" s="24">
        <v>0.55234158039092995</v>
      </c>
      <c r="G1041" s="23">
        <v>0</v>
      </c>
      <c r="H1041" s="24">
        <v>0.227272734045982</v>
      </c>
      <c r="I1041" s="23">
        <v>1.6528924927115399E-2</v>
      </c>
      <c r="J1041" s="23">
        <v>9.2286504805088002E-2</v>
      </c>
      <c r="K1041" s="23">
        <v>2.6170799508690799E-2</v>
      </c>
      <c r="L1041" s="23">
        <v>6.8870522081852003E-3</v>
      </c>
      <c r="M1041" s="24">
        <v>0.62947660684585505</v>
      </c>
      <c r="N1041" s="23">
        <v>1.3774104882032E-3</v>
      </c>
      <c r="O1041" s="24">
        <v>0.123966939747333</v>
      </c>
      <c r="P1041" s="24">
        <v>0.33884298801422102</v>
      </c>
      <c r="Q1041" s="24">
        <v>0.69972449541091897</v>
      </c>
      <c r="R1041" s="25">
        <v>3.3057851239669422E-2</v>
      </c>
      <c r="S1041" s="25">
        <v>1.3774104683195593E-3</v>
      </c>
      <c r="T1041" s="25">
        <v>8.6776859504132234E-2</v>
      </c>
    </row>
    <row r="1042" spans="1:20" x14ac:dyDescent="0.25">
      <c r="A1042" s="8" t="s">
        <v>2165</v>
      </c>
      <c r="B1042" s="8" t="s">
        <v>2166</v>
      </c>
      <c r="C1042" s="8" t="s">
        <v>3540</v>
      </c>
      <c r="D1042" s="8">
        <v>811</v>
      </c>
      <c r="E1042" s="24">
        <v>0.50554871559143</v>
      </c>
      <c r="F1042" s="24">
        <v>0.494451284408569</v>
      </c>
      <c r="G1042" s="23">
        <v>0</v>
      </c>
      <c r="H1042" s="23">
        <v>0.29593095183372498</v>
      </c>
      <c r="I1042" s="23">
        <v>2.7127003297209702E-2</v>
      </c>
      <c r="J1042" s="24">
        <v>0.106041923165321</v>
      </c>
      <c r="K1042" s="23">
        <v>1.23304566368461E-2</v>
      </c>
      <c r="L1042" s="23">
        <v>7.3982737958431001E-3</v>
      </c>
      <c r="M1042" s="24">
        <v>0.55117142200469904</v>
      </c>
      <c r="N1042" s="23">
        <v>0</v>
      </c>
      <c r="O1042" s="24">
        <v>0.13933415710926</v>
      </c>
      <c r="P1042" s="24">
        <v>0.22688040137290899</v>
      </c>
      <c r="Q1042" s="24">
        <v>0.81381011009216297</v>
      </c>
      <c r="R1042" s="25">
        <v>3.3292231812577067E-2</v>
      </c>
      <c r="S1042" s="25">
        <v>0</v>
      </c>
      <c r="T1042" s="25">
        <v>9.8643649815043158E-2</v>
      </c>
    </row>
    <row r="1043" spans="1:20" x14ac:dyDescent="0.25">
      <c r="A1043" s="8" t="s">
        <v>2167</v>
      </c>
      <c r="B1043" s="8" t="s">
        <v>2168</v>
      </c>
      <c r="C1043" s="8" t="s">
        <v>3540</v>
      </c>
      <c r="D1043" s="8">
        <v>292</v>
      </c>
      <c r="E1043" s="24">
        <v>0.52054792642593295</v>
      </c>
      <c r="F1043" s="24">
        <v>0.479452043771743</v>
      </c>
      <c r="G1043" s="23">
        <v>0</v>
      </c>
      <c r="H1043" s="23">
        <v>0.26712328195571899</v>
      </c>
      <c r="I1043" s="23">
        <v>3.0821917578577999E-2</v>
      </c>
      <c r="J1043" s="24">
        <v>0.17808219790458599</v>
      </c>
      <c r="K1043" s="23">
        <v>1.36986300349236E-2</v>
      </c>
      <c r="L1043" s="23">
        <v>0</v>
      </c>
      <c r="M1043" s="24">
        <v>0.51027399301528897</v>
      </c>
      <c r="N1043" s="23">
        <v>0</v>
      </c>
      <c r="O1043" s="24">
        <v>0.191780820488929</v>
      </c>
      <c r="P1043" s="24">
        <v>0.13013698160648299</v>
      </c>
      <c r="Q1043" s="24">
        <v>0.60273975133895796</v>
      </c>
      <c r="R1043" s="25">
        <v>3.4246575342465752E-3</v>
      </c>
      <c r="S1043" s="25">
        <v>0</v>
      </c>
      <c r="T1043" s="25">
        <v>0.18493150684931506</v>
      </c>
    </row>
    <row r="1044" spans="1:20" x14ac:dyDescent="0.25">
      <c r="A1044" s="8" t="s">
        <v>2169</v>
      </c>
      <c r="B1044" s="8" t="s">
        <v>2170</v>
      </c>
      <c r="C1044" s="8" t="s">
        <v>3540</v>
      </c>
      <c r="D1044" s="8">
        <v>861</v>
      </c>
      <c r="E1044" s="24">
        <v>0.451800227165222</v>
      </c>
      <c r="F1044" s="24">
        <v>0.54819977283477705</v>
      </c>
      <c r="G1044" s="23">
        <v>0</v>
      </c>
      <c r="H1044" s="24">
        <v>0.20441347360610901</v>
      </c>
      <c r="I1044" s="24">
        <v>0.30778163671493503</v>
      </c>
      <c r="J1044" s="24">
        <v>0.24157956242561299</v>
      </c>
      <c r="K1044" s="23">
        <v>2.9036004096269601E-2</v>
      </c>
      <c r="L1044" s="23">
        <v>9.2915212735533992E-3</v>
      </c>
      <c r="M1044" s="24">
        <v>0.19976770877838099</v>
      </c>
      <c r="N1044" s="23">
        <v>8.1300809979439007E-3</v>
      </c>
      <c r="O1044" s="24">
        <v>0.18699187040328899</v>
      </c>
      <c r="P1044" s="24">
        <v>0.19163763523101801</v>
      </c>
      <c r="Q1044" s="24">
        <v>0.79674798250198298</v>
      </c>
      <c r="R1044" s="25">
        <v>5.45876887340302E-2</v>
      </c>
      <c r="S1044" s="25">
        <v>9.2915214866434379E-3</v>
      </c>
      <c r="T1044" s="25">
        <v>0.12659698025551683</v>
      </c>
    </row>
    <row r="1045" spans="1:20" x14ac:dyDescent="0.25">
      <c r="A1045" s="8" t="s">
        <v>2171</v>
      </c>
      <c r="B1045" s="8" t="s">
        <v>2172</v>
      </c>
      <c r="C1045" s="8" t="s">
        <v>3540</v>
      </c>
      <c r="D1045" s="8">
        <v>660</v>
      </c>
      <c r="E1045" s="24">
        <v>0.483333319425582</v>
      </c>
      <c r="F1045" s="24">
        <v>0.51666665077209395</v>
      </c>
      <c r="G1045" s="23">
        <v>0</v>
      </c>
      <c r="H1045" s="24">
        <v>0.12878787517547599</v>
      </c>
      <c r="I1045" s="24">
        <v>0.33030304312705899</v>
      </c>
      <c r="J1045" s="23">
        <v>0.18939393758773801</v>
      </c>
      <c r="K1045" s="23">
        <v>2.2727273404598201E-2</v>
      </c>
      <c r="L1045" s="23">
        <v>1.0606060735881301E-2</v>
      </c>
      <c r="M1045" s="24">
        <v>0.318181812763214</v>
      </c>
      <c r="N1045" s="23">
        <v>0</v>
      </c>
      <c r="O1045" s="23">
        <v>0.21969696879386899</v>
      </c>
      <c r="P1045" s="23">
        <v>0.13484849035739899</v>
      </c>
      <c r="Q1045" s="24">
        <v>0.636363625526428</v>
      </c>
      <c r="R1045" s="25">
        <v>7.1212121212121213E-2</v>
      </c>
      <c r="S1045" s="25">
        <v>1.5151515151515152E-3</v>
      </c>
      <c r="T1045" s="25">
        <v>0.13030303030303031</v>
      </c>
    </row>
    <row r="1046" spans="1:20" x14ac:dyDescent="0.25">
      <c r="A1046" s="8" t="s">
        <v>2173</v>
      </c>
      <c r="B1046" s="8" t="s">
        <v>2174</v>
      </c>
      <c r="C1046" s="8" t="s">
        <v>3540</v>
      </c>
      <c r="D1046" s="8">
        <v>555</v>
      </c>
      <c r="E1046" s="23">
        <v>0.45765766501426702</v>
      </c>
      <c r="F1046" s="24">
        <v>0.54234236478805498</v>
      </c>
      <c r="G1046" s="23">
        <v>0</v>
      </c>
      <c r="H1046" s="24">
        <v>0.13513512909412301</v>
      </c>
      <c r="I1046" s="24">
        <v>0.40180179476737898</v>
      </c>
      <c r="J1046" s="24">
        <v>0.32252252101898099</v>
      </c>
      <c r="K1046" s="23">
        <v>4.1441440582275398E-2</v>
      </c>
      <c r="L1046" s="23">
        <v>1.0810811072588E-2</v>
      </c>
      <c r="M1046" s="23">
        <v>8.6486488580703694E-2</v>
      </c>
      <c r="N1046" s="23">
        <v>1.8018018454313001E-3</v>
      </c>
      <c r="O1046" s="24">
        <v>0.24144144356250699</v>
      </c>
      <c r="P1046" s="24">
        <v>0.23783783614635401</v>
      </c>
      <c r="Q1046" s="24">
        <v>0.89009010791778498</v>
      </c>
      <c r="R1046" s="25">
        <v>8.8288288288288289E-2</v>
      </c>
      <c r="S1046" s="25">
        <v>0</v>
      </c>
      <c r="T1046" s="25">
        <v>0.12972972972972974</v>
      </c>
    </row>
    <row r="1047" spans="1:20" x14ac:dyDescent="0.25">
      <c r="A1047" s="8" t="s">
        <v>2175</v>
      </c>
      <c r="B1047" s="8" t="s">
        <v>2176</v>
      </c>
      <c r="C1047" s="8" t="s">
        <v>3540</v>
      </c>
      <c r="D1047" s="8">
        <v>195</v>
      </c>
      <c r="E1047" s="24">
        <v>0.46666666865348799</v>
      </c>
      <c r="F1047" s="24">
        <v>0.53333336114883401</v>
      </c>
      <c r="G1047" s="23">
        <v>0</v>
      </c>
      <c r="H1047" s="24">
        <v>0.16410256922245001</v>
      </c>
      <c r="I1047" s="24">
        <v>0.62564104795455899</v>
      </c>
      <c r="J1047" s="23">
        <v>7.1794874966144603E-2</v>
      </c>
      <c r="K1047" s="23">
        <v>3.07692307978868E-2</v>
      </c>
      <c r="L1047" s="23">
        <v>8.7179489433765397E-2</v>
      </c>
      <c r="M1047" s="23">
        <v>1.53846153989434E-2</v>
      </c>
      <c r="N1047" s="23">
        <v>5.1282052882016E-3</v>
      </c>
      <c r="O1047" s="24">
        <v>0.261538475751876</v>
      </c>
      <c r="P1047" s="24">
        <v>0.14358974993228901</v>
      </c>
      <c r="Q1047" s="24">
        <v>0.75897437334060602</v>
      </c>
      <c r="R1047" s="25">
        <v>9.2307692307692313E-2</v>
      </c>
      <c r="S1047" s="25">
        <v>0</v>
      </c>
      <c r="T1047" s="25">
        <v>8.7179487179487175E-2</v>
      </c>
    </row>
    <row r="1048" spans="1:20" x14ac:dyDescent="0.25">
      <c r="A1048" s="8" t="s">
        <v>2177</v>
      </c>
      <c r="B1048" s="8" t="s">
        <v>2178</v>
      </c>
      <c r="C1048" s="8" t="s">
        <v>3540</v>
      </c>
      <c r="D1048" s="8">
        <v>388</v>
      </c>
      <c r="E1048" s="24">
        <v>0.44587630033492998</v>
      </c>
      <c r="F1048" s="24">
        <v>0.55412369966506902</v>
      </c>
      <c r="G1048" s="23">
        <v>0</v>
      </c>
      <c r="H1048" s="23">
        <v>5.9278350323438603E-2</v>
      </c>
      <c r="I1048" s="24">
        <v>0.66237115859985296</v>
      </c>
      <c r="J1048" s="24">
        <v>0.22938144207000699</v>
      </c>
      <c r="K1048" s="23">
        <v>1.2886597774922799E-2</v>
      </c>
      <c r="L1048" s="23">
        <v>1.03092780336738E-2</v>
      </c>
      <c r="M1048" s="23">
        <v>2.5773195549845699E-2</v>
      </c>
      <c r="N1048" s="23">
        <v>0</v>
      </c>
      <c r="O1048" s="24">
        <v>0.29381442070007302</v>
      </c>
      <c r="P1048" s="24">
        <v>0.22422680258750899</v>
      </c>
      <c r="Q1048" s="24">
        <v>0.90206187963485696</v>
      </c>
      <c r="R1048" s="25">
        <v>0.15463917525773196</v>
      </c>
      <c r="S1048" s="25">
        <v>0</v>
      </c>
      <c r="T1048" s="25">
        <v>0.13659793814432988</v>
      </c>
    </row>
    <row r="1049" spans="1:20" x14ac:dyDescent="0.25">
      <c r="A1049" s="8" t="s">
        <v>2179</v>
      </c>
      <c r="B1049" s="8" t="s">
        <v>2180</v>
      </c>
      <c r="C1049" s="8" t="s">
        <v>3540</v>
      </c>
      <c r="D1049" s="8">
        <v>296</v>
      </c>
      <c r="E1049" s="23">
        <v>0.48986485600471502</v>
      </c>
      <c r="F1049" s="24">
        <v>0.51013511419296198</v>
      </c>
      <c r="G1049" s="23">
        <v>0</v>
      </c>
      <c r="H1049" s="23">
        <v>7.7702701091766399E-2</v>
      </c>
      <c r="I1049" s="24">
        <v>0.53040540218353205</v>
      </c>
      <c r="J1049" s="24">
        <v>0.30743244290351801</v>
      </c>
      <c r="K1049" s="23">
        <v>1.3513513840735E-2</v>
      </c>
      <c r="L1049" s="23">
        <v>1.3513513840735E-2</v>
      </c>
      <c r="M1049" s="23">
        <v>5.0675675272941603E-2</v>
      </c>
      <c r="N1049" s="23">
        <v>6.7567569203675001E-3</v>
      </c>
      <c r="O1049" s="24">
        <v>0.25337839126586897</v>
      </c>
      <c r="P1049" s="24">
        <v>0.29054054617881703</v>
      </c>
      <c r="Q1049" s="24">
        <v>0.79729729890823298</v>
      </c>
      <c r="R1049" s="25">
        <v>7.4324324324324328E-2</v>
      </c>
      <c r="S1049" s="25">
        <v>0</v>
      </c>
      <c r="T1049" s="25">
        <v>0.16891891891891891</v>
      </c>
    </row>
    <row r="1050" spans="1:20" x14ac:dyDescent="0.25">
      <c r="A1050" s="8" t="s">
        <v>2181</v>
      </c>
      <c r="B1050" s="8" t="s">
        <v>2182</v>
      </c>
      <c r="C1050" s="8" t="s">
        <v>3540</v>
      </c>
      <c r="D1050" s="8">
        <v>3642</v>
      </c>
      <c r="E1050" s="24">
        <v>0.53459638357162398</v>
      </c>
      <c r="F1050" s="24">
        <v>0.46512904763221702</v>
      </c>
      <c r="G1050" s="23">
        <v>2.7457441319709999E-4</v>
      </c>
      <c r="H1050" s="24">
        <v>0.43904447555541898</v>
      </c>
      <c r="I1050" s="23">
        <v>0.20126304030418399</v>
      </c>
      <c r="J1050" s="24">
        <v>0.13618890941143</v>
      </c>
      <c r="K1050" s="23">
        <v>1.37287201359868E-2</v>
      </c>
      <c r="L1050" s="23">
        <v>7.6880836859345002E-3</v>
      </c>
      <c r="M1050" s="24">
        <v>0.19247666001319799</v>
      </c>
      <c r="N1050" s="23">
        <v>9.6101043745874994E-3</v>
      </c>
      <c r="O1050" s="24">
        <v>0.17792421579360901</v>
      </c>
      <c r="P1050" s="23">
        <v>2.6633717119693801E-2</v>
      </c>
      <c r="Q1050" s="23">
        <v>0.75398135185241699</v>
      </c>
      <c r="R1050" s="25">
        <v>2.7457440966501922E-4</v>
      </c>
      <c r="S1050" s="25">
        <v>3.5420098846787477E-2</v>
      </c>
      <c r="T1050" s="25">
        <v>0.13673805601317957</v>
      </c>
    </row>
    <row r="1051" spans="1:20" x14ac:dyDescent="0.25">
      <c r="A1051" s="8" t="s">
        <v>2183</v>
      </c>
      <c r="B1051" s="8" t="s">
        <v>2184</v>
      </c>
      <c r="C1051" s="8" t="s">
        <v>3540</v>
      </c>
      <c r="D1051" s="8">
        <v>4005</v>
      </c>
      <c r="E1051" s="24">
        <v>0.46092385053634599</v>
      </c>
      <c r="F1051" s="24">
        <v>0.53907614946365301</v>
      </c>
      <c r="G1051" s="23">
        <v>0</v>
      </c>
      <c r="H1051" s="24">
        <v>0.19925093650817799</v>
      </c>
      <c r="I1051" s="23">
        <v>9.5630459487438202E-2</v>
      </c>
      <c r="J1051" s="23">
        <v>0.16154806315898901</v>
      </c>
      <c r="K1051" s="23">
        <v>1.32334586232901E-2</v>
      </c>
      <c r="L1051" s="23">
        <v>3.9950064383446997E-3</v>
      </c>
      <c r="M1051" s="24">
        <v>0.52634209394454901</v>
      </c>
      <c r="N1051" s="23">
        <v>0</v>
      </c>
      <c r="O1051" s="24">
        <v>0.125842690467834</v>
      </c>
      <c r="P1051" s="24">
        <v>0.16254681348800601</v>
      </c>
      <c r="Q1051" s="24">
        <v>0.72983771562576205</v>
      </c>
      <c r="R1051" s="25">
        <v>0</v>
      </c>
      <c r="S1051" s="25">
        <v>2.6217228464419477E-2</v>
      </c>
      <c r="T1051" s="25">
        <v>9.5380774032459426E-2</v>
      </c>
    </row>
    <row r="1052" spans="1:20" x14ac:dyDescent="0.25">
      <c r="A1052" s="8" t="s">
        <v>2185</v>
      </c>
      <c r="B1052" s="8" t="s">
        <v>2186</v>
      </c>
      <c r="C1052" s="8" t="s">
        <v>3540</v>
      </c>
      <c r="D1052" s="8">
        <v>953</v>
      </c>
      <c r="E1052" s="24">
        <v>0.51941239833831698</v>
      </c>
      <c r="F1052" s="24">
        <v>0.47953829169273299</v>
      </c>
      <c r="G1052" s="23">
        <v>1.0493178851901999E-3</v>
      </c>
      <c r="H1052" s="24">
        <v>0.24029381573200201</v>
      </c>
      <c r="I1052" s="24">
        <v>0.21825812757015201</v>
      </c>
      <c r="J1052" s="24">
        <v>0.132214054465293</v>
      </c>
      <c r="K1052" s="23">
        <v>1.8887722864746999E-2</v>
      </c>
      <c r="L1052" s="23">
        <v>8.3945430815220001E-3</v>
      </c>
      <c r="M1052" s="24">
        <v>0.37250787019729598</v>
      </c>
      <c r="N1052" s="23">
        <v>9.4438614323734994E-3</v>
      </c>
      <c r="O1052" s="24">
        <v>0.18048268556594799</v>
      </c>
      <c r="P1052" s="23">
        <v>2.5183631107211099E-2</v>
      </c>
      <c r="Q1052" s="24">
        <v>0.65372508764266901</v>
      </c>
      <c r="R1052" s="25">
        <v>2.4134312696747113E-2</v>
      </c>
      <c r="S1052" s="25">
        <v>1.049317943336831E-2</v>
      </c>
      <c r="T1052" s="25">
        <v>0.14060860440713535</v>
      </c>
    </row>
    <row r="1053" spans="1:20" x14ac:dyDescent="0.25">
      <c r="A1053" s="8" t="s">
        <v>2187</v>
      </c>
      <c r="B1053" s="8" t="s">
        <v>2188</v>
      </c>
      <c r="C1053" s="8" t="s">
        <v>3540</v>
      </c>
      <c r="D1053" s="8">
        <v>635</v>
      </c>
      <c r="E1053" s="24">
        <v>0.58110237121581998</v>
      </c>
      <c r="F1053" s="24">
        <v>0.41889762878417902</v>
      </c>
      <c r="G1053" s="23">
        <v>0</v>
      </c>
      <c r="H1053" s="23">
        <v>6.92913383245468E-2</v>
      </c>
      <c r="I1053" s="24">
        <v>0.73070865869521995</v>
      </c>
      <c r="J1053" s="24">
        <v>0.118110239505767</v>
      </c>
      <c r="K1053" s="23">
        <v>1.2598425149917601E-2</v>
      </c>
      <c r="L1053" s="23">
        <v>1.2598425149917601E-2</v>
      </c>
      <c r="M1053" s="23">
        <v>4.4094488024711602E-2</v>
      </c>
      <c r="N1053" s="23">
        <v>1.2598425149917601E-2</v>
      </c>
      <c r="O1053" s="24">
        <v>0.15905511379241899</v>
      </c>
      <c r="P1053" s="23">
        <v>2.5196850299835202E-2</v>
      </c>
      <c r="Q1053" s="24">
        <v>0.74803149700164695</v>
      </c>
      <c r="R1053" s="25">
        <v>1.5748031496062992E-3</v>
      </c>
      <c r="S1053" s="25">
        <v>1.5748031496062992E-3</v>
      </c>
      <c r="T1053" s="25">
        <v>0.15275590551181104</v>
      </c>
    </row>
    <row r="1054" spans="1:20" x14ac:dyDescent="0.25">
      <c r="A1054" s="8" t="s">
        <v>2189</v>
      </c>
      <c r="B1054" s="8" t="s">
        <v>2190</v>
      </c>
      <c r="C1054" s="8" t="s">
        <v>3540</v>
      </c>
      <c r="D1054" s="8">
        <v>480</v>
      </c>
      <c r="E1054" s="24">
        <v>0.42708334326744002</v>
      </c>
      <c r="F1054" s="24">
        <v>0.57291668653488104</v>
      </c>
      <c r="G1054" s="23">
        <v>0</v>
      </c>
      <c r="H1054" s="24">
        <v>0.193749994039535</v>
      </c>
      <c r="I1054" s="24">
        <v>0.224999994039535</v>
      </c>
      <c r="J1054" s="24">
        <v>0.139583334326744</v>
      </c>
      <c r="K1054" s="23">
        <v>6.2500000931323E-3</v>
      </c>
      <c r="L1054" s="23">
        <v>1.2500000186264499E-2</v>
      </c>
      <c r="M1054" s="24">
        <v>0.40833333134651101</v>
      </c>
      <c r="N1054" s="23">
        <v>1.45833333954215E-2</v>
      </c>
      <c r="O1054" s="24">
        <v>0.15000000596046401</v>
      </c>
      <c r="P1054" s="23">
        <v>0.30000001192092901</v>
      </c>
      <c r="Q1054" s="24">
        <v>0.91041666269302302</v>
      </c>
      <c r="R1054" s="25">
        <v>2.5000000000000001E-2</v>
      </c>
      <c r="S1054" s="25">
        <v>0</v>
      </c>
      <c r="T1054" s="25">
        <v>0.13125000000000001</v>
      </c>
    </row>
    <row r="1055" spans="1:20" x14ac:dyDescent="0.25">
      <c r="A1055" s="8" t="s">
        <v>2191</v>
      </c>
      <c r="B1055" s="8" t="s">
        <v>2192</v>
      </c>
      <c r="C1055" s="8" t="s">
        <v>3540</v>
      </c>
      <c r="D1055" s="8">
        <v>186</v>
      </c>
      <c r="E1055" s="24">
        <v>0.38172042369842502</v>
      </c>
      <c r="F1055" s="24">
        <v>0.61827957630157404</v>
      </c>
      <c r="G1055" s="23">
        <v>0</v>
      </c>
      <c r="H1055" s="24">
        <v>0.102150537073612</v>
      </c>
      <c r="I1055" s="24">
        <v>0.24731183052062899</v>
      </c>
      <c r="J1055" s="24">
        <v>0.424731194972991</v>
      </c>
      <c r="K1055" s="23">
        <v>0</v>
      </c>
      <c r="L1055" s="23">
        <v>5.3763440810144E-3</v>
      </c>
      <c r="M1055" s="24">
        <v>0.22043010592460599</v>
      </c>
      <c r="N1055" s="23">
        <v>0</v>
      </c>
      <c r="O1055" s="24">
        <v>0.274193555116653</v>
      </c>
      <c r="P1055" s="23">
        <v>8.0645158886909499E-2</v>
      </c>
      <c r="Q1055" s="24">
        <v>0.93010753393173196</v>
      </c>
      <c r="R1055" s="25">
        <v>0</v>
      </c>
      <c r="S1055" s="25">
        <v>5.3763440860215058E-3</v>
      </c>
      <c r="T1055" s="25">
        <v>0.20967741935483872</v>
      </c>
    </row>
    <row r="1056" spans="1:20" x14ac:dyDescent="0.25">
      <c r="A1056" s="8" t="s">
        <v>2193</v>
      </c>
      <c r="B1056" s="8" t="s">
        <v>2194</v>
      </c>
      <c r="C1056" s="8" t="s">
        <v>3540</v>
      </c>
      <c r="D1056" s="8">
        <v>421</v>
      </c>
      <c r="E1056" s="24">
        <v>0.48693585395812899</v>
      </c>
      <c r="F1056" s="24">
        <v>0.51306414604187001</v>
      </c>
      <c r="G1056" s="23">
        <v>0</v>
      </c>
      <c r="H1056" s="23">
        <v>9.7387172281742096E-2</v>
      </c>
      <c r="I1056" s="23">
        <v>0.225653201341629</v>
      </c>
      <c r="J1056" s="24">
        <v>0.256532073020935</v>
      </c>
      <c r="K1056" s="23">
        <v>5.9382423758506803E-2</v>
      </c>
      <c r="L1056" s="23">
        <v>9.5011880621313997E-3</v>
      </c>
      <c r="M1056" s="24">
        <v>0.35154393315315202</v>
      </c>
      <c r="N1056" s="23">
        <v>0</v>
      </c>
      <c r="O1056" s="24">
        <v>0.218527317047119</v>
      </c>
      <c r="P1056" s="23">
        <v>4.9881234765052802E-2</v>
      </c>
      <c r="Q1056" s="23">
        <v>0.48931115865707397</v>
      </c>
      <c r="R1056" s="25">
        <v>5.4631828978622329E-2</v>
      </c>
      <c r="S1056" s="25">
        <v>0</v>
      </c>
      <c r="T1056" s="25">
        <v>0.17102137767220901</v>
      </c>
    </row>
    <row r="1057" spans="1:20" x14ac:dyDescent="0.25">
      <c r="A1057" s="8" t="s">
        <v>2195</v>
      </c>
      <c r="B1057" s="8" t="s">
        <v>2196</v>
      </c>
      <c r="C1057" s="8" t="s">
        <v>3540</v>
      </c>
      <c r="D1057" s="8">
        <v>336</v>
      </c>
      <c r="E1057" s="23">
        <v>0.494047611951828</v>
      </c>
      <c r="F1057" s="24">
        <v>0.50297617912292403</v>
      </c>
      <c r="G1057" s="23">
        <v>2.9761905316262999E-3</v>
      </c>
      <c r="H1057" s="24">
        <v>0.17261904478073101</v>
      </c>
      <c r="I1057" s="24">
        <v>0.28869047760963401</v>
      </c>
      <c r="J1057" s="24">
        <v>0.35714286565780601</v>
      </c>
      <c r="K1057" s="23">
        <v>2.6785714551806401E-2</v>
      </c>
      <c r="L1057" s="23">
        <v>2.9761905316262999E-3</v>
      </c>
      <c r="M1057" s="24">
        <v>0.14880952239036499</v>
      </c>
      <c r="N1057" s="23">
        <v>2.9761905316262999E-3</v>
      </c>
      <c r="O1057" s="23">
        <v>0.193452388048172</v>
      </c>
      <c r="P1057" s="23">
        <v>5.65476194024086E-2</v>
      </c>
      <c r="Q1057" s="24">
        <v>0.78273808956146196</v>
      </c>
      <c r="R1057" s="25">
        <v>2.976190476190476E-3</v>
      </c>
      <c r="S1057" s="25">
        <v>7.1428571428571425E-2</v>
      </c>
      <c r="T1057" s="25">
        <v>0.1130952380952381</v>
      </c>
    </row>
    <row r="1058" spans="1:20" x14ac:dyDescent="0.25">
      <c r="A1058" s="8" t="s">
        <v>2197</v>
      </c>
      <c r="B1058" s="8" t="s">
        <v>2198</v>
      </c>
      <c r="C1058" s="8" t="s">
        <v>3540</v>
      </c>
      <c r="D1058" s="8">
        <v>160</v>
      </c>
      <c r="E1058" s="23">
        <v>0.5</v>
      </c>
      <c r="F1058" s="23">
        <v>0.5</v>
      </c>
      <c r="G1058" s="23">
        <v>0</v>
      </c>
      <c r="H1058" s="23">
        <v>2.5000000372528999E-2</v>
      </c>
      <c r="I1058" s="23">
        <v>0.66874998807907104</v>
      </c>
      <c r="J1058" s="23">
        <v>0.28125</v>
      </c>
      <c r="K1058" s="23">
        <v>6.2500000931323E-3</v>
      </c>
      <c r="L1058" s="23">
        <v>1.2500000186264499E-2</v>
      </c>
      <c r="M1058" s="23">
        <v>0</v>
      </c>
      <c r="N1058" s="23">
        <v>6.2500000931323E-3</v>
      </c>
      <c r="O1058" s="23">
        <v>0.26875001192092901</v>
      </c>
      <c r="P1058" s="23">
        <v>8.1249997019767803E-2</v>
      </c>
      <c r="Q1058" s="24">
        <v>0.96249997615814198</v>
      </c>
      <c r="R1058" s="25">
        <v>0.1</v>
      </c>
      <c r="S1058" s="25">
        <v>0</v>
      </c>
      <c r="T1058" s="25">
        <v>0.1875</v>
      </c>
    </row>
    <row r="1059" spans="1:20" x14ac:dyDescent="0.25">
      <c r="A1059" s="8" t="s">
        <v>2199</v>
      </c>
      <c r="B1059" s="8" t="s">
        <v>2200</v>
      </c>
      <c r="C1059" s="8" t="s">
        <v>3540</v>
      </c>
      <c r="D1059" s="8">
        <v>148</v>
      </c>
      <c r="E1059" s="24">
        <v>0.55405408143997104</v>
      </c>
      <c r="F1059" s="24">
        <v>0.44594594836235002</v>
      </c>
      <c r="G1059" s="23">
        <v>0</v>
      </c>
      <c r="H1059" s="23">
        <v>6.7567569203675001E-3</v>
      </c>
      <c r="I1059" s="23">
        <v>0.587837815284729</v>
      </c>
      <c r="J1059" s="23">
        <v>0.27702704071998602</v>
      </c>
      <c r="K1059" s="23">
        <v>6.0810811817645999E-2</v>
      </c>
      <c r="L1059" s="23">
        <v>6.7567569203675001E-3</v>
      </c>
      <c r="M1059" s="23">
        <v>6.0810811817645999E-2</v>
      </c>
      <c r="N1059" s="23">
        <v>0</v>
      </c>
      <c r="O1059" s="23">
        <v>0.25</v>
      </c>
      <c r="P1059" s="24">
        <v>0.108108110725879</v>
      </c>
      <c r="Q1059" s="24">
        <v>0.79729729890823298</v>
      </c>
      <c r="R1059" s="25">
        <v>0.12837837837837837</v>
      </c>
      <c r="S1059" s="25">
        <v>0</v>
      </c>
      <c r="T1059" s="25">
        <v>0.16216216216216217</v>
      </c>
    </row>
    <row r="1060" spans="1:20" x14ac:dyDescent="0.25">
      <c r="A1060" s="8" t="s">
        <v>2201</v>
      </c>
      <c r="B1060" s="8" t="s">
        <v>2202</v>
      </c>
      <c r="C1060" s="8" t="s">
        <v>3540</v>
      </c>
      <c r="D1060" s="8">
        <v>97</v>
      </c>
      <c r="E1060" s="24">
        <v>0.51546388864517201</v>
      </c>
      <c r="F1060" s="24">
        <v>0.48453608155250499</v>
      </c>
      <c r="G1060" s="23">
        <v>0</v>
      </c>
      <c r="H1060" s="23">
        <v>1.03092780336738E-2</v>
      </c>
      <c r="I1060" s="24">
        <v>0.58762884140014604</v>
      </c>
      <c r="J1060" s="24">
        <v>0.39175257086753801</v>
      </c>
      <c r="K1060" s="23">
        <v>1.03092780336738E-2</v>
      </c>
      <c r="L1060" s="23">
        <v>0</v>
      </c>
      <c r="M1060" s="23">
        <v>0</v>
      </c>
      <c r="N1060" s="23">
        <v>0</v>
      </c>
      <c r="O1060" s="24">
        <v>0.21649484336376101</v>
      </c>
      <c r="P1060" s="23">
        <v>6.1855670064687701E-2</v>
      </c>
      <c r="Q1060" s="23">
        <v>1</v>
      </c>
      <c r="R1060" s="25">
        <v>0</v>
      </c>
      <c r="S1060" s="25">
        <v>0</v>
      </c>
      <c r="T1060" s="25">
        <v>0.21649484536082475</v>
      </c>
    </row>
    <row r="1061" spans="1:20" x14ac:dyDescent="0.25">
      <c r="A1061" s="8" t="s">
        <v>2203</v>
      </c>
      <c r="B1061" s="8" t="s">
        <v>2204</v>
      </c>
      <c r="C1061" s="8" t="s">
        <v>3540</v>
      </c>
      <c r="D1061" s="8">
        <v>300</v>
      </c>
      <c r="E1061" s="23">
        <v>0.5</v>
      </c>
      <c r="F1061" s="23">
        <v>0.5</v>
      </c>
      <c r="G1061" s="23">
        <v>0</v>
      </c>
      <c r="H1061" s="23">
        <v>1.6666667535901101E-2</v>
      </c>
      <c r="I1061" s="24">
        <v>0.32333332300186102</v>
      </c>
      <c r="J1061" s="24">
        <v>0.62333333492278997</v>
      </c>
      <c r="K1061" s="23">
        <v>3.3333334140479998E-3</v>
      </c>
      <c r="L1061" s="23">
        <v>2.66666673123837E-2</v>
      </c>
      <c r="M1061" s="23">
        <v>6.6666668280958999E-3</v>
      </c>
      <c r="N1061" s="23">
        <v>0</v>
      </c>
      <c r="O1061" s="23">
        <v>0.22333332896232599</v>
      </c>
      <c r="P1061" s="24">
        <v>0.28333333134651101</v>
      </c>
      <c r="Q1061" s="24">
        <v>0.91000002622604304</v>
      </c>
      <c r="R1061" s="25">
        <v>0.11333333333333333</v>
      </c>
      <c r="S1061" s="25">
        <v>6.6666666666666671E-3</v>
      </c>
      <c r="T1061" s="25">
        <v>9.6666666666666665E-2</v>
      </c>
    </row>
    <row r="1062" spans="1:20" x14ac:dyDescent="0.25">
      <c r="A1062" s="8" t="s">
        <v>2205</v>
      </c>
      <c r="B1062" s="8" t="s">
        <v>2206</v>
      </c>
      <c r="C1062" s="8" t="s">
        <v>3540</v>
      </c>
      <c r="D1062" s="8">
        <v>419</v>
      </c>
      <c r="E1062" s="23">
        <v>0.51789975166320801</v>
      </c>
      <c r="F1062" s="23">
        <v>0.48210024833679199</v>
      </c>
      <c r="G1062" s="23">
        <v>0</v>
      </c>
      <c r="H1062" s="23">
        <v>1.67064443230629E-2</v>
      </c>
      <c r="I1062" s="23">
        <v>0.65632456541061401</v>
      </c>
      <c r="J1062" s="24">
        <v>0.28639617562294001</v>
      </c>
      <c r="K1062" s="23">
        <v>1.1933173984289201E-2</v>
      </c>
      <c r="L1062" s="23">
        <v>1.1933173984289201E-2</v>
      </c>
      <c r="M1062" s="23">
        <v>1.67064443230629E-2</v>
      </c>
      <c r="N1062" s="23">
        <v>0</v>
      </c>
      <c r="O1062" s="24">
        <v>0.27923628687858498</v>
      </c>
      <c r="P1062" s="23">
        <v>5.9665869921445798E-2</v>
      </c>
      <c r="Q1062" s="24">
        <v>0.94749402999877896</v>
      </c>
      <c r="R1062" s="25">
        <v>8.83054892601432E-2</v>
      </c>
      <c r="S1062" s="25">
        <v>0</v>
      </c>
      <c r="T1062" s="25">
        <v>0.17899761336515513</v>
      </c>
    </row>
    <row r="1063" spans="1:20" x14ac:dyDescent="0.25">
      <c r="A1063" s="8" t="s">
        <v>2207</v>
      </c>
      <c r="B1063" s="8" t="s">
        <v>2208</v>
      </c>
      <c r="C1063" s="8" t="s">
        <v>3540</v>
      </c>
      <c r="D1063" s="8">
        <v>210</v>
      </c>
      <c r="E1063" s="24">
        <v>0.50952380895614602</v>
      </c>
      <c r="F1063" s="24">
        <v>0.49047619104385298</v>
      </c>
      <c r="G1063" s="23">
        <v>0</v>
      </c>
      <c r="H1063" s="23">
        <v>4.7619049437343996E-3</v>
      </c>
      <c r="I1063" s="24">
        <v>0.80952382087707497</v>
      </c>
      <c r="J1063" s="24">
        <v>0.119047619402408</v>
      </c>
      <c r="K1063" s="23">
        <v>9.5238098874687992E-3</v>
      </c>
      <c r="L1063" s="23">
        <v>1.42857143655419E-2</v>
      </c>
      <c r="M1063" s="23">
        <v>4.28571440279484E-2</v>
      </c>
      <c r="N1063" s="23">
        <v>0</v>
      </c>
      <c r="O1063" s="24">
        <v>0.18571428954601199</v>
      </c>
      <c r="P1063" s="23">
        <v>5.2380952984094599E-2</v>
      </c>
      <c r="Q1063" s="24">
        <v>0.92380952835082997</v>
      </c>
      <c r="R1063" s="25">
        <v>0</v>
      </c>
      <c r="S1063" s="25">
        <v>0</v>
      </c>
      <c r="T1063" s="25">
        <v>0.15714285714285714</v>
      </c>
    </row>
    <row r="1064" spans="1:20" x14ac:dyDescent="0.25">
      <c r="A1064" s="8" t="s">
        <v>2209</v>
      </c>
      <c r="B1064" s="8" t="s">
        <v>2210</v>
      </c>
      <c r="C1064" s="8" t="s">
        <v>3540</v>
      </c>
      <c r="D1064" s="8">
        <v>320</v>
      </c>
      <c r="E1064" s="23">
        <v>0.51875001192092896</v>
      </c>
      <c r="F1064" s="23">
        <v>0.48124998807907099</v>
      </c>
      <c r="G1064" s="23">
        <v>0</v>
      </c>
      <c r="H1064" s="23">
        <v>9.3750003725290004E-3</v>
      </c>
      <c r="I1064" s="23">
        <v>0.60624998807907104</v>
      </c>
      <c r="J1064" s="23">
        <v>0.328125</v>
      </c>
      <c r="K1064" s="23">
        <v>9.3750003725290004E-3</v>
      </c>
      <c r="L1064" s="23">
        <v>1.8750000745058101E-2</v>
      </c>
      <c r="M1064" s="23">
        <v>2.8124999254941899E-2</v>
      </c>
      <c r="N1064" s="23">
        <v>0</v>
      </c>
      <c r="O1064" s="24">
        <v>0.15312500298023199</v>
      </c>
      <c r="P1064" s="24">
        <v>0.18125000596046401</v>
      </c>
      <c r="Q1064" s="24">
        <v>0.92812502384185702</v>
      </c>
      <c r="R1064" s="25">
        <v>6.8750000000000006E-2</v>
      </c>
      <c r="S1064" s="25">
        <v>0</v>
      </c>
      <c r="T1064" s="25">
        <v>0.10625</v>
      </c>
    </row>
    <row r="1065" spans="1:20" x14ac:dyDescent="0.25">
      <c r="A1065" s="8" t="s">
        <v>2211</v>
      </c>
      <c r="B1065" s="8" t="s">
        <v>2212</v>
      </c>
      <c r="C1065" s="8" t="s">
        <v>3540</v>
      </c>
      <c r="D1065" s="8">
        <v>402</v>
      </c>
      <c r="E1065" s="24">
        <v>0.472636818885803</v>
      </c>
      <c r="F1065" s="24">
        <v>0.527363181114196</v>
      </c>
      <c r="G1065" s="23">
        <v>0</v>
      </c>
      <c r="H1065" s="23">
        <v>4.9751242622733003E-3</v>
      </c>
      <c r="I1065" s="24">
        <v>0.66915422677993697</v>
      </c>
      <c r="J1065" s="24">
        <v>0.30348259210586498</v>
      </c>
      <c r="K1065" s="23">
        <v>7.4626863934100004E-3</v>
      </c>
      <c r="L1065" s="23">
        <v>7.4626863934100004E-3</v>
      </c>
      <c r="M1065" s="23">
        <v>7.4626863934100004E-3</v>
      </c>
      <c r="N1065" s="23">
        <v>0</v>
      </c>
      <c r="O1065" s="24">
        <v>0.32089552283286998</v>
      </c>
      <c r="P1065" s="23">
        <v>6.4676620066165896E-2</v>
      </c>
      <c r="Q1065" s="24">
        <v>0.97761195898055997</v>
      </c>
      <c r="R1065" s="25">
        <v>8.7064676616915429E-2</v>
      </c>
      <c r="S1065" s="25">
        <v>0.10199004975124377</v>
      </c>
      <c r="T1065" s="25">
        <v>0.14427860696517414</v>
      </c>
    </row>
    <row r="1066" spans="1:20" x14ac:dyDescent="0.25">
      <c r="A1066" s="8" t="s">
        <v>2213</v>
      </c>
      <c r="B1066" s="8" t="s">
        <v>2214</v>
      </c>
      <c r="C1066" s="8" t="s">
        <v>3540</v>
      </c>
      <c r="D1066" s="8">
        <v>216</v>
      </c>
      <c r="E1066" s="24">
        <v>0.53240740299224798</v>
      </c>
      <c r="F1066" s="24">
        <v>0.46759259700775102</v>
      </c>
      <c r="G1066" s="23">
        <v>0</v>
      </c>
      <c r="H1066" s="23">
        <v>0</v>
      </c>
      <c r="I1066" s="24">
        <v>0.606481492519378</v>
      </c>
      <c r="J1066" s="24">
        <v>0.356481492519378</v>
      </c>
      <c r="K1066" s="23">
        <v>9.2592593282460993E-3</v>
      </c>
      <c r="L1066" s="23">
        <v>0</v>
      </c>
      <c r="M1066" s="23">
        <v>2.7777777984738301E-2</v>
      </c>
      <c r="N1066" s="23">
        <v>0</v>
      </c>
      <c r="O1066" s="24">
        <v>0.22222222387790599</v>
      </c>
      <c r="P1066" s="23">
        <v>9.2592589557170896E-2</v>
      </c>
      <c r="Q1066" s="24">
        <v>0.98611110448837203</v>
      </c>
      <c r="R1066" s="25">
        <v>3.7037037037037035E-2</v>
      </c>
      <c r="S1066" s="25">
        <v>0</v>
      </c>
      <c r="T1066" s="25">
        <v>0.18055555555555555</v>
      </c>
    </row>
    <row r="1067" spans="1:20" x14ac:dyDescent="0.25">
      <c r="A1067" s="8" t="s">
        <v>2215</v>
      </c>
      <c r="B1067" s="8" t="s">
        <v>2216</v>
      </c>
      <c r="C1067" s="8" t="s">
        <v>3540</v>
      </c>
      <c r="D1067" s="8">
        <v>353</v>
      </c>
      <c r="E1067" s="24">
        <v>0.52407932281494096</v>
      </c>
      <c r="F1067" s="24">
        <v>0.47592067718505798</v>
      </c>
      <c r="G1067" s="23">
        <v>0</v>
      </c>
      <c r="H1067" s="23">
        <v>5.6657223030924997E-3</v>
      </c>
      <c r="I1067" s="24">
        <v>0.61189800500869695</v>
      </c>
      <c r="J1067" s="24">
        <v>0.37677052617072998</v>
      </c>
      <c r="K1067" s="23">
        <v>0</v>
      </c>
      <c r="L1067" s="23">
        <v>2.8328611515462E-3</v>
      </c>
      <c r="M1067" s="23">
        <v>2.8328611515462E-3</v>
      </c>
      <c r="N1067" s="23">
        <v>0</v>
      </c>
      <c r="O1067" s="24">
        <v>0.23796033859252899</v>
      </c>
      <c r="P1067" s="23">
        <v>0.121813029050827</v>
      </c>
      <c r="Q1067" s="23">
        <v>0.97733712196350098</v>
      </c>
      <c r="R1067" s="25">
        <v>5.3824362606232294E-2</v>
      </c>
      <c r="S1067" s="25">
        <v>3.1161473087818695E-2</v>
      </c>
      <c r="T1067" s="25">
        <v>0.1501416430594901</v>
      </c>
    </row>
    <row r="1068" spans="1:20" x14ac:dyDescent="0.25">
      <c r="A1068" s="8" t="s">
        <v>2218</v>
      </c>
      <c r="B1068" s="8" t="s">
        <v>2219</v>
      </c>
      <c r="C1068" s="8" t="s">
        <v>3540</v>
      </c>
      <c r="D1068" s="8">
        <v>299</v>
      </c>
      <c r="E1068" s="24">
        <v>0.51839464902877797</v>
      </c>
      <c r="F1068" s="24">
        <v>0.48160535097122098</v>
      </c>
      <c r="G1068" s="23">
        <v>0</v>
      </c>
      <c r="H1068" s="23">
        <v>1.00334445014596E-2</v>
      </c>
      <c r="I1068" s="24">
        <v>0.69899666309356601</v>
      </c>
      <c r="J1068" s="24">
        <v>0.274247497320175</v>
      </c>
      <c r="K1068" s="23">
        <v>1.00334445014596E-2</v>
      </c>
      <c r="L1068" s="23">
        <v>3.3444815780967001E-3</v>
      </c>
      <c r="M1068" s="23">
        <v>3.3444815780967001E-3</v>
      </c>
      <c r="N1068" s="23">
        <v>0</v>
      </c>
      <c r="O1068" s="24">
        <v>0.23076923191547299</v>
      </c>
      <c r="P1068" s="23">
        <v>9.0301007032394395E-2</v>
      </c>
      <c r="Q1068" s="24">
        <v>0.97324413061141901</v>
      </c>
      <c r="R1068" s="25">
        <v>9.6989966555183951E-2</v>
      </c>
      <c r="S1068" s="25">
        <v>3.3444816053511705E-3</v>
      </c>
      <c r="T1068" s="25">
        <v>0.14046822742474915</v>
      </c>
    </row>
    <row r="1069" spans="1:20" x14ac:dyDescent="0.25">
      <c r="A1069" s="8" t="s">
        <v>2220</v>
      </c>
      <c r="B1069" s="8" t="s">
        <v>2221</v>
      </c>
      <c r="C1069" s="8" t="s">
        <v>3540</v>
      </c>
      <c r="D1069" s="8">
        <v>239</v>
      </c>
      <c r="E1069" s="24">
        <v>0.51464432477951005</v>
      </c>
      <c r="F1069" s="24">
        <v>0.485355645418167</v>
      </c>
      <c r="G1069" s="23">
        <v>0</v>
      </c>
      <c r="H1069" s="23">
        <v>2.0920502021908802E-2</v>
      </c>
      <c r="I1069" s="24">
        <v>0.61506277322769098</v>
      </c>
      <c r="J1069" s="24">
        <v>0.28870293498039201</v>
      </c>
      <c r="K1069" s="23">
        <v>4.1841003112494998E-3</v>
      </c>
      <c r="L1069" s="23">
        <v>4.6025104820728302E-2</v>
      </c>
      <c r="M1069" s="23">
        <v>2.51046027988195E-2</v>
      </c>
      <c r="N1069" s="23">
        <v>0</v>
      </c>
      <c r="O1069" s="24">
        <v>0.19665272533893499</v>
      </c>
      <c r="P1069" s="24">
        <v>0.138075307011604</v>
      </c>
      <c r="Q1069" s="24">
        <v>0.97907948493957497</v>
      </c>
      <c r="R1069" s="25">
        <v>8.7866108786610872E-2</v>
      </c>
      <c r="S1069" s="25">
        <v>8.368200836820083E-3</v>
      </c>
      <c r="T1069" s="25">
        <v>0.12133891213389121</v>
      </c>
    </row>
    <row r="1070" spans="1:20" x14ac:dyDescent="0.25">
      <c r="A1070" s="8" t="s">
        <v>2222</v>
      </c>
      <c r="B1070" s="8" t="s">
        <v>2223</v>
      </c>
      <c r="C1070" s="8" t="s">
        <v>3540</v>
      </c>
      <c r="D1070" s="8">
        <v>271</v>
      </c>
      <c r="E1070" s="24">
        <v>0.45018449425697299</v>
      </c>
      <c r="F1070" s="24">
        <v>0.54981547594070401</v>
      </c>
      <c r="G1070" s="23">
        <v>0</v>
      </c>
      <c r="H1070" s="23">
        <v>3.690036945045E-3</v>
      </c>
      <c r="I1070" s="24">
        <v>0.57195574045181197</v>
      </c>
      <c r="J1070" s="24">
        <v>0.40590405464172302</v>
      </c>
      <c r="K1070" s="23">
        <v>1.1070110835135E-2</v>
      </c>
      <c r="L1070" s="23">
        <v>0</v>
      </c>
      <c r="M1070" s="23">
        <v>7.38007389009E-3</v>
      </c>
      <c r="N1070" s="23">
        <v>0</v>
      </c>
      <c r="O1070" s="23">
        <v>0.33948338031768799</v>
      </c>
      <c r="P1070" s="24">
        <v>0.14391143620014099</v>
      </c>
      <c r="Q1070" s="24">
        <v>0.94833946228027299</v>
      </c>
      <c r="R1070" s="25">
        <v>4.0590405904059039E-2</v>
      </c>
      <c r="S1070" s="25">
        <v>4.4280442804428041E-2</v>
      </c>
      <c r="T1070" s="25">
        <v>0.22140221402214022</v>
      </c>
    </row>
    <row r="1071" spans="1:20" x14ac:dyDescent="0.25">
      <c r="A1071" s="8" t="s">
        <v>2224</v>
      </c>
      <c r="B1071" s="8" t="s">
        <v>2225</v>
      </c>
      <c r="C1071" s="8" t="s">
        <v>3540</v>
      </c>
      <c r="D1071" s="8">
        <v>283</v>
      </c>
      <c r="E1071" s="23">
        <v>0.56537103652954102</v>
      </c>
      <c r="F1071" s="23">
        <v>0.43462896347045898</v>
      </c>
      <c r="G1071" s="23">
        <v>0</v>
      </c>
      <c r="H1071" s="23">
        <v>2.1201413124799701E-2</v>
      </c>
      <c r="I1071" s="24">
        <v>0.77031803131103505</v>
      </c>
      <c r="J1071" s="24">
        <v>0.183745577931404</v>
      </c>
      <c r="K1071" s="23">
        <v>7.067137863487E-3</v>
      </c>
      <c r="L1071" s="23">
        <v>1.0600706562399901E-2</v>
      </c>
      <c r="M1071" s="23">
        <v>7.067137863487E-3</v>
      </c>
      <c r="N1071" s="23">
        <v>0</v>
      </c>
      <c r="O1071" s="24">
        <v>0.194346293807029</v>
      </c>
      <c r="P1071" s="23">
        <v>2.4734983220696401E-2</v>
      </c>
      <c r="Q1071" s="24">
        <v>0.85512369871139504</v>
      </c>
      <c r="R1071" s="25">
        <v>5.6537102473498232E-2</v>
      </c>
      <c r="S1071" s="25">
        <v>0</v>
      </c>
      <c r="T1071" s="25">
        <v>0.11307420494699646</v>
      </c>
    </row>
    <row r="1072" spans="1:20" x14ac:dyDescent="0.25">
      <c r="A1072" s="8" t="s">
        <v>2226</v>
      </c>
      <c r="B1072" s="8" t="s">
        <v>2227</v>
      </c>
      <c r="C1072" s="8" t="s">
        <v>3540</v>
      </c>
      <c r="D1072" s="8">
        <v>312</v>
      </c>
      <c r="E1072" s="24">
        <v>0.477564096450805</v>
      </c>
      <c r="F1072" s="24">
        <v>0.522435903549194</v>
      </c>
      <c r="G1072" s="23">
        <v>0</v>
      </c>
      <c r="H1072" s="23">
        <v>6.4102564938365997E-3</v>
      </c>
      <c r="I1072" s="24">
        <v>0.44230768084526001</v>
      </c>
      <c r="J1072" s="24">
        <v>0.48397436738014199</v>
      </c>
      <c r="K1072" s="23">
        <v>9.6153849735856004E-3</v>
      </c>
      <c r="L1072" s="23">
        <v>1.28205129876733E-2</v>
      </c>
      <c r="M1072" s="23">
        <v>4.4871795922517797E-2</v>
      </c>
      <c r="N1072" s="23">
        <v>0</v>
      </c>
      <c r="O1072" s="24">
        <v>0.17948718369007099</v>
      </c>
      <c r="P1072" s="24">
        <v>0.16666667163372001</v>
      </c>
      <c r="Q1072" s="24">
        <v>0.99679487943649203</v>
      </c>
      <c r="R1072" s="25">
        <v>7.6923076923076927E-2</v>
      </c>
      <c r="S1072" s="25">
        <v>0</v>
      </c>
      <c r="T1072" s="25">
        <v>9.9358974358974353E-2</v>
      </c>
    </row>
    <row r="1073" spans="1:20" x14ac:dyDescent="0.25">
      <c r="A1073" s="8" t="s">
        <v>2228</v>
      </c>
      <c r="B1073" s="8" t="s">
        <v>2229</v>
      </c>
      <c r="C1073" s="8" t="s">
        <v>3540</v>
      </c>
      <c r="D1073" s="8">
        <v>301</v>
      </c>
      <c r="E1073" s="23">
        <v>0.52491694688796997</v>
      </c>
      <c r="F1073" s="23">
        <v>0.47508305311202997</v>
      </c>
      <c r="G1073" s="23">
        <v>0</v>
      </c>
      <c r="H1073" s="23">
        <v>3.9867110550403602E-2</v>
      </c>
      <c r="I1073" s="24">
        <v>0.68106311559677102</v>
      </c>
      <c r="J1073" s="24">
        <v>0.23920266330242099</v>
      </c>
      <c r="K1073" s="23">
        <v>1.9933555275201801E-2</v>
      </c>
      <c r="L1073" s="23">
        <v>0</v>
      </c>
      <c r="M1073" s="23">
        <v>1.9933555275201801E-2</v>
      </c>
      <c r="N1073" s="23">
        <v>0</v>
      </c>
      <c r="O1073" s="24">
        <v>0.20598006248474099</v>
      </c>
      <c r="P1073" s="23">
        <v>8.3056479692459106E-2</v>
      </c>
      <c r="Q1073" s="24">
        <v>0.933554828166961</v>
      </c>
      <c r="R1073" s="25">
        <v>7.3089700996677748E-2</v>
      </c>
      <c r="S1073" s="25">
        <v>3.3222591362126247E-3</v>
      </c>
      <c r="T1073" s="25">
        <v>0.14285714285714285</v>
      </c>
    </row>
    <row r="1074" spans="1:20" x14ac:dyDescent="0.25">
      <c r="A1074" s="8" t="s">
        <v>2230</v>
      </c>
      <c r="B1074" s="8" t="s">
        <v>2231</v>
      </c>
      <c r="C1074" s="8" t="s">
        <v>3540</v>
      </c>
      <c r="D1074" s="8">
        <v>515</v>
      </c>
      <c r="E1074" s="23">
        <v>0.50679612159729004</v>
      </c>
      <c r="F1074" s="23">
        <v>0.49320387840271002</v>
      </c>
      <c r="G1074" s="23">
        <v>0</v>
      </c>
      <c r="H1074" s="23">
        <v>1.9417476141825E-3</v>
      </c>
      <c r="I1074" s="24">
        <v>0.71262133121490401</v>
      </c>
      <c r="J1074" s="24">
        <v>0.20388349890708901</v>
      </c>
      <c r="K1074" s="23">
        <v>1.9417476141825E-3</v>
      </c>
      <c r="L1074" s="23">
        <v>9.7087379544972992E-3</v>
      </c>
      <c r="M1074" s="23">
        <v>9.7087379544972992E-3</v>
      </c>
      <c r="N1074" s="23">
        <v>6.0194175690412501E-2</v>
      </c>
      <c r="O1074" s="23">
        <v>0.22718445956707001</v>
      </c>
      <c r="P1074" s="23">
        <v>5.4368931800127002E-2</v>
      </c>
      <c r="Q1074" s="24">
        <v>0.87766993045806796</v>
      </c>
      <c r="R1074" s="25">
        <v>0</v>
      </c>
      <c r="S1074" s="25">
        <v>2.1359223300970873E-2</v>
      </c>
      <c r="T1074" s="25">
        <v>0.2</v>
      </c>
    </row>
    <row r="1075" spans="1:20" x14ac:dyDescent="0.25">
      <c r="A1075" s="8" t="s">
        <v>2232</v>
      </c>
      <c r="B1075" s="8" t="s">
        <v>2233</v>
      </c>
      <c r="C1075" s="8" t="s">
        <v>3540</v>
      </c>
      <c r="D1075" s="8">
        <v>298</v>
      </c>
      <c r="E1075" s="24">
        <v>0.46644294261932301</v>
      </c>
      <c r="F1075" s="24">
        <v>0.53355705738067605</v>
      </c>
      <c r="G1075" s="23">
        <v>0</v>
      </c>
      <c r="H1075" s="23">
        <v>6.7114094272256002E-3</v>
      </c>
      <c r="I1075" s="24">
        <v>0.71140938997268599</v>
      </c>
      <c r="J1075" s="24">
        <v>0.26510065793991</v>
      </c>
      <c r="K1075" s="23">
        <v>0</v>
      </c>
      <c r="L1075" s="23">
        <v>6.7114094272256002E-3</v>
      </c>
      <c r="M1075" s="23">
        <v>0</v>
      </c>
      <c r="N1075" s="23">
        <v>1.0067113675177101E-2</v>
      </c>
      <c r="O1075" s="24">
        <v>0.322147637605667</v>
      </c>
      <c r="P1075" s="24">
        <v>0.10738255083560901</v>
      </c>
      <c r="Q1075" s="23">
        <v>0.93624162673950195</v>
      </c>
      <c r="R1075" s="25">
        <v>5.7046979865771813E-2</v>
      </c>
      <c r="S1075" s="25">
        <v>6.7114093959731542E-3</v>
      </c>
      <c r="T1075" s="25">
        <v>0.24496644295302014</v>
      </c>
    </row>
    <row r="1076" spans="1:20" x14ac:dyDescent="0.25">
      <c r="A1076" s="8" t="s">
        <v>2234</v>
      </c>
      <c r="B1076" s="8" t="s">
        <v>2235</v>
      </c>
      <c r="C1076" s="8" t="s">
        <v>3540</v>
      </c>
      <c r="D1076" s="8">
        <v>98</v>
      </c>
      <c r="E1076" s="24">
        <v>0.57142859697341897</v>
      </c>
      <c r="F1076" s="24">
        <v>0.42857143282890298</v>
      </c>
      <c r="G1076" s="23">
        <v>0</v>
      </c>
      <c r="H1076" s="23">
        <v>0</v>
      </c>
      <c r="I1076" s="24">
        <v>0.72448980808258001</v>
      </c>
      <c r="J1076" s="24">
        <v>0.21428571641445099</v>
      </c>
      <c r="K1076" s="23">
        <v>0</v>
      </c>
      <c r="L1076" s="23">
        <v>2.04081628471613E-2</v>
      </c>
      <c r="M1076" s="23">
        <v>4.08163256943226E-2</v>
      </c>
      <c r="N1076" s="23">
        <v>0</v>
      </c>
      <c r="O1076" s="24">
        <v>0.33673468232154802</v>
      </c>
      <c r="P1076" s="23">
        <v>6.1224490404129001E-2</v>
      </c>
      <c r="Q1076" s="24">
        <v>0.86734694242477395</v>
      </c>
      <c r="R1076" s="25">
        <v>0.14285714285714285</v>
      </c>
      <c r="S1076" s="25">
        <v>2.0408163265306121E-2</v>
      </c>
      <c r="T1076" s="25">
        <v>0.20408163265306123</v>
      </c>
    </row>
    <row r="1077" spans="1:20" x14ac:dyDescent="0.25">
      <c r="A1077" s="8" t="s">
        <v>2236</v>
      </c>
      <c r="B1077" s="8" t="s">
        <v>2237</v>
      </c>
      <c r="C1077" s="8" t="s">
        <v>3540</v>
      </c>
      <c r="D1077" s="8">
        <v>111</v>
      </c>
      <c r="E1077" s="24">
        <v>0.54054051637649503</v>
      </c>
      <c r="F1077" s="24">
        <v>0.45945945382118197</v>
      </c>
      <c r="G1077" s="23">
        <v>0</v>
      </c>
      <c r="H1077" s="23">
        <v>1.8018018454313299E-2</v>
      </c>
      <c r="I1077" s="24">
        <v>0.60360360145568803</v>
      </c>
      <c r="J1077" s="24">
        <v>0.32432430982589699</v>
      </c>
      <c r="K1077" s="23">
        <v>1.8018018454313299E-2</v>
      </c>
      <c r="L1077" s="23">
        <v>1.8018018454313299E-2</v>
      </c>
      <c r="M1077" s="23">
        <v>1.8018018454313299E-2</v>
      </c>
      <c r="N1077" s="23">
        <v>0</v>
      </c>
      <c r="O1077" s="24">
        <v>0.38738739490509</v>
      </c>
      <c r="P1077" s="23">
        <v>6.3063062727451297E-2</v>
      </c>
      <c r="Q1077" s="24">
        <v>0.98198199272155695</v>
      </c>
      <c r="R1077" s="25">
        <v>9.0090090090090089E-3</v>
      </c>
      <c r="S1077" s="25">
        <v>9.90990990990991E-2</v>
      </c>
      <c r="T1077" s="25">
        <v>0.25225225225225223</v>
      </c>
    </row>
    <row r="1078" spans="1:20" x14ac:dyDescent="0.25">
      <c r="A1078" s="8" t="s">
        <v>2238</v>
      </c>
      <c r="B1078" s="8" t="s">
        <v>2239</v>
      </c>
      <c r="C1078" s="8" t="s">
        <v>3540</v>
      </c>
      <c r="D1078" s="8">
        <v>378</v>
      </c>
      <c r="E1078" s="24">
        <v>0.54232805967330899</v>
      </c>
      <c r="F1078" s="24">
        <v>0.45767197012901301</v>
      </c>
      <c r="G1078" s="23">
        <v>0</v>
      </c>
      <c r="H1078" s="23">
        <v>2.11640205234289E-2</v>
      </c>
      <c r="I1078" s="24">
        <v>0.63492065668106001</v>
      </c>
      <c r="J1078" s="24">
        <v>0.28835979104041998</v>
      </c>
      <c r="K1078" s="23">
        <v>3.7037037312984501E-2</v>
      </c>
      <c r="L1078" s="23">
        <v>2.6455025654285999E-3</v>
      </c>
      <c r="M1078" s="23">
        <v>1.5873016789555501E-2</v>
      </c>
      <c r="N1078" s="23">
        <v>0</v>
      </c>
      <c r="O1078" s="24">
        <v>0.21693122386932301</v>
      </c>
      <c r="P1078" s="23">
        <v>8.7301589548587799E-2</v>
      </c>
      <c r="Q1078" s="24">
        <v>0.80952382087707497</v>
      </c>
      <c r="R1078" s="25">
        <v>2.1164021164021163E-2</v>
      </c>
      <c r="S1078" s="25">
        <v>1.3227513227513227E-2</v>
      </c>
      <c r="T1078" s="25">
        <v>0.1984126984126984</v>
      </c>
    </row>
    <row r="1079" spans="1:20" x14ac:dyDescent="0.25">
      <c r="A1079" s="8" t="s">
        <v>2240</v>
      </c>
      <c r="B1079" s="8" t="s">
        <v>2241</v>
      </c>
      <c r="C1079" s="8" t="s">
        <v>3540</v>
      </c>
      <c r="D1079" s="8">
        <v>182</v>
      </c>
      <c r="E1079" s="24">
        <v>0.510989010334014</v>
      </c>
      <c r="F1079" s="24">
        <v>0.489010989665985</v>
      </c>
      <c r="G1079" s="23">
        <v>0</v>
      </c>
      <c r="H1079" s="23">
        <v>1.09890112653375E-2</v>
      </c>
      <c r="I1079" s="24">
        <v>0.64835166931152299</v>
      </c>
      <c r="J1079" s="24">
        <v>0.28571429848670898</v>
      </c>
      <c r="K1079" s="23">
        <v>0</v>
      </c>
      <c r="L1079" s="23">
        <v>3.8461539894342402E-2</v>
      </c>
      <c r="M1079" s="23">
        <v>1.6483517363667499E-2</v>
      </c>
      <c r="N1079" s="23">
        <v>0</v>
      </c>
      <c r="O1079" s="24">
        <v>0.30769231915473899</v>
      </c>
      <c r="P1079" s="24">
        <v>0.159340664744377</v>
      </c>
      <c r="Q1079" s="24">
        <v>0.95604395866393999</v>
      </c>
      <c r="R1079" s="25">
        <v>1.098901098901099E-2</v>
      </c>
      <c r="S1079" s="25">
        <v>0</v>
      </c>
      <c r="T1079" s="25">
        <v>0.37362637362637363</v>
      </c>
    </row>
    <row r="1080" spans="1:20" x14ac:dyDescent="0.25">
      <c r="A1080" s="8" t="s">
        <v>2242</v>
      </c>
      <c r="B1080" s="8" t="s">
        <v>2243</v>
      </c>
      <c r="C1080" s="8" t="s">
        <v>3540</v>
      </c>
      <c r="D1080" s="8">
        <v>667</v>
      </c>
      <c r="E1080" s="23">
        <v>1.4992504147813E-3</v>
      </c>
      <c r="F1080" s="24">
        <v>0.99850076436996404</v>
      </c>
      <c r="G1080" s="23">
        <v>0</v>
      </c>
      <c r="H1080" s="23">
        <v>4.4977511279284997E-3</v>
      </c>
      <c r="I1080" s="24">
        <v>0.82308846712112405</v>
      </c>
      <c r="J1080" s="24">
        <v>0.116941526532173</v>
      </c>
      <c r="K1080" s="23">
        <v>5.9970016591251001E-3</v>
      </c>
      <c r="L1080" s="23">
        <v>1.6491753980517401E-2</v>
      </c>
      <c r="M1080" s="23">
        <v>7.4962517246604E-3</v>
      </c>
      <c r="N1080" s="23">
        <v>2.5487257167697001E-2</v>
      </c>
      <c r="O1080" s="23">
        <v>0.31934031844139099</v>
      </c>
      <c r="P1080" s="23">
        <v>1.0494752787053601E-2</v>
      </c>
      <c r="Q1080" s="24">
        <v>0.81409293413162198</v>
      </c>
      <c r="R1080" s="25">
        <v>1.4992503748125937E-2</v>
      </c>
      <c r="S1080" s="25">
        <v>4.4977511244377807E-3</v>
      </c>
      <c r="T1080" s="25">
        <v>0.29535232383808097</v>
      </c>
    </row>
    <row r="1081" spans="1:20" x14ac:dyDescent="0.25">
      <c r="A1081" s="8" t="s">
        <v>2244</v>
      </c>
      <c r="B1081" s="8" t="s">
        <v>2245</v>
      </c>
      <c r="C1081" s="8" t="s">
        <v>3540</v>
      </c>
      <c r="D1081" s="8">
        <v>168</v>
      </c>
      <c r="E1081" s="24">
        <v>0.45238095521926802</v>
      </c>
      <c r="F1081" s="24">
        <v>0.54761904478073098</v>
      </c>
      <c r="G1081" s="23">
        <v>0</v>
      </c>
      <c r="H1081" s="23">
        <v>3.5714287310838699E-2</v>
      </c>
      <c r="I1081" s="24">
        <v>0.70833331346511796</v>
      </c>
      <c r="J1081" s="24">
        <v>0.21428571641445099</v>
      </c>
      <c r="K1081" s="23">
        <v>0</v>
      </c>
      <c r="L1081" s="23">
        <v>2.3809524253010701E-2</v>
      </c>
      <c r="M1081" s="23">
        <v>1.7857143655419301E-2</v>
      </c>
      <c r="N1081" s="23">
        <v>0</v>
      </c>
      <c r="O1081" s="23">
        <v>0.25</v>
      </c>
      <c r="P1081" s="23">
        <v>0.130952388048172</v>
      </c>
      <c r="Q1081" s="24">
        <v>0.97023808956146196</v>
      </c>
      <c r="R1081" s="25">
        <v>0</v>
      </c>
      <c r="S1081" s="25">
        <v>0</v>
      </c>
      <c r="T1081" s="25">
        <v>0.23809523809523808</v>
      </c>
    </row>
    <row r="1082" spans="1:20" x14ac:dyDescent="0.25">
      <c r="A1082" s="8" t="s">
        <v>2246</v>
      </c>
      <c r="B1082" s="8" t="s">
        <v>2247</v>
      </c>
      <c r="C1082" s="8" t="s">
        <v>3540</v>
      </c>
      <c r="D1082" s="8">
        <v>150</v>
      </c>
      <c r="E1082" s="24">
        <v>0.53333336114883401</v>
      </c>
      <c r="F1082" s="24">
        <v>0.46666666865348799</v>
      </c>
      <c r="G1082" s="23">
        <v>0</v>
      </c>
      <c r="H1082" s="23">
        <v>1.9999999552965199E-2</v>
      </c>
      <c r="I1082" s="24">
        <v>0.68000000715255704</v>
      </c>
      <c r="J1082" s="23">
        <v>0.273333340883255</v>
      </c>
      <c r="K1082" s="23">
        <v>6.6666668280958999E-3</v>
      </c>
      <c r="L1082" s="23">
        <v>1.9999999552965199E-2</v>
      </c>
      <c r="M1082" s="23">
        <v>0</v>
      </c>
      <c r="N1082" s="23">
        <v>0</v>
      </c>
      <c r="O1082" s="24">
        <v>0.34000000357627802</v>
      </c>
      <c r="P1082" s="24">
        <v>0.140000000596046</v>
      </c>
      <c r="Q1082" s="23">
        <v>1</v>
      </c>
      <c r="R1082" s="25">
        <v>6.6666666666666671E-3</v>
      </c>
      <c r="S1082" s="25">
        <v>6.6666666666666671E-3</v>
      </c>
      <c r="T1082" s="25">
        <v>0.32666666666666666</v>
      </c>
    </row>
    <row r="1083" spans="1:20" x14ac:dyDescent="0.25">
      <c r="A1083" s="8" t="s">
        <v>2248</v>
      </c>
      <c r="B1083" s="8" t="s">
        <v>2249</v>
      </c>
      <c r="C1083" s="8" t="s">
        <v>3540</v>
      </c>
      <c r="D1083" s="8">
        <v>102</v>
      </c>
      <c r="E1083" s="24">
        <v>0.48039215803146301</v>
      </c>
      <c r="F1083" s="24">
        <v>0.51960784196853604</v>
      </c>
      <c r="G1083" s="23">
        <v>0</v>
      </c>
      <c r="H1083" s="23">
        <v>9.8039219155907995E-3</v>
      </c>
      <c r="I1083" s="24">
        <v>0.64705884456634499</v>
      </c>
      <c r="J1083" s="24">
        <v>0.28431373834609902</v>
      </c>
      <c r="K1083" s="23">
        <v>0</v>
      </c>
      <c r="L1083" s="23">
        <v>9.8039219155907995E-3</v>
      </c>
      <c r="M1083" s="23">
        <v>4.9019608646631199E-2</v>
      </c>
      <c r="N1083" s="23">
        <v>0</v>
      </c>
      <c r="O1083" s="24">
        <v>0.36274510622024497</v>
      </c>
      <c r="P1083" s="24">
        <v>0.12745098769664701</v>
      </c>
      <c r="Q1083" s="23">
        <v>1</v>
      </c>
      <c r="R1083" s="25">
        <v>0</v>
      </c>
      <c r="S1083" s="25">
        <v>4.9019607843137254E-2</v>
      </c>
      <c r="T1083" s="25">
        <v>0.34313725490196079</v>
      </c>
    </row>
    <row r="1084" spans="1:20" x14ac:dyDescent="0.25">
      <c r="A1084" s="8" t="s">
        <v>2250</v>
      </c>
      <c r="B1084" s="8" t="s">
        <v>2251</v>
      </c>
      <c r="C1084" s="8" t="s">
        <v>3540</v>
      </c>
      <c r="D1084" s="8">
        <v>201</v>
      </c>
      <c r="E1084" s="24">
        <v>0.51243782043456998</v>
      </c>
      <c r="F1084" s="24">
        <v>0.48756217956542902</v>
      </c>
      <c r="G1084" s="23">
        <v>0</v>
      </c>
      <c r="H1084" s="23">
        <v>0</v>
      </c>
      <c r="I1084" s="24">
        <v>0.63184082508087103</v>
      </c>
      <c r="J1084" s="24">
        <v>0.33333334326744002</v>
      </c>
      <c r="K1084" s="23">
        <v>9.9502485245466007E-3</v>
      </c>
      <c r="L1084" s="23">
        <v>1.9900497049093201E-2</v>
      </c>
      <c r="M1084" s="23">
        <v>4.9751242622733003E-3</v>
      </c>
      <c r="N1084" s="23">
        <v>0</v>
      </c>
      <c r="O1084" s="24">
        <v>0.40298506617545998</v>
      </c>
      <c r="P1084" s="24">
        <v>0.104477614164352</v>
      </c>
      <c r="Q1084" s="24">
        <v>0.97014927864074696</v>
      </c>
      <c r="R1084" s="25">
        <v>0.13930348258706468</v>
      </c>
      <c r="S1084" s="25">
        <v>2.9850746268656716E-2</v>
      </c>
      <c r="T1084" s="25">
        <v>0.22388059701492538</v>
      </c>
    </row>
    <row r="1085" spans="1:20" x14ac:dyDescent="0.25">
      <c r="A1085" s="8" t="s">
        <v>2252</v>
      </c>
      <c r="B1085" s="8" t="s">
        <v>2253</v>
      </c>
      <c r="C1085" s="8" t="s">
        <v>3540</v>
      </c>
      <c r="D1085" s="8">
        <v>182</v>
      </c>
      <c r="E1085" s="24">
        <v>0.50549453496932895</v>
      </c>
      <c r="F1085" s="24">
        <v>0.494505494832992</v>
      </c>
      <c r="G1085" s="23">
        <v>0</v>
      </c>
      <c r="H1085" s="23">
        <v>2.7472527697682401E-2</v>
      </c>
      <c r="I1085" s="24">
        <v>0.51648354530334395</v>
      </c>
      <c r="J1085" s="24">
        <v>0.37362638115882801</v>
      </c>
      <c r="K1085" s="23">
        <v>1.6483517363667499E-2</v>
      </c>
      <c r="L1085" s="23">
        <v>1.09890112653375E-2</v>
      </c>
      <c r="M1085" s="23">
        <v>1.6483517363667499E-2</v>
      </c>
      <c r="N1085" s="23">
        <v>3.8461539894342402E-2</v>
      </c>
      <c r="O1085" s="24">
        <v>0.36263737082481301</v>
      </c>
      <c r="P1085" s="24">
        <v>0.241758242249488</v>
      </c>
      <c r="Q1085" s="24">
        <v>0.97802197933196999</v>
      </c>
      <c r="R1085" s="25">
        <v>0</v>
      </c>
      <c r="S1085" s="25">
        <v>0.14285714285714285</v>
      </c>
      <c r="T1085" s="25">
        <v>0.18131868131868131</v>
      </c>
    </row>
    <row r="1086" spans="1:20" x14ac:dyDescent="0.25">
      <c r="A1086" s="8" t="s">
        <v>2254</v>
      </c>
      <c r="B1086" s="8" t="s">
        <v>2255</v>
      </c>
      <c r="C1086" s="8" t="s">
        <v>3540</v>
      </c>
      <c r="D1086" s="8">
        <v>1201</v>
      </c>
      <c r="E1086" s="24">
        <v>0.45378851890563898</v>
      </c>
      <c r="F1086" s="24">
        <v>0.54621148109436002</v>
      </c>
      <c r="G1086" s="23">
        <v>0</v>
      </c>
      <c r="H1086" s="24">
        <v>0.40049958229064903</v>
      </c>
      <c r="I1086" s="23">
        <v>1.16569520905614E-2</v>
      </c>
      <c r="J1086" s="24">
        <v>0.56369692087173395</v>
      </c>
      <c r="K1086" s="23">
        <v>4.1631972417235001E-3</v>
      </c>
      <c r="L1086" s="23">
        <v>4.1631972417235001E-3</v>
      </c>
      <c r="M1086" s="23">
        <v>1.49875106289983E-2</v>
      </c>
      <c r="N1086" s="23">
        <v>8.3263945998619999E-4</v>
      </c>
      <c r="O1086" s="24">
        <v>0.15986678004264801</v>
      </c>
      <c r="P1086" s="24">
        <v>0.211490422487258</v>
      </c>
      <c r="Q1086" s="24">
        <v>0.87343877553939797</v>
      </c>
      <c r="R1086" s="25">
        <v>6.9109075770191514E-2</v>
      </c>
      <c r="S1086" s="25">
        <v>0</v>
      </c>
      <c r="T1086" s="25">
        <v>9.5753538717735218E-2</v>
      </c>
    </row>
    <row r="1087" spans="1:20" x14ac:dyDescent="0.25">
      <c r="A1087" s="8" t="s">
        <v>2256</v>
      </c>
      <c r="B1087" s="8" t="s">
        <v>2257</v>
      </c>
      <c r="C1087" s="8" t="s">
        <v>3540</v>
      </c>
      <c r="D1087" s="8">
        <v>1187</v>
      </c>
      <c r="E1087" s="24">
        <v>0.48609942197799599</v>
      </c>
      <c r="F1087" s="24">
        <v>0.51390057802200295</v>
      </c>
      <c r="G1087" s="23">
        <v>0</v>
      </c>
      <c r="H1087" s="24">
        <v>0.57961249351501398</v>
      </c>
      <c r="I1087" s="23">
        <v>1.01095195859671E-2</v>
      </c>
      <c r="J1087" s="24">
        <v>0.351305812597274</v>
      </c>
      <c r="K1087" s="23">
        <v>9.2670600861310994E-3</v>
      </c>
      <c r="L1087" s="23">
        <v>1.9376579672098201E-2</v>
      </c>
      <c r="M1087" s="23">
        <v>3.0328558757901199E-2</v>
      </c>
      <c r="N1087" s="23">
        <v>0</v>
      </c>
      <c r="O1087" s="24">
        <v>0.144903123378753</v>
      </c>
      <c r="P1087" s="24">
        <v>0.33277168869972201</v>
      </c>
      <c r="Q1087" s="24">
        <v>0.83824765682220403</v>
      </c>
      <c r="R1087" s="25">
        <v>5.6444818871103621E-2</v>
      </c>
      <c r="S1087" s="25">
        <v>0</v>
      </c>
      <c r="T1087" s="25">
        <v>8.0876158382476832E-2</v>
      </c>
    </row>
    <row r="1088" spans="1:20" x14ac:dyDescent="0.25">
      <c r="A1088" s="8" t="s">
        <v>2258</v>
      </c>
      <c r="B1088" s="8" t="s">
        <v>2259</v>
      </c>
      <c r="C1088" s="8" t="s">
        <v>3540</v>
      </c>
      <c r="D1088" s="8">
        <v>840</v>
      </c>
      <c r="E1088" s="24">
        <v>0.45952379703521701</v>
      </c>
      <c r="F1088" s="24">
        <v>0.54047620296478205</v>
      </c>
      <c r="G1088" s="23">
        <v>0</v>
      </c>
      <c r="H1088" s="24">
        <v>0.53928571939468295</v>
      </c>
      <c r="I1088" s="23">
        <v>5.9523810632526996E-3</v>
      </c>
      <c r="J1088" s="24">
        <v>0.39047619700431802</v>
      </c>
      <c r="K1088" s="23">
        <v>1.42857143655419E-2</v>
      </c>
      <c r="L1088" s="23">
        <v>2.14285720139742E-2</v>
      </c>
      <c r="M1088" s="23">
        <v>2.8571428731083901E-2</v>
      </c>
      <c r="N1088" s="23">
        <v>0</v>
      </c>
      <c r="O1088" s="24">
        <v>0.170238092541694</v>
      </c>
      <c r="P1088" s="24">
        <v>0.38809522986411998</v>
      </c>
      <c r="Q1088" s="24">
        <v>0.85952383279800404</v>
      </c>
      <c r="R1088" s="25">
        <v>7.0238095238095238E-2</v>
      </c>
      <c r="S1088" s="25">
        <v>1.1904761904761906E-3</v>
      </c>
      <c r="T1088" s="25">
        <v>0.1</v>
      </c>
    </row>
    <row r="1089" spans="1:20" x14ac:dyDescent="0.25">
      <c r="A1089" s="8" t="s">
        <v>2260</v>
      </c>
      <c r="B1089" s="8" t="s">
        <v>2261</v>
      </c>
      <c r="C1089" s="8" t="s">
        <v>3540</v>
      </c>
      <c r="D1089" s="8">
        <v>819</v>
      </c>
      <c r="E1089" s="24">
        <v>0.50061053037643399</v>
      </c>
      <c r="F1089" s="24">
        <v>0.49938949942588801</v>
      </c>
      <c r="G1089" s="23">
        <v>0</v>
      </c>
      <c r="H1089" s="24">
        <v>0.24908424913883201</v>
      </c>
      <c r="I1089" s="23">
        <v>7.8144080936908694E-2</v>
      </c>
      <c r="J1089" s="24">
        <v>0.62637364864349299</v>
      </c>
      <c r="K1089" s="23">
        <v>2.4420025292784002E-3</v>
      </c>
      <c r="L1089" s="23">
        <v>4.8840050585568003E-3</v>
      </c>
      <c r="M1089" s="23">
        <v>3.7851039320230498E-2</v>
      </c>
      <c r="N1089" s="23">
        <v>1.2210012646392001E-3</v>
      </c>
      <c r="O1089" s="24">
        <v>0.21245421469211501</v>
      </c>
      <c r="P1089" s="24">
        <v>0.34432235360145502</v>
      </c>
      <c r="Q1089" s="24">
        <v>0.81074482202529896</v>
      </c>
      <c r="R1089" s="25">
        <v>1.3431013431013432E-2</v>
      </c>
      <c r="S1089" s="25">
        <v>0.12087912087912088</v>
      </c>
      <c r="T1089" s="25">
        <v>8.0586080586080591E-2</v>
      </c>
    </row>
    <row r="1090" spans="1:20" x14ac:dyDescent="0.25">
      <c r="A1090" s="8" t="s">
        <v>2262</v>
      </c>
      <c r="B1090" s="8" t="s">
        <v>2263</v>
      </c>
      <c r="C1090" s="8" t="s">
        <v>3540</v>
      </c>
      <c r="D1090" s="8">
        <v>993</v>
      </c>
      <c r="E1090" s="24">
        <v>0.497482389211654</v>
      </c>
      <c r="F1090" s="24">
        <v>0.50251764059066695</v>
      </c>
      <c r="G1090" s="23">
        <v>0</v>
      </c>
      <c r="H1090" s="23">
        <v>2.1148037165403401E-2</v>
      </c>
      <c r="I1090" s="23">
        <v>8.0563947558402998E-3</v>
      </c>
      <c r="J1090" s="24">
        <v>0.94159114360809304</v>
      </c>
      <c r="K1090" s="23">
        <v>3.0211480334401001E-3</v>
      </c>
      <c r="L1090" s="23">
        <v>1.1077542789280401E-2</v>
      </c>
      <c r="M1090" s="23">
        <v>1.51057401672006E-2</v>
      </c>
      <c r="N1090" s="23">
        <v>0</v>
      </c>
      <c r="O1090" s="24">
        <v>0.183282986283302</v>
      </c>
      <c r="P1090" s="24">
        <v>0.65558910369873002</v>
      </c>
      <c r="Q1090" s="24">
        <v>0.94259816408157304</v>
      </c>
      <c r="R1090" s="25">
        <v>7.452165156092648E-2</v>
      </c>
      <c r="S1090" s="25">
        <v>1.0070493454179255E-3</v>
      </c>
      <c r="T1090" s="25">
        <v>0.1027190332326284</v>
      </c>
    </row>
    <row r="1091" spans="1:20" x14ac:dyDescent="0.25">
      <c r="A1091" s="8" t="s">
        <v>2264</v>
      </c>
      <c r="B1091" s="8" t="s">
        <v>2265</v>
      </c>
      <c r="C1091" s="8" t="s">
        <v>3540</v>
      </c>
      <c r="D1091" s="8">
        <v>934</v>
      </c>
      <c r="E1091" s="24">
        <v>0.51070666313171298</v>
      </c>
      <c r="F1091" s="24">
        <v>0.48929336667060802</v>
      </c>
      <c r="G1091" s="23">
        <v>0</v>
      </c>
      <c r="H1091" s="23">
        <v>6.4239827916026003E-3</v>
      </c>
      <c r="I1091" s="23">
        <v>4.2826551944017003E-3</v>
      </c>
      <c r="J1091" s="24">
        <v>0.97430408000946001</v>
      </c>
      <c r="K1091" s="23">
        <v>0</v>
      </c>
      <c r="L1091" s="23">
        <v>3.2119913958013001E-3</v>
      </c>
      <c r="M1091" s="23">
        <v>1.1777302250266099E-2</v>
      </c>
      <c r="N1091" s="23">
        <v>0</v>
      </c>
      <c r="O1091" s="24">
        <v>0.16916488111019101</v>
      </c>
      <c r="P1091" s="24">
        <v>0.60064238309860196</v>
      </c>
      <c r="Q1091" s="24">
        <v>0.96359741687774603</v>
      </c>
      <c r="R1091" s="25">
        <v>6.638115631691649E-2</v>
      </c>
      <c r="S1091" s="25">
        <v>1.0706638115631692E-3</v>
      </c>
      <c r="T1091" s="25">
        <v>0.10385438972162742</v>
      </c>
    </row>
    <row r="1092" spans="1:20" x14ac:dyDescent="0.25">
      <c r="A1092" s="8" t="s">
        <v>2267</v>
      </c>
      <c r="B1092" s="8" t="s">
        <v>2268</v>
      </c>
      <c r="C1092" s="8" t="s">
        <v>3540</v>
      </c>
      <c r="D1092" s="8">
        <v>1502</v>
      </c>
      <c r="E1092" s="24">
        <v>0.48668441176414401</v>
      </c>
      <c r="F1092" s="24">
        <v>0.51331555843353205</v>
      </c>
      <c r="G1092" s="23">
        <v>0</v>
      </c>
      <c r="H1092" s="23">
        <v>1.39813581481576E-2</v>
      </c>
      <c r="I1092" s="23">
        <v>0</v>
      </c>
      <c r="J1092" s="24">
        <v>0.96537947654724099</v>
      </c>
      <c r="K1092" s="23">
        <v>0</v>
      </c>
      <c r="L1092" s="23">
        <v>8.6551262065767999E-3</v>
      </c>
      <c r="M1092" s="23">
        <v>1.13182421773672E-2</v>
      </c>
      <c r="N1092" s="23">
        <v>6.6577893448989997E-4</v>
      </c>
      <c r="O1092" s="24">
        <v>0.26364848017692499</v>
      </c>
      <c r="P1092" s="24">
        <v>0.69707059860229403</v>
      </c>
      <c r="Q1092" s="24">
        <v>0.92543274164199796</v>
      </c>
      <c r="R1092" s="25">
        <v>8.9880159786950728E-2</v>
      </c>
      <c r="S1092" s="25">
        <v>1.3315579227696406E-3</v>
      </c>
      <c r="T1092" s="25">
        <v>0.16977363515312915</v>
      </c>
    </row>
    <row r="1093" spans="1:20" x14ac:dyDescent="0.25">
      <c r="A1093" s="8" t="s">
        <v>2269</v>
      </c>
      <c r="B1093" s="8" t="s">
        <v>2270</v>
      </c>
      <c r="C1093" s="8" t="s">
        <v>3540</v>
      </c>
      <c r="D1093" s="8">
        <v>264</v>
      </c>
      <c r="E1093" s="24">
        <v>0.47348484396934498</v>
      </c>
      <c r="F1093" s="24">
        <v>0.52651512622833196</v>
      </c>
      <c r="G1093" s="23">
        <v>0</v>
      </c>
      <c r="H1093" s="23">
        <v>2.2727273404598201E-2</v>
      </c>
      <c r="I1093" s="23">
        <v>3.7878789007664E-3</v>
      </c>
      <c r="J1093" s="23">
        <v>0.93560606241226196</v>
      </c>
      <c r="K1093" s="23">
        <v>0</v>
      </c>
      <c r="L1093" s="23">
        <v>1.1363636702299101E-2</v>
      </c>
      <c r="M1093" s="23">
        <v>2.6515152305364598E-2</v>
      </c>
      <c r="N1093" s="23">
        <v>0</v>
      </c>
      <c r="O1093" s="24">
        <v>0.272727280855178</v>
      </c>
      <c r="P1093" s="24">
        <v>0.64015150070190396</v>
      </c>
      <c r="Q1093" s="24">
        <v>0.91666668653488104</v>
      </c>
      <c r="R1093" s="25">
        <v>0.12878787878787878</v>
      </c>
      <c r="S1093" s="25">
        <v>0</v>
      </c>
      <c r="T1093" s="25">
        <v>0.11742424242424243</v>
      </c>
    </row>
    <row r="1094" spans="1:20" x14ac:dyDescent="0.25">
      <c r="A1094" s="8" t="s">
        <v>2271</v>
      </c>
      <c r="B1094" s="8" t="s">
        <v>2272</v>
      </c>
      <c r="C1094" s="8" t="s">
        <v>3540</v>
      </c>
      <c r="D1094" s="8">
        <v>1225</v>
      </c>
      <c r="E1094" s="24">
        <v>0.50775510072708097</v>
      </c>
      <c r="F1094" s="24">
        <v>0.49224489927291798</v>
      </c>
      <c r="G1094" s="23">
        <v>0</v>
      </c>
      <c r="H1094" s="23">
        <v>0.24653060734272</v>
      </c>
      <c r="I1094" s="23">
        <v>4.0816324763000003E-3</v>
      </c>
      <c r="J1094" s="24">
        <v>0.305306136608123</v>
      </c>
      <c r="K1094" s="23">
        <v>2.61224489659071E-2</v>
      </c>
      <c r="L1094" s="23">
        <v>2.4489795323460999E-3</v>
      </c>
      <c r="M1094" s="24">
        <v>0.41551020741462702</v>
      </c>
      <c r="N1094" s="23">
        <v>0</v>
      </c>
      <c r="O1094" s="24">
        <v>0.1812244951725</v>
      </c>
      <c r="P1094" s="23">
        <v>7.83673450350761E-2</v>
      </c>
      <c r="Q1094" s="24">
        <v>0.52163267135620095</v>
      </c>
      <c r="R1094" s="25">
        <v>3.1020408163265307E-2</v>
      </c>
      <c r="S1094" s="25">
        <v>1.3061224489795919E-2</v>
      </c>
      <c r="T1094" s="25">
        <v>0.12897959183673469</v>
      </c>
    </row>
    <row r="1095" spans="1:20" x14ac:dyDescent="0.25">
      <c r="A1095" s="8" t="s">
        <v>2273</v>
      </c>
      <c r="B1095" s="8" t="s">
        <v>2274</v>
      </c>
      <c r="C1095" s="8" t="s">
        <v>3540</v>
      </c>
      <c r="D1095" s="8">
        <v>752</v>
      </c>
      <c r="E1095" s="24">
        <v>0.46276596188545199</v>
      </c>
      <c r="F1095" s="24">
        <v>0.53723406791687001</v>
      </c>
      <c r="G1095" s="23">
        <v>0</v>
      </c>
      <c r="H1095" s="24">
        <v>0.36303192377090399</v>
      </c>
      <c r="I1095" s="23">
        <v>9.3085104599595E-3</v>
      </c>
      <c r="J1095" s="24">
        <v>0.47340425848960799</v>
      </c>
      <c r="K1095" s="23">
        <v>1.06382975354791E-2</v>
      </c>
      <c r="L1095" s="23">
        <v>9.3085104599595E-3</v>
      </c>
      <c r="M1095" s="24">
        <v>0.134308516979217</v>
      </c>
      <c r="N1095" s="23">
        <v>0</v>
      </c>
      <c r="O1095" s="24">
        <v>0.17154255509376501</v>
      </c>
      <c r="P1095" s="24">
        <v>0.15159574151039101</v>
      </c>
      <c r="Q1095" s="24">
        <v>0.82845747470855702</v>
      </c>
      <c r="R1095" s="25">
        <v>5.5851063829787231E-2</v>
      </c>
      <c r="S1095" s="25">
        <v>7.9787234042553185E-3</v>
      </c>
      <c r="T1095" s="25">
        <v>0.10372340425531915</v>
      </c>
    </row>
    <row r="1096" spans="1:20" x14ac:dyDescent="0.25">
      <c r="A1096" s="8" t="s">
        <v>2275</v>
      </c>
      <c r="B1096" s="8" t="s">
        <v>2276</v>
      </c>
      <c r="C1096" s="8" t="s">
        <v>3540</v>
      </c>
      <c r="D1096" s="8">
        <v>2150</v>
      </c>
      <c r="E1096" s="24">
        <v>0.49860465526580799</v>
      </c>
      <c r="F1096" s="24">
        <v>0.50139534473419101</v>
      </c>
      <c r="G1096" s="23">
        <v>0</v>
      </c>
      <c r="H1096" s="23">
        <v>3.5813953727483701E-2</v>
      </c>
      <c r="I1096" s="23">
        <v>1.5348836779594401E-2</v>
      </c>
      <c r="J1096" s="24">
        <v>0.93767440319061202</v>
      </c>
      <c r="K1096" s="23">
        <v>9.3023257795720002E-4</v>
      </c>
      <c r="L1096" s="23">
        <v>2.3255813866854E-3</v>
      </c>
      <c r="M1096" s="23">
        <v>7.9069770872592995E-3</v>
      </c>
      <c r="N1096" s="23">
        <v>0</v>
      </c>
      <c r="O1096" s="24">
        <v>0.16279070079326599</v>
      </c>
      <c r="P1096" s="24">
        <v>0.45302325487136802</v>
      </c>
      <c r="Q1096" s="24">
        <v>0.94976747035980202</v>
      </c>
      <c r="R1096" s="25">
        <v>7.8139534883720926E-2</v>
      </c>
      <c r="S1096" s="25">
        <v>1.3953488372093023E-3</v>
      </c>
      <c r="T1096" s="25">
        <v>8.3720930232558138E-2</v>
      </c>
    </row>
    <row r="1097" spans="1:20" x14ac:dyDescent="0.25">
      <c r="A1097" s="8" t="s">
        <v>2277</v>
      </c>
      <c r="B1097" s="8" t="s">
        <v>2278</v>
      </c>
      <c r="C1097" s="8" t="s">
        <v>3540</v>
      </c>
      <c r="D1097" s="8">
        <v>463</v>
      </c>
      <c r="E1097" s="24">
        <v>0.53131747245788497</v>
      </c>
      <c r="F1097" s="24">
        <v>0.46868249773979098</v>
      </c>
      <c r="G1097" s="23">
        <v>0</v>
      </c>
      <c r="H1097" s="23">
        <v>2.3758098483085601E-2</v>
      </c>
      <c r="I1097" s="23">
        <v>2.8077753260731701E-2</v>
      </c>
      <c r="J1097" s="24">
        <v>0.82937365770339899</v>
      </c>
      <c r="K1097" s="23">
        <v>2.5917926803231201E-2</v>
      </c>
      <c r="L1097" s="23">
        <v>8.6393086239696E-3</v>
      </c>
      <c r="M1097" s="23">
        <v>8.4233261644840199E-2</v>
      </c>
      <c r="N1097" s="23">
        <v>0</v>
      </c>
      <c r="O1097" s="24">
        <v>0.25269979238510099</v>
      </c>
      <c r="P1097" s="23">
        <v>0.27213823795318598</v>
      </c>
      <c r="Q1097" s="24">
        <v>0.87473005056381203</v>
      </c>
      <c r="R1097" s="25">
        <v>0.10367170626349892</v>
      </c>
      <c r="S1097" s="25">
        <v>0</v>
      </c>
      <c r="T1097" s="25">
        <v>0.11663066954643629</v>
      </c>
    </row>
    <row r="1098" spans="1:20" x14ac:dyDescent="0.25">
      <c r="A1098" s="8" t="s">
        <v>2279</v>
      </c>
      <c r="B1098" s="8" t="s">
        <v>2280</v>
      </c>
      <c r="C1098" s="8" t="s">
        <v>3540</v>
      </c>
      <c r="D1098" s="8">
        <v>475</v>
      </c>
      <c r="E1098" s="24">
        <v>0.49052631855010898</v>
      </c>
      <c r="F1098" s="24">
        <v>0.50947368144989003</v>
      </c>
      <c r="G1098" s="23">
        <v>0</v>
      </c>
      <c r="H1098" s="23">
        <v>6.5263159573078197E-2</v>
      </c>
      <c r="I1098" s="23">
        <v>8.4210522472857995E-3</v>
      </c>
      <c r="J1098" s="24">
        <v>0.65684211254119795</v>
      </c>
      <c r="K1098" s="23">
        <v>6.3157896511256998E-3</v>
      </c>
      <c r="L1098" s="23">
        <v>2.1052630618215002E-3</v>
      </c>
      <c r="M1098" s="24">
        <v>0.26105263829231201</v>
      </c>
      <c r="N1098" s="23">
        <v>0</v>
      </c>
      <c r="O1098" s="24">
        <v>0.149473682045936</v>
      </c>
      <c r="P1098" s="24">
        <v>0.246315792202949</v>
      </c>
      <c r="Q1098" s="24">
        <v>0.80210524797439497</v>
      </c>
      <c r="R1098" s="25">
        <v>0</v>
      </c>
      <c r="S1098" s="25">
        <v>0</v>
      </c>
      <c r="T1098" s="25">
        <v>0.12842105263157894</v>
      </c>
    </row>
    <row r="1099" spans="1:20" x14ac:dyDescent="0.25">
      <c r="A1099" s="8" t="s">
        <v>2281</v>
      </c>
      <c r="B1099" s="8" t="s">
        <v>2282</v>
      </c>
      <c r="C1099" s="8" t="s">
        <v>3540</v>
      </c>
      <c r="D1099" s="8">
        <v>1587</v>
      </c>
      <c r="E1099" s="24">
        <v>0.48771265149116499</v>
      </c>
      <c r="F1099" s="24">
        <v>0.51228731870651201</v>
      </c>
      <c r="G1099" s="23">
        <v>0</v>
      </c>
      <c r="H1099" s="24">
        <v>0.29552614688873202</v>
      </c>
      <c r="I1099" s="23">
        <v>1.0712035000324201E-2</v>
      </c>
      <c r="J1099" s="24">
        <v>0.58034026622772195</v>
      </c>
      <c r="K1099" s="23">
        <v>7.5614368543028996E-3</v>
      </c>
      <c r="L1099" s="23">
        <v>3.1505986116826998E-3</v>
      </c>
      <c r="M1099" s="24">
        <v>0.10207939147949199</v>
      </c>
      <c r="N1099" s="23">
        <v>6.3011969905350004E-4</v>
      </c>
      <c r="O1099" s="24">
        <v>0.175803408026695</v>
      </c>
      <c r="P1099" s="24">
        <v>0.17391304671764299</v>
      </c>
      <c r="Q1099" s="24">
        <v>0.78701955080032304</v>
      </c>
      <c r="R1099" s="25">
        <v>5.2299936988027727E-2</v>
      </c>
      <c r="S1099" s="25">
        <v>6.9313169502205419E-3</v>
      </c>
      <c r="T1099" s="25">
        <v>0.11846250787649654</v>
      </c>
    </row>
    <row r="1100" spans="1:20" x14ac:dyDescent="0.25">
      <c r="A1100" s="8" t="s">
        <v>2283</v>
      </c>
      <c r="B1100" s="8" t="s">
        <v>2284</v>
      </c>
      <c r="C1100" s="8" t="s">
        <v>3540</v>
      </c>
      <c r="D1100" s="8">
        <v>570</v>
      </c>
      <c r="E1100" s="24">
        <v>0.45789474248886097</v>
      </c>
      <c r="F1100" s="24">
        <v>0.54210525751113803</v>
      </c>
      <c r="G1100" s="23">
        <v>0</v>
      </c>
      <c r="H1100" s="23">
        <v>4.5614033937454203E-2</v>
      </c>
      <c r="I1100" s="23">
        <v>2.1052632480859802E-2</v>
      </c>
      <c r="J1100" s="24">
        <v>0.88771927356719904</v>
      </c>
      <c r="K1100" s="23">
        <v>1.7543860012665001E-3</v>
      </c>
      <c r="L1100" s="23">
        <v>5.2631581202149001E-3</v>
      </c>
      <c r="M1100" s="23">
        <v>3.8596492260694497E-2</v>
      </c>
      <c r="N1100" s="23">
        <v>0</v>
      </c>
      <c r="O1100" s="24">
        <v>0.278947383165359</v>
      </c>
      <c r="P1100" s="24">
        <v>0.32280701398849398</v>
      </c>
      <c r="Q1100" s="24">
        <v>0.850877165794372</v>
      </c>
      <c r="R1100" s="25">
        <v>0.11228070175438597</v>
      </c>
      <c r="S1100" s="25">
        <v>1.2280701754385965E-2</v>
      </c>
      <c r="T1100" s="25">
        <v>0.15964912280701754</v>
      </c>
    </row>
    <row r="1101" spans="1:20" x14ac:dyDescent="0.25">
      <c r="A1101" s="8" t="s">
        <v>2285</v>
      </c>
      <c r="B1101" s="8" t="s">
        <v>2286</v>
      </c>
      <c r="C1101" s="8" t="s">
        <v>3540</v>
      </c>
      <c r="D1101" s="8">
        <v>662</v>
      </c>
      <c r="E1101" s="24">
        <v>0.48791539669036799</v>
      </c>
      <c r="F1101" s="24">
        <v>0.51208460330963101</v>
      </c>
      <c r="G1101" s="23">
        <v>0</v>
      </c>
      <c r="H1101" s="23">
        <v>2.87009067833424E-2</v>
      </c>
      <c r="I1101" s="23">
        <v>1.51057401672006E-2</v>
      </c>
      <c r="J1101" s="24">
        <v>0.88972806930541903</v>
      </c>
      <c r="K1101" s="23">
        <v>4.5317220501602E-3</v>
      </c>
      <c r="L1101" s="23">
        <v>3.0211480334401001E-3</v>
      </c>
      <c r="M1101" s="23">
        <v>5.8912385255098301E-2</v>
      </c>
      <c r="N1101" s="23">
        <v>0</v>
      </c>
      <c r="O1101" s="24">
        <v>0.20996978878974901</v>
      </c>
      <c r="P1101" s="23">
        <v>0.24320241808891299</v>
      </c>
      <c r="Q1101" s="24">
        <v>0.909365534782409</v>
      </c>
      <c r="R1101" s="25">
        <v>8.7613293051359523E-2</v>
      </c>
      <c r="S1101" s="25">
        <v>0</v>
      </c>
      <c r="T1101" s="25">
        <v>0.12386706948640483</v>
      </c>
    </row>
    <row r="1102" spans="1:20" x14ac:dyDescent="0.25">
      <c r="A1102" s="8" t="s">
        <v>2287</v>
      </c>
      <c r="B1102" s="8" t="s">
        <v>2288</v>
      </c>
      <c r="C1102" s="8" t="s">
        <v>3540</v>
      </c>
      <c r="D1102" s="8">
        <v>545</v>
      </c>
      <c r="E1102" s="24">
        <v>0.48807340860366799</v>
      </c>
      <c r="F1102" s="24">
        <v>0.51192659139633101</v>
      </c>
      <c r="G1102" s="23">
        <v>0</v>
      </c>
      <c r="H1102" s="24">
        <v>0.111926607787609</v>
      </c>
      <c r="I1102" s="23">
        <v>7.3394495993852997E-3</v>
      </c>
      <c r="J1102" s="24">
        <v>0.59633028507232599</v>
      </c>
      <c r="K1102" s="23">
        <v>1.4678899198770501E-2</v>
      </c>
      <c r="L1102" s="23">
        <v>9.1743115335703E-3</v>
      </c>
      <c r="M1102" s="23">
        <v>0.26055046916008001</v>
      </c>
      <c r="N1102" s="23">
        <v>0</v>
      </c>
      <c r="O1102" s="24">
        <v>0.23853211104869801</v>
      </c>
      <c r="P1102" s="24">
        <v>0.13761468231678001</v>
      </c>
      <c r="Q1102" s="24">
        <v>0.71743118762969904</v>
      </c>
      <c r="R1102" s="25">
        <v>9.1743119266055051E-2</v>
      </c>
      <c r="S1102" s="25">
        <v>1.834862385321101E-3</v>
      </c>
      <c r="T1102" s="25">
        <v>0.13211009174311927</v>
      </c>
    </row>
    <row r="1103" spans="1:20" x14ac:dyDescent="0.25">
      <c r="A1103" s="8" t="s">
        <v>2289</v>
      </c>
      <c r="B1103" s="8" t="s">
        <v>2290</v>
      </c>
      <c r="C1103" s="8" t="s">
        <v>3540</v>
      </c>
      <c r="D1103" s="8">
        <v>694</v>
      </c>
      <c r="E1103" s="24">
        <v>0.49567723274230902</v>
      </c>
      <c r="F1103" s="24">
        <v>0.50288182497024503</v>
      </c>
      <c r="G1103" s="23">
        <v>1.4409221475944001E-3</v>
      </c>
      <c r="H1103" s="23">
        <v>7.7809795737266499E-2</v>
      </c>
      <c r="I1103" s="23">
        <v>1.29682999104261E-2</v>
      </c>
      <c r="J1103" s="24">
        <v>0.63256484270095803</v>
      </c>
      <c r="K1103" s="23">
        <v>2.0172910764813399E-2</v>
      </c>
      <c r="L1103" s="23">
        <v>4.3227667920290999E-3</v>
      </c>
      <c r="M1103" s="24">
        <v>0.25216138362884499</v>
      </c>
      <c r="N1103" s="23">
        <v>0</v>
      </c>
      <c r="O1103" s="24">
        <v>0.24927954375743799</v>
      </c>
      <c r="P1103" s="24">
        <v>0.17002882063388799</v>
      </c>
      <c r="Q1103" s="24">
        <v>0.73919308185577304</v>
      </c>
      <c r="R1103" s="25">
        <v>2.4495677233429394E-2</v>
      </c>
      <c r="S1103" s="25">
        <v>6.9164265129683003E-2</v>
      </c>
      <c r="T1103" s="25">
        <v>0.1340057636887608</v>
      </c>
    </row>
    <row r="1104" spans="1:20" x14ac:dyDescent="0.25">
      <c r="A1104" s="8" t="s">
        <v>2291</v>
      </c>
      <c r="B1104" s="8" t="s">
        <v>2292</v>
      </c>
      <c r="C1104" s="8" t="s">
        <v>3540</v>
      </c>
      <c r="D1104" s="8">
        <v>1043</v>
      </c>
      <c r="E1104" s="23">
        <v>0.46021091938018799</v>
      </c>
      <c r="F1104" s="24">
        <v>0.53883028030395497</v>
      </c>
      <c r="G1104" s="23">
        <v>9.5877278363329995E-4</v>
      </c>
      <c r="H1104" s="24">
        <v>0.18791946768760601</v>
      </c>
      <c r="I1104" s="23">
        <v>4.7938637435435997E-3</v>
      </c>
      <c r="J1104" s="24">
        <v>0.78331732749938898</v>
      </c>
      <c r="K1104" s="23">
        <v>4.7938637435435997E-3</v>
      </c>
      <c r="L1104" s="23">
        <v>3.8350911345333E-3</v>
      </c>
      <c r="M1104" s="23">
        <v>1.5340364538133099E-2</v>
      </c>
      <c r="N1104" s="23">
        <v>0</v>
      </c>
      <c r="O1104" s="24">
        <v>0.19558964669704401</v>
      </c>
      <c r="P1104" s="24">
        <v>0.55704700946807795</v>
      </c>
      <c r="Q1104" s="24">
        <v>0.98082453012466397</v>
      </c>
      <c r="R1104" s="25">
        <v>8.2454458293384464E-2</v>
      </c>
      <c r="S1104" s="25">
        <v>0</v>
      </c>
      <c r="T1104" s="25">
        <v>0.11697027804410355</v>
      </c>
    </row>
    <row r="1105" spans="1:20" x14ac:dyDescent="0.25">
      <c r="A1105" s="8" t="s">
        <v>2293</v>
      </c>
      <c r="B1105" s="8" t="s">
        <v>2294</v>
      </c>
      <c r="C1105" s="8" t="s">
        <v>3540</v>
      </c>
      <c r="D1105" s="8">
        <v>779</v>
      </c>
      <c r="E1105" s="24">
        <v>0.43517330288887002</v>
      </c>
      <c r="F1105" s="24">
        <v>0.56482672691345204</v>
      </c>
      <c r="G1105" s="23">
        <v>0</v>
      </c>
      <c r="H1105" s="23">
        <v>4.8780485987663297E-2</v>
      </c>
      <c r="I1105" s="23">
        <v>2.82413344830275E-2</v>
      </c>
      <c r="J1105" s="24">
        <v>0.57124519348144498</v>
      </c>
      <c r="K1105" s="23">
        <v>2.5673941709101001E-3</v>
      </c>
      <c r="L1105" s="23">
        <v>1.5404365025460699E-2</v>
      </c>
      <c r="M1105" s="24">
        <v>0.33376124501228299</v>
      </c>
      <c r="N1105" s="23">
        <v>0</v>
      </c>
      <c r="O1105" s="24">
        <v>0.211810007691383</v>
      </c>
      <c r="P1105" s="24">
        <v>0.12708601355552601</v>
      </c>
      <c r="Q1105" s="24">
        <v>0.74326056241989102</v>
      </c>
      <c r="R1105" s="25">
        <v>0.10141206675224647</v>
      </c>
      <c r="S1105" s="25">
        <v>0</v>
      </c>
      <c r="T1105" s="25">
        <v>9.3709884467265719E-2</v>
      </c>
    </row>
    <row r="1106" spans="1:20" x14ac:dyDescent="0.25">
      <c r="A1106" s="8" t="s">
        <v>2295</v>
      </c>
      <c r="B1106" s="8" t="s">
        <v>2296</v>
      </c>
      <c r="C1106" s="8" t="s">
        <v>3540</v>
      </c>
      <c r="D1106" s="8">
        <v>973</v>
      </c>
      <c r="E1106" s="24">
        <v>0.44809865951538003</v>
      </c>
      <c r="F1106" s="24">
        <v>0.55190134048461903</v>
      </c>
      <c r="G1106" s="23">
        <v>0</v>
      </c>
      <c r="H1106" s="23">
        <v>5.44707104563713E-2</v>
      </c>
      <c r="I1106" s="23">
        <v>1.8499486148357398E-2</v>
      </c>
      <c r="J1106" s="24">
        <v>0.77800619602203303</v>
      </c>
      <c r="K1106" s="23">
        <v>4.1109970770776003E-3</v>
      </c>
      <c r="L1106" s="23">
        <v>9.2497430741786991E-3</v>
      </c>
      <c r="M1106" s="24">
        <v>0.13566289842128701</v>
      </c>
      <c r="N1106" s="23">
        <v>0</v>
      </c>
      <c r="O1106" s="23">
        <v>0.21993833780288699</v>
      </c>
      <c r="P1106" s="24">
        <v>0.27440905570983798</v>
      </c>
      <c r="Q1106" s="24">
        <v>0.91675233840942305</v>
      </c>
      <c r="R1106" s="25">
        <v>8.4275436793422406E-2</v>
      </c>
      <c r="S1106" s="25">
        <v>3.0832476875642342E-3</v>
      </c>
      <c r="T1106" s="25">
        <v>0.13463514902363824</v>
      </c>
    </row>
    <row r="1107" spans="1:20" x14ac:dyDescent="0.25">
      <c r="A1107" s="8" t="s">
        <v>2297</v>
      </c>
      <c r="B1107" s="8" t="s">
        <v>2298</v>
      </c>
      <c r="C1107" s="8" t="s">
        <v>3540</v>
      </c>
      <c r="D1107" s="8">
        <v>1115</v>
      </c>
      <c r="E1107" s="24">
        <v>0.49596413969993502</v>
      </c>
      <c r="F1107" s="24">
        <v>0.50403589010238603</v>
      </c>
      <c r="G1107" s="23">
        <v>0</v>
      </c>
      <c r="H1107" s="24">
        <v>0.61434978246688798</v>
      </c>
      <c r="I1107" s="23">
        <v>2.9596412554383299E-2</v>
      </c>
      <c r="J1107" s="24">
        <v>0.31210762262344299</v>
      </c>
      <c r="K1107" s="23">
        <v>1.88340805470943E-2</v>
      </c>
      <c r="L1107" s="23">
        <v>4.4843051582575E-3</v>
      </c>
      <c r="M1107" s="23">
        <v>2.0627802237868299E-2</v>
      </c>
      <c r="N1107" s="23">
        <v>0</v>
      </c>
      <c r="O1107" s="24">
        <v>0.163228705525398</v>
      </c>
      <c r="P1107" s="24">
        <v>0.215246632695198</v>
      </c>
      <c r="Q1107" s="24">
        <v>0.79282510280609098</v>
      </c>
      <c r="R1107" s="25">
        <v>4.663677130044843E-2</v>
      </c>
      <c r="S1107" s="25">
        <v>6.2780269058295961E-3</v>
      </c>
      <c r="T1107" s="25">
        <v>0.10134529147982063</v>
      </c>
    </row>
    <row r="1108" spans="1:20" x14ac:dyDescent="0.25">
      <c r="A1108" s="8" t="s">
        <v>2299</v>
      </c>
      <c r="B1108" s="8" t="s">
        <v>2300</v>
      </c>
      <c r="C1108" s="8" t="s">
        <v>3540</v>
      </c>
      <c r="D1108" s="8">
        <v>807</v>
      </c>
      <c r="E1108" s="24">
        <v>0.52912020683288497</v>
      </c>
      <c r="F1108" s="24">
        <v>0.47087979316711398</v>
      </c>
      <c r="G1108" s="23">
        <v>0</v>
      </c>
      <c r="H1108" s="23">
        <v>3.9653036743402502E-2</v>
      </c>
      <c r="I1108" s="23">
        <v>2.4783147964627002E-3</v>
      </c>
      <c r="J1108" s="24">
        <v>0.93680298328399603</v>
      </c>
      <c r="K1108" s="23">
        <v>0</v>
      </c>
      <c r="L1108" s="23">
        <v>4.9566295929252997E-3</v>
      </c>
      <c r="M1108" s="23">
        <v>1.61090455949306E-2</v>
      </c>
      <c r="N1108" s="23">
        <v>0</v>
      </c>
      <c r="O1108" s="24">
        <v>0.19702602922916401</v>
      </c>
      <c r="P1108" s="24">
        <v>0.579925656318664</v>
      </c>
      <c r="Q1108" s="24">
        <v>0.96902108192443803</v>
      </c>
      <c r="R1108" s="25">
        <v>8.4262701363073109E-2</v>
      </c>
      <c r="S1108" s="25">
        <v>0</v>
      </c>
      <c r="T1108" s="25">
        <v>0.10656753407682776</v>
      </c>
    </row>
    <row r="1109" spans="1:20" x14ac:dyDescent="0.25">
      <c r="A1109" s="8" t="s">
        <v>2301</v>
      </c>
      <c r="B1109" s="8" t="s">
        <v>2302</v>
      </c>
      <c r="C1109" s="8" t="s">
        <v>3540</v>
      </c>
      <c r="D1109" s="8">
        <v>772</v>
      </c>
      <c r="E1109" s="24">
        <v>0.45077720284461897</v>
      </c>
      <c r="F1109" s="24">
        <v>0.54792743921279896</v>
      </c>
      <c r="G1109" s="23">
        <v>1.2953367549925999E-3</v>
      </c>
      <c r="H1109" s="24">
        <v>0.128238335251808</v>
      </c>
      <c r="I1109" s="23">
        <v>2.0725388079881699E-2</v>
      </c>
      <c r="J1109" s="24">
        <v>0.43005180358886702</v>
      </c>
      <c r="K1109" s="23">
        <v>2.20207255333662E-2</v>
      </c>
      <c r="L1109" s="23">
        <v>5.1813470199703997E-3</v>
      </c>
      <c r="M1109" s="23">
        <v>0.39378237724304199</v>
      </c>
      <c r="N1109" s="23">
        <v>0</v>
      </c>
      <c r="O1109" s="24">
        <v>0.15284973382949801</v>
      </c>
      <c r="P1109" s="24">
        <v>0.10751295089721601</v>
      </c>
      <c r="Q1109" s="24">
        <v>0.56217616796493497</v>
      </c>
      <c r="R1109" s="25">
        <v>4.792746113989637E-2</v>
      </c>
      <c r="S1109" s="25">
        <v>0</v>
      </c>
      <c r="T1109" s="25">
        <v>9.7150259067357511E-2</v>
      </c>
    </row>
    <row r="1110" spans="1:20" x14ac:dyDescent="0.25">
      <c r="A1110" s="8" t="s">
        <v>2303</v>
      </c>
      <c r="B1110" s="8" t="s">
        <v>2304</v>
      </c>
      <c r="C1110" s="8" t="s">
        <v>3540</v>
      </c>
      <c r="D1110" s="8">
        <v>1220</v>
      </c>
      <c r="E1110" s="24">
        <v>0.491803288459777</v>
      </c>
      <c r="F1110" s="24">
        <v>0.50819671154022195</v>
      </c>
      <c r="G1110" s="23">
        <v>0</v>
      </c>
      <c r="H1110" s="23">
        <v>0.30000001192092901</v>
      </c>
      <c r="I1110" s="23">
        <v>1.88524592667818E-2</v>
      </c>
      <c r="J1110" s="24">
        <v>0.330327868461608</v>
      </c>
      <c r="K1110" s="23">
        <v>2.6229508221149399E-2</v>
      </c>
      <c r="L1110" s="23">
        <v>6.5573770552874002E-3</v>
      </c>
      <c r="M1110" s="24">
        <v>0.31803280115127502</v>
      </c>
      <c r="N1110" s="23">
        <v>0</v>
      </c>
      <c r="O1110" s="23">
        <v>9.1803275048732799E-2</v>
      </c>
      <c r="P1110" s="23">
        <v>9.6721313893795E-2</v>
      </c>
      <c r="Q1110" s="24">
        <v>0.72213113307952803</v>
      </c>
      <c r="R1110" s="25">
        <v>1.4754098360655738E-2</v>
      </c>
      <c r="S1110" s="25">
        <v>8.1967213114754098E-4</v>
      </c>
      <c r="T1110" s="25">
        <v>7.7049180327868852E-2</v>
      </c>
    </row>
    <row r="1111" spans="1:20" x14ac:dyDescent="0.25">
      <c r="A1111" s="8" t="s">
        <v>2305</v>
      </c>
      <c r="B1111" s="8" t="s">
        <v>2306</v>
      </c>
      <c r="C1111" s="8" t="s">
        <v>3540</v>
      </c>
      <c r="D1111" s="8">
        <v>1330</v>
      </c>
      <c r="E1111" s="24">
        <v>0.475187957286834</v>
      </c>
      <c r="F1111" s="24">
        <v>0.52481204271316495</v>
      </c>
      <c r="G1111" s="23">
        <v>0</v>
      </c>
      <c r="H1111" s="24">
        <v>0.27293232083320601</v>
      </c>
      <c r="I1111" s="23">
        <v>1.9548872485756898E-2</v>
      </c>
      <c r="J1111" s="24">
        <v>0.65413534641265803</v>
      </c>
      <c r="K1111" s="23">
        <v>5.2631581202149001E-3</v>
      </c>
      <c r="L1111" s="23">
        <v>7.5187971815467002E-3</v>
      </c>
      <c r="M1111" s="23">
        <v>3.9849624037742601E-2</v>
      </c>
      <c r="N1111" s="23">
        <v>7.5187970651309998E-4</v>
      </c>
      <c r="O1111" s="24">
        <v>0.19774435460567399</v>
      </c>
      <c r="P1111" s="24">
        <v>0.25488722324371299</v>
      </c>
      <c r="Q1111" s="24">
        <v>0.85413533449172896</v>
      </c>
      <c r="R1111" s="25">
        <v>6.0902255639097742E-2</v>
      </c>
      <c r="S1111" s="25">
        <v>1.5037593984962407E-3</v>
      </c>
      <c r="T1111" s="25">
        <v>0.13458646616541353</v>
      </c>
    </row>
    <row r="1112" spans="1:20" x14ac:dyDescent="0.25">
      <c r="A1112" s="8" t="s">
        <v>2307</v>
      </c>
      <c r="B1112" s="8" t="s">
        <v>2308</v>
      </c>
      <c r="C1112" s="8" t="s">
        <v>3540</v>
      </c>
      <c r="D1112" s="8">
        <v>632</v>
      </c>
      <c r="E1112" s="24">
        <v>0.47626581788062999</v>
      </c>
      <c r="F1112" s="24">
        <v>0.52373415231704701</v>
      </c>
      <c r="G1112" s="23">
        <v>0</v>
      </c>
      <c r="H1112" s="23">
        <v>8.5443034768104595E-2</v>
      </c>
      <c r="I1112" s="23">
        <v>2.3734176531434101E-2</v>
      </c>
      <c r="J1112" s="24">
        <v>0.28481012582778897</v>
      </c>
      <c r="K1112" s="23">
        <v>2.8481012210249901E-2</v>
      </c>
      <c r="L1112" s="23">
        <v>6.3291140832007001E-3</v>
      </c>
      <c r="M1112" s="24">
        <v>0.57120251655578602</v>
      </c>
      <c r="N1112" s="23">
        <v>0</v>
      </c>
      <c r="O1112" s="24">
        <v>0.18829113245010301</v>
      </c>
      <c r="P1112" s="23">
        <v>6.6455699503421797E-2</v>
      </c>
      <c r="Q1112" s="24">
        <v>0.45411393046379001</v>
      </c>
      <c r="R1112" s="25">
        <v>4.1139240506329111E-2</v>
      </c>
      <c r="S1112" s="25">
        <v>3.0063291139240507E-2</v>
      </c>
      <c r="T1112" s="25">
        <v>0.11867088607594936</v>
      </c>
    </row>
    <row r="1113" spans="1:20" x14ac:dyDescent="0.25">
      <c r="A1113" s="8" t="s">
        <v>2309</v>
      </c>
      <c r="B1113" s="8" t="s">
        <v>2310</v>
      </c>
      <c r="C1113" s="8" t="s">
        <v>3540</v>
      </c>
      <c r="D1113" s="8">
        <v>1338</v>
      </c>
      <c r="E1113" s="24">
        <v>0.50822120904922397</v>
      </c>
      <c r="F1113" s="24">
        <v>0.49177876114845198</v>
      </c>
      <c r="G1113" s="23">
        <v>0</v>
      </c>
      <c r="H1113" s="23">
        <v>2.0926756784319898E-2</v>
      </c>
      <c r="I1113" s="23">
        <v>1.56950671225786E-2</v>
      </c>
      <c r="J1113" s="24">
        <v>0.94992524385452204</v>
      </c>
      <c r="K1113" s="23">
        <v>0</v>
      </c>
      <c r="L1113" s="23">
        <v>4.4843051582575E-3</v>
      </c>
      <c r="M1113" s="23">
        <v>8.9686103165150001E-3</v>
      </c>
      <c r="N1113" s="23">
        <v>0</v>
      </c>
      <c r="O1113" s="24">
        <v>0.20852017402648901</v>
      </c>
      <c r="P1113" s="24">
        <v>0.69431990385055498</v>
      </c>
      <c r="Q1113" s="24">
        <v>0.92451417446136397</v>
      </c>
      <c r="R1113" s="25">
        <v>2.242152466367713E-3</v>
      </c>
      <c r="S1113" s="25">
        <v>6.8011958146487292E-2</v>
      </c>
      <c r="T1113" s="25">
        <v>0.14349775784753363</v>
      </c>
    </row>
    <row r="1114" spans="1:20" x14ac:dyDescent="0.25">
      <c r="A1114" s="8" t="s">
        <v>2311</v>
      </c>
      <c r="B1114" s="8" t="s">
        <v>2312</v>
      </c>
      <c r="C1114" s="8" t="s">
        <v>3540</v>
      </c>
      <c r="D1114" s="8">
        <v>762</v>
      </c>
      <c r="E1114" s="24">
        <v>0.48162728548049899</v>
      </c>
      <c r="F1114" s="24">
        <v>0.51837271451949996</v>
      </c>
      <c r="G1114" s="23">
        <v>0</v>
      </c>
      <c r="H1114" s="24">
        <v>0.12860892713069899</v>
      </c>
      <c r="I1114" s="23">
        <v>6.5616797655821003E-3</v>
      </c>
      <c r="J1114" s="24">
        <v>0.46194225549697798</v>
      </c>
      <c r="K1114" s="23">
        <v>9.1863516718148994E-3</v>
      </c>
      <c r="L1114" s="23">
        <v>3.9370078593493002E-3</v>
      </c>
      <c r="M1114" s="24">
        <v>0.38976377248763999</v>
      </c>
      <c r="N1114" s="23">
        <v>0</v>
      </c>
      <c r="O1114" s="24">
        <v>0.17322835326194699</v>
      </c>
      <c r="P1114" s="24">
        <v>0.19685038924217199</v>
      </c>
      <c r="Q1114" s="24">
        <v>0.69685041904449396</v>
      </c>
      <c r="R1114" s="25">
        <v>1.4435695538057743E-2</v>
      </c>
      <c r="S1114" s="25">
        <v>2.0997375328083989E-2</v>
      </c>
      <c r="T1114" s="25">
        <v>0.12860892388451445</v>
      </c>
    </row>
    <row r="1115" spans="1:20" x14ac:dyDescent="0.25">
      <c r="A1115" s="8" t="s">
        <v>2313</v>
      </c>
      <c r="B1115" s="8" t="s">
        <v>2314</v>
      </c>
      <c r="C1115" s="8" t="s">
        <v>3540</v>
      </c>
      <c r="D1115" s="8">
        <v>500</v>
      </c>
      <c r="E1115" s="24">
        <v>0.47400000691413802</v>
      </c>
      <c r="F1115" s="24">
        <v>0.52600002288818304</v>
      </c>
      <c r="G1115" s="23">
        <v>0</v>
      </c>
      <c r="H1115" s="24">
        <v>0.21400000154971999</v>
      </c>
      <c r="I1115" s="23">
        <v>2.19999998807907E-2</v>
      </c>
      <c r="J1115" s="24">
        <v>0.66000002622604304</v>
      </c>
      <c r="K1115" s="23">
        <v>9.9999997764825994E-3</v>
      </c>
      <c r="L1115" s="23">
        <v>8.0000003799796E-3</v>
      </c>
      <c r="M1115" s="23">
        <v>8.6000002920627594E-2</v>
      </c>
      <c r="N1115" s="23">
        <v>0</v>
      </c>
      <c r="O1115" s="24">
        <v>0.21400000154971999</v>
      </c>
      <c r="P1115" s="24">
        <v>0.52999997138976995</v>
      </c>
      <c r="Q1115" s="24">
        <v>0.85600000619888295</v>
      </c>
      <c r="R1115" s="25">
        <v>4.8000000000000001E-2</v>
      </c>
      <c r="S1115" s="25">
        <v>2E-3</v>
      </c>
      <c r="T1115" s="25">
        <v>0.15</v>
      </c>
    </row>
    <row r="1116" spans="1:20" x14ac:dyDescent="0.25">
      <c r="A1116" s="8" t="s">
        <v>2315</v>
      </c>
      <c r="B1116" s="8" t="s">
        <v>2316</v>
      </c>
      <c r="C1116" s="8" t="s">
        <v>3540</v>
      </c>
      <c r="D1116" s="8">
        <v>883</v>
      </c>
      <c r="E1116" s="24">
        <v>0.52661383152008001</v>
      </c>
      <c r="F1116" s="24">
        <v>0.47338619828224099</v>
      </c>
      <c r="G1116" s="23">
        <v>0</v>
      </c>
      <c r="H1116" s="23">
        <v>4.8697620630264303E-2</v>
      </c>
      <c r="I1116" s="23">
        <v>4.3035108596086502E-2</v>
      </c>
      <c r="J1116" s="24">
        <v>0.87202715873718195</v>
      </c>
      <c r="K1116" s="23">
        <v>0</v>
      </c>
      <c r="L1116" s="23">
        <v>7.9275202006102007E-3</v>
      </c>
      <c r="M1116" s="23">
        <v>2.83125713467598E-2</v>
      </c>
      <c r="N1116" s="23">
        <v>0</v>
      </c>
      <c r="O1116" s="24">
        <v>0.20158550143241799</v>
      </c>
      <c r="P1116" s="24">
        <v>0.57870894670486395</v>
      </c>
      <c r="Q1116" s="24">
        <v>0.96602493524551303</v>
      </c>
      <c r="R1116" s="25">
        <v>1.1325028312570782E-3</v>
      </c>
      <c r="S1116" s="25">
        <v>6.0022650056625139E-2</v>
      </c>
      <c r="T1116" s="25">
        <v>0.13703284258210646</v>
      </c>
    </row>
    <row r="1117" spans="1:20" x14ac:dyDescent="0.25">
      <c r="A1117" s="8" t="s">
        <v>2317</v>
      </c>
      <c r="B1117" s="8" t="s">
        <v>2318</v>
      </c>
      <c r="C1117" s="8" t="s">
        <v>3540</v>
      </c>
      <c r="D1117" s="8">
        <v>1068</v>
      </c>
      <c r="E1117" s="24">
        <v>0.49157303571701</v>
      </c>
      <c r="F1117" s="24">
        <v>0.50842696428298895</v>
      </c>
      <c r="G1117" s="23">
        <v>0</v>
      </c>
      <c r="H1117" s="24">
        <v>0.38483145833015397</v>
      </c>
      <c r="I1117" s="23">
        <v>1.40449441969395E-2</v>
      </c>
      <c r="J1117" s="24">
        <v>0.47471910715103099</v>
      </c>
      <c r="K1117" s="23">
        <v>8.4269661456346998E-3</v>
      </c>
      <c r="L1117" s="23">
        <v>5.6179775856435004E-3</v>
      </c>
      <c r="M1117" s="24">
        <v>0.112359553575515</v>
      </c>
      <c r="N1117" s="23">
        <v>0</v>
      </c>
      <c r="O1117" s="24">
        <v>0.19101123511791199</v>
      </c>
      <c r="P1117" s="24">
        <v>0.17790262401103901</v>
      </c>
      <c r="Q1117" s="24">
        <v>0.751872658729553</v>
      </c>
      <c r="R1117" s="25">
        <v>6.9288389513108617E-2</v>
      </c>
      <c r="S1117" s="25">
        <v>9.3632958801498128E-4</v>
      </c>
      <c r="T1117" s="25">
        <v>0.12640449438202248</v>
      </c>
    </row>
    <row r="1118" spans="1:20" x14ac:dyDescent="0.25">
      <c r="A1118" s="8" t="s">
        <v>2319</v>
      </c>
      <c r="B1118" s="8" t="s">
        <v>2320</v>
      </c>
      <c r="C1118" s="8" t="s">
        <v>3540</v>
      </c>
      <c r="D1118" s="8">
        <v>295</v>
      </c>
      <c r="E1118" s="24">
        <v>0.48135593533515902</v>
      </c>
      <c r="F1118" s="24">
        <v>0.51864409446716297</v>
      </c>
      <c r="G1118" s="23">
        <v>0</v>
      </c>
      <c r="H1118" s="24">
        <v>0.125423729419708</v>
      </c>
      <c r="I1118" s="23">
        <v>0</v>
      </c>
      <c r="J1118" s="24">
        <v>0.79661017656326205</v>
      </c>
      <c r="K1118" s="23">
        <v>0</v>
      </c>
      <c r="L1118" s="23">
        <v>3.3898304682225002E-3</v>
      </c>
      <c r="M1118" s="23">
        <v>5.4237287491560003E-2</v>
      </c>
      <c r="N1118" s="23">
        <v>2.0338982343673699E-2</v>
      </c>
      <c r="O1118" s="23">
        <v>3.3898305147886297E-2</v>
      </c>
      <c r="P1118" s="24">
        <v>0.79322034120559604</v>
      </c>
      <c r="Q1118" s="24">
        <v>0.90169489383697499</v>
      </c>
      <c r="R1118" s="25">
        <v>0</v>
      </c>
      <c r="S1118" s="25">
        <v>0</v>
      </c>
      <c r="T1118" s="25">
        <v>4.0677966101694912E-2</v>
      </c>
    </row>
    <row r="1119" spans="1:20" x14ac:dyDescent="0.25">
      <c r="A1119" s="8" t="s">
        <v>2322</v>
      </c>
      <c r="B1119" s="8" t="s">
        <v>2323</v>
      </c>
      <c r="C1119" s="8" t="s">
        <v>3540</v>
      </c>
      <c r="D1119" s="8">
        <v>417</v>
      </c>
      <c r="E1119" s="24">
        <v>0.47721821069717402</v>
      </c>
      <c r="F1119" s="24">
        <v>0.52278178930282504</v>
      </c>
      <c r="G1119" s="23">
        <v>0</v>
      </c>
      <c r="H1119" s="23">
        <v>8.1534773111343398E-2</v>
      </c>
      <c r="I1119" s="23">
        <v>3.3573143184185E-2</v>
      </c>
      <c r="J1119" s="24">
        <v>0.80575537681579501</v>
      </c>
      <c r="K1119" s="23">
        <v>0</v>
      </c>
      <c r="L1119" s="23">
        <v>2.3980815894902E-3</v>
      </c>
      <c r="M1119" s="23">
        <v>7.6738610863685594E-2</v>
      </c>
      <c r="N1119" s="23">
        <v>0</v>
      </c>
      <c r="O1119" s="23">
        <v>0.22541967034339899</v>
      </c>
      <c r="P1119" s="24">
        <v>0.381294965744018</v>
      </c>
      <c r="Q1119" s="24">
        <v>0.86810553073883001</v>
      </c>
      <c r="R1119" s="25">
        <v>7.1942446043165464E-2</v>
      </c>
      <c r="S1119" s="25">
        <v>0</v>
      </c>
      <c r="T1119" s="25">
        <v>0.15107913669064749</v>
      </c>
    </row>
    <row r="1120" spans="1:20" x14ac:dyDescent="0.25">
      <c r="A1120" s="8" t="s">
        <v>2324</v>
      </c>
      <c r="B1120" s="8" t="s">
        <v>2325</v>
      </c>
      <c r="C1120" s="8" t="s">
        <v>3540</v>
      </c>
      <c r="D1120" s="8">
        <v>863</v>
      </c>
      <c r="E1120" s="24">
        <v>0.43221321702003401</v>
      </c>
      <c r="F1120" s="24">
        <v>0.56778681278228704</v>
      </c>
      <c r="G1120" s="23">
        <v>0</v>
      </c>
      <c r="H1120" s="24">
        <v>0.18655851483345001</v>
      </c>
      <c r="I1120" s="23">
        <v>5.0984937697649002E-2</v>
      </c>
      <c r="J1120" s="24">
        <v>0.48088064789772</v>
      </c>
      <c r="K1120" s="23">
        <v>5.7937428355216997E-3</v>
      </c>
      <c r="L1120" s="23">
        <v>8.1112394109367995E-3</v>
      </c>
      <c r="M1120" s="24">
        <v>0.10776361823081899</v>
      </c>
      <c r="N1120" s="24">
        <v>0.159907296299934</v>
      </c>
      <c r="O1120" s="24">
        <v>0.13673232495784701</v>
      </c>
      <c r="P1120" s="23">
        <v>5.9096176177263302E-2</v>
      </c>
      <c r="Q1120" s="24">
        <v>0.86790263652801503</v>
      </c>
      <c r="R1120" s="25">
        <v>0</v>
      </c>
      <c r="S1120" s="25">
        <v>1.1587485515643105E-3</v>
      </c>
      <c r="T1120" s="25">
        <v>0.12166859791425261</v>
      </c>
    </row>
    <row r="1121" spans="1:20" x14ac:dyDescent="0.25">
      <c r="A1121" s="8" t="s">
        <v>2326</v>
      </c>
      <c r="B1121" s="8" t="s">
        <v>2327</v>
      </c>
      <c r="C1121" s="8" t="s">
        <v>3540</v>
      </c>
      <c r="D1121" s="8">
        <v>376</v>
      </c>
      <c r="E1121" s="24">
        <v>0.42021277546882602</v>
      </c>
      <c r="F1121" s="24">
        <v>0.57978725433349598</v>
      </c>
      <c r="G1121" s="23">
        <v>0</v>
      </c>
      <c r="H1121" s="24">
        <v>0.12234042584896</v>
      </c>
      <c r="I1121" s="23">
        <v>5.0531916320323902E-2</v>
      </c>
      <c r="J1121" s="24">
        <v>0.72340422868728604</v>
      </c>
      <c r="K1121" s="23">
        <v>5.3191487677394997E-3</v>
      </c>
      <c r="L1121" s="23">
        <v>7.9787233844399001E-3</v>
      </c>
      <c r="M1121" s="23">
        <v>7.7127657830715193E-2</v>
      </c>
      <c r="N1121" s="23">
        <v>1.32978726178408E-2</v>
      </c>
      <c r="O1121" s="24">
        <v>0.21542553603649101</v>
      </c>
      <c r="P1121" s="24">
        <v>0.18617020547389901</v>
      </c>
      <c r="Q1121" s="24">
        <v>0.86702126264572099</v>
      </c>
      <c r="R1121" s="25">
        <v>0</v>
      </c>
      <c r="S1121" s="25">
        <v>0</v>
      </c>
      <c r="T1121" s="25">
        <v>0.21010638297872342</v>
      </c>
    </row>
    <row r="1122" spans="1:20" x14ac:dyDescent="0.25">
      <c r="A1122" s="8" t="s">
        <v>2328</v>
      </c>
      <c r="B1122" s="8" t="s">
        <v>2329</v>
      </c>
      <c r="C1122" s="8" t="s">
        <v>3540</v>
      </c>
      <c r="D1122" s="8">
        <v>573</v>
      </c>
      <c r="E1122" s="24">
        <v>0.51308900117874101</v>
      </c>
      <c r="F1122" s="24">
        <v>0.48691099882125799</v>
      </c>
      <c r="G1122" s="23">
        <v>0</v>
      </c>
      <c r="H1122" s="23">
        <v>8.0279231071472196E-2</v>
      </c>
      <c r="I1122" s="23">
        <v>8.7260035797954005E-3</v>
      </c>
      <c r="J1122" s="24">
        <v>0.53228622674942005</v>
      </c>
      <c r="K1122" s="23">
        <v>4.5375216752290698E-2</v>
      </c>
      <c r="L1122" s="23">
        <v>6.9808028638362997E-3</v>
      </c>
      <c r="M1122" s="24">
        <v>0.32460734248161299</v>
      </c>
      <c r="N1122" s="23">
        <v>1.7452007159591001E-3</v>
      </c>
      <c r="O1122" s="24">
        <v>0.15008726716041501</v>
      </c>
      <c r="P1122" s="24">
        <v>0.160558462142944</v>
      </c>
      <c r="Q1122" s="24">
        <v>0.66666668653488104</v>
      </c>
      <c r="R1122" s="25">
        <v>0</v>
      </c>
      <c r="S1122" s="25">
        <v>0</v>
      </c>
      <c r="T1122" s="25">
        <v>0.14136125654450263</v>
      </c>
    </row>
    <row r="1123" spans="1:20" x14ac:dyDescent="0.25">
      <c r="A1123" s="8" t="s">
        <v>2330</v>
      </c>
      <c r="B1123" s="8" t="s">
        <v>2331</v>
      </c>
      <c r="C1123" s="8" t="s">
        <v>3540</v>
      </c>
      <c r="D1123" s="8">
        <v>565</v>
      </c>
      <c r="E1123" s="24">
        <v>0.50796461105346602</v>
      </c>
      <c r="F1123" s="24">
        <v>0.49203538894653298</v>
      </c>
      <c r="G1123" s="23">
        <v>0</v>
      </c>
      <c r="H1123" s="23">
        <v>9.0265490114688901E-2</v>
      </c>
      <c r="I1123" s="23">
        <v>1.41592919826508E-2</v>
      </c>
      <c r="J1123" s="24">
        <v>0.861946880817413</v>
      </c>
      <c r="K1123" s="23">
        <v>1.7699114978312999E-3</v>
      </c>
      <c r="L1123" s="23">
        <v>0</v>
      </c>
      <c r="M1123" s="23">
        <v>2.3008849471807501E-2</v>
      </c>
      <c r="N1123" s="23">
        <v>8.8495574891567005E-3</v>
      </c>
      <c r="O1123" s="24">
        <v>0.192920356988906</v>
      </c>
      <c r="P1123" s="24">
        <v>0.18761062622070299</v>
      </c>
      <c r="Q1123" s="23">
        <v>0.85663717985153198</v>
      </c>
      <c r="R1123" s="25">
        <v>1.7699115044247787E-3</v>
      </c>
      <c r="S1123" s="25">
        <v>7.2566371681415928E-2</v>
      </c>
      <c r="T1123" s="25">
        <v>0.10265486725663717</v>
      </c>
    </row>
    <row r="1124" spans="1:20" x14ac:dyDescent="0.25">
      <c r="A1124" s="8" t="s">
        <v>2332</v>
      </c>
      <c r="B1124" s="8" t="s">
        <v>2333</v>
      </c>
      <c r="C1124" s="8" t="s">
        <v>3540</v>
      </c>
      <c r="D1124" s="8">
        <v>510</v>
      </c>
      <c r="E1124" s="23">
        <v>0.43529412150383001</v>
      </c>
      <c r="F1124" s="24">
        <v>0.56470590829849199</v>
      </c>
      <c r="G1124" s="23">
        <v>0</v>
      </c>
      <c r="H1124" s="23">
        <v>0</v>
      </c>
      <c r="I1124" s="23">
        <v>1.9607844296843E-3</v>
      </c>
      <c r="J1124" s="24">
        <v>0.99019604921340898</v>
      </c>
      <c r="K1124" s="23">
        <v>0</v>
      </c>
      <c r="L1124" s="23">
        <v>0</v>
      </c>
      <c r="M1124" s="23">
        <v>0</v>
      </c>
      <c r="N1124" s="23">
        <v>7.8431377187370994E-3</v>
      </c>
      <c r="O1124" s="23">
        <v>1.9607843831181498E-2</v>
      </c>
      <c r="P1124" s="24">
        <v>0.91176468133926303</v>
      </c>
      <c r="Q1124" s="23">
        <v>0.99803918600082397</v>
      </c>
      <c r="R1124" s="25">
        <v>0</v>
      </c>
      <c r="S1124" s="25">
        <v>0</v>
      </c>
      <c r="T1124" s="25">
        <v>1.9607843137254902E-2</v>
      </c>
    </row>
    <row r="1125" spans="1:20" x14ac:dyDescent="0.25">
      <c r="A1125" s="8" t="s">
        <v>2335</v>
      </c>
      <c r="B1125" s="8" t="s">
        <v>2336</v>
      </c>
      <c r="C1125" s="8" t="s">
        <v>3540</v>
      </c>
      <c r="D1125" s="8">
        <v>652</v>
      </c>
      <c r="E1125" s="24">
        <v>0.63650304079055697</v>
      </c>
      <c r="F1125" s="24">
        <v>0.36196318268775901</v>
      </c>
      <c r="G1125" s="23">
        <v>1.5337422955781E-3</v>
      </c>
      <c r="H1125" s="24">
        <v>0.29447853565215998</v>
      </c>
      <c r="I1125" s="24">
        <v>0.14877299964427901</v>
      </c>
      <c r="J1125" s="23">
        <v>0.30828219652175898</v>
      </c>
      <c r="K1125" s="23">
        <v>2.9141103848814999E-2</v>
      </c>
      <c r="L1125" s="23">
        <v>7.6687117107213003E-3</v>
      </c>
      <c r="M1125" s="24">
        <v>0.21165643632411901</v>
      </c>
      <c r="N1125" s="23">
        <v>0</v>
      </c>
      <c r="O1125" s="24">
        <v>0.12730062007904</v>
      </c>
      <c r="P1125" s="23">
        <v>4.6012271195649997E-3</v>
      </c>
      <c r="Q1125" s="24">
        <v>0.61503064632415705</v>
      </c>
      <c r="R1125" s="25">
        <v>0</v>
      </c>
      <c r="S1125" s="25">
        <v>0</v>
      </c>
      <c r="T1125" s="25">
        <v>0.12116564417177914</v>
      </c>
    </row>
    <row r="1126" spans="1:20" x14ac:dyDescent="0.25">
      <c r="A1126" s="8" t="s">
        <v>2337</v>
      </c>
      <c r="B1126" s="8" t="s">
        <v>2338</v>
      </c>
      <c r="C1126" s="8" t="s">
        <v>3540</v>
      </c>
      <c r="D1126" s="8">
        <v>424</v>
      </c>
      <c r="E1126" s="24">
        <v>0.53301888704299905</v>
      </c>
      <c r="F1126" s="24">
        <v>0.46698114275932301</v>
      </c>
      <c r="G1126" s="23">
        <v>0</v>
      </c>
      <c r="H1126" s="23">
        <v>5.6603774428367601E-2</v>
      </c>
      <c r="I1126" s="23">
        <v>1.8867924809455899E-2</v>
      </c>
      <c r="J1126" s="24">
        <v>0.813679218292236</v>
      </c>
      <c r="K1126" s="23">
        <v>9.4339624047278994E-3</v>
      </c>
      <c r="L1126" s="23">
        <v>1.1792453005909901E-2</v>
      </c>
      <c r="M1126" s="23">
        <v>8.9622639119625105E-2</v>
      </c>
      <c r="N1126" s="23">
        <v>0</v>
      </c>
      <c r="O1126" s="24">
        <v>0.24764150381088201</v>
      </c>
      <c r="P1126" s="24">
        <v>0.33962264657020502</v>
      </c>
      <c r="Q1126" s="24">
        <v>0.84669810533523504</v>
      </c>
      <c r="R1126" s="25">
        <v>0.11320754716981132</v>
      </c>
      <c r="S1126" s="25">
        <v>9.433962264150943E-3</v>
      </c>
      <c r="T1126" s="25">
        <v>0.125</v>
      </c>
    </row>
    <row r="1127" spans="1:20" x14ac:dyDescent="0.25">
      <c r="A1127" s="8" t="s">
        <v>2339</v>
      </c>
      <c r="B1127" s="8" t="s">
        <v>2340</v>
      </c>
      <c r="C1127" s="8" t="s">
        <v>3540</v>
      </c>
      <c r="D1127" s="8">
        <v>680</v>
      </c>
      <c r="E1127" s="24">
        <v>0.50441175699233998</v>
      </c>
      <c r="F1127" s="24">
        <v>0.49558824300765902</v>
      </c>
      <c r="G1127" s="23">
        <v>0</v>
      </c>
      <c r="H1127" s="23">
        <v>2.2058824077248601E-2</v>
      </c>
      <c r="I1127" s="23">
        <v>4.4117649085819999E-3</v>
      </c>
      <c r="J1127" s="24">
        <v>0.958823502063751</v>
      </c>
      <c r="K1127" s="23">
        <v>2.9411765281111002E-3</v>
      </c>
      <c r="L1127" s="23">
        <v>8.8235298171638991E-3</v>
      </c>
      <c r="M1127" s="23">
        <v>2.9411765281111002E-3</v>
      </c>
      <c r="N1127" s="23">
        <v>0</v>
      </c>
      <c r="O1127" s="24">
        <v>0.19117647409439001</v>
      </c>
      <c r="P1127" s="23">
        <v>0.5</v>
      </c>
      <c r="Q1127" s="24">
        <v>0.93529409170150701</v>
      </c>
      <c r="R1127" s="25">
        <v>8.38235294117647E-2</v>
      </c>
      <c r="S1127" s="25">
        <v>1.4705882352941176E-3</v>
      </c>
      <c r="T1127" s="25">
        <v>9.5588235294117641E-2</v>
      </c>
    </row>
    <row r="1128" spans="1:20" x14ac:dyDescent="0.25">
      <c r="A1128" s="8" t="s">
        <v>2341</v>
      </c>
      <c r="B1128" s="8" t="s">
        <v>2342</v>
      </c>
      <c r="C1128" s="8" t="s">
        <v>3540</v>
      </c>
      <c r="D1128" s="8">
        <v>764</v>
      </c>
      <c r="E1128" s="24">
        <v>0.506544530391693</v>
      </c>
      <c r="F1128" s="24">
        <v>0.49345549941062899</v>
      </c>
      <c r="G1128" s="23">
        <v>0</v>
      </c>
      <c r="H1128" s="23">
        <v>9.1623039916158E-3</v>
      </c>
      <c r="I1128" s="23">
        <v>1.3089005369693E-3</v>
      </c>
      <c r="J1128" s="23">
        <v>0.98167538642883301</v>
      </c>
      <c r="K1128" s="23">
        <v>0</v>
      </c>
      <c r="L1128" s="23">
        <v>0</v>
      </c>
      <c r="M1128" s="23">
        <v>7.8534027561545008E-3</v>
      </c>
      <c r="N1128" s="23">
        <v>0</v>
      </c>
      <c r="O1128" s="24">
        <v>0.20157067477703</v>
      </c>
      <c r="P1128" s="24">
        <v>0.356020957231521</v>
      </c>
      <c r="Q1128" s="24">
        <v>0.95418846607208196</v>
      </c>
      <c r="R1128" s="25">
        <v>0</v>
      </c>
      <c r="S1128" s="25">
        <v>8.2460732984293197E-2</v>
      </c>
      <c r="T1128" s="25">
        <v>0.112565445026178</v>
      </c>
    </row>
    <row r="1129" spans="1:20" x14ac:dyDescent="0.25">
      <c r="A1129" s="8" t="s">
        <v>2343</v>
      </c>
      <c r="B1129" s="8" t="s">
        <v>2344</v>
      </c>
      <c r="C1129" s="8" t="s">
        <v>3540</v>
      </c>
      <c r="D1129" s="8">
        <v>462</v>
      </c>
      <c r="E1129" s="24">
        <v>0.50865799188613803</v>
      </c>
      <c r="F1129" s="24">
        <v>0.49134197831153797</v>
      </c>
      <c r="G1129" s="23">
        <v>0</v>
      </c>
      <c r="H1129" s="23">
        <v>3.4632034599781002E-2</v>
      </c>
      <c r="I1129" s="23">
        <v>3.0303031206130999E-2</v>
      </c>
      <c r="J1129" s="24">
        <v>0.91558444499969405</v>
      </c>
      <c r="K1129" s="23">
        <v>6.4935064874589001E-3</v>
      </c>
      <c r="L1129" s="23">
        <v>4.3290043249726001E-3</v>
      </c>
      <c r="M1129" s="23">
        <v>8.6580086499453007E-3</v>
      </c>
      <c r="N1129" s="23">
        <v>0</v>
      </c>
      <c r="O1129" s="24">
        <v>0.18831168115138999</v>
      </c>
      <c r="P1129" s="23">
        <v>0.53679651021957397</v>
      </c>
      <c r="Q1129" s="24">
        <v>0.95670998096465998</v>
      </c>
      <c r="R1129" s="25">
        <v>2.1645021645021644E-2</v>
      </c>
      <c r="S1129" s="25">
        <v>6.7099567099567103E-2</v>
      </c>
      <c r="T1129" s="25">
        <v>0.11255411255411256</v>
      </c>
    </row>
    <row r="1130" spans="1:20" x14ac:dyDescent="0.25">
      <c r="A1130" s="8" t="s">
        <v>2345</v>
      </c>
      <c r="B1130" s="8" t="s">
        <v>2346</v>
      </c>
      <c r="C1130" s="8" t="s">
        <v>3540</v>
      </c>
      <c r="D1130" s="8">
        <v>461</v>
      </c>
      <c r="E1130" s="24">
        <v>0.50542300939559903</v>
      </c>
      <c r="F1130" s="24">
        <v>0.49240779876708901</v>
      </c>
      <c r="G1130" s="23">
        <v>2.1691974252462001E-3</v>
      </c>
      <c r="H1130" s="24">
        <v>0.21041214466094901</v>
      </c>
      <c r="I1130" s="23">
        <v>1.3015184551477399E-2</v>
      </c>
      <c r="J1130" s="24">
        <v>0.54013013839721602</v>
      </c>
      <c r="K1130" s="23">
        <v>3.6876354366540902E-2</v>
      </c>
      <c r="L1130" s="23">
        <v>6.5075922757386996E-3</v>
      </c>
      <c r="M1130" s="23">
        <v>0.19088937342166901</v>
      </c>
      <c r="N1130" s="23">
        <v>2.1691974252462001E-3</v>
      </c>
      <c r="O1130" s="24">
        <v>0.23427331447601299</v>
      </c>
      <c r="P1130" s="24">
        <v>0.208242952823638</v>
      </c>
      <c r="Q1130" s="24">
        <v>0.70065075159072798</v>
      </c>
      <c r="R1130" s="25">
        <v>6.9414316702819959E-2</v>
      </c>
      <c r="S1130" s="25">
        <v>0</v>
      </c>
      <c r="T1130" s="25">
        <v>0.18438177874186551</v>
      </c>
    </row>
    <row r="1131" spans="1:20" x14ac:dyDescent="0.25">
      <c r="A1131" s="8" t="s">
        <v>2347</v>
      </c>
      <c r="B1131" s="8" t="s">
        <v>2348</v>
      </c>
      <c r="C1131" s="8" t="s">
        <v>3540</v>
      </c>
      <c r="D1131" s="8">
        <v>607</v>
      </c>
      <c r="E1131" s="24">
        <v>0.48929160833358698</v>
      </c>
      <c r="F1131" s="24">
        <v>0.51070839166641202</v>
      </c>
      <c r="G1131" s="23">
        <v>0</v>
      </c>
      <c r="H1131" s="23">
        <v>2.3064250126481101E-2</v>
      </c>
      <c r="I1131" s="23">
        <v>2.14168038219213E-2</v>
      </c>
      <c r="J1131" s="24">
        <v>0.95057660341262795</v>
      </c>
      <c r="K1131" s="23">
        <v>1.647446420975E-3</v>
      </c>
      <c r="L1131" s="23">
        <v>0</v>
      </c>
      <c r="M1131" s="23">
        <v>3.2948928419501001E-3</v>
      </c>
      <c r="N1131" s="23">
        <v>0</v>
      </c>
      <c r="O1131" s="23">
        <v>0.168039545416832</v>
      </c>
      <c r="P1131" s="24">
        <v>0.40856671333312899</v>
      </c>
      <c r="Q1131" s="24">
        <v>0.94728171825408902</v>
      </c>
      <c r="R1131" s="25">
        <v>3.2948929159802307E-3</v>
      </c>
      <c r="S1131" s="25">
        <v>5.4365733113673806E-2</v>
      </c>
      <c r="T1131" s="25">
        <v>0.10873146622734761</v>
      </c>
    </row>
    <row r="1132" spans="1:20" x14ac:dyDescent="0.25">
      <c r="A1132" s="8" t="s">
        <v>2349</v>
      </c>
      <c r="B1132" s="8" t="s">
        <v>2350</v>
      </c>
      <c r="C1132" s="8" t="s">
        <v>3540</v>
      </c>
      <c r="D1132" s="8">
        <v>2088</v>
      </c>
      <c r="E1132" s="24">
        <v>0.44492337107658297</v>
      </c>
      <c r="F1132" s="24">
        <v>0.55507659912109297</v>
      </c>
      <c r="G1132" s="23">
        <v>0</v>
      </c>
      <c r="H1132" s="24">
        <v>0.22174330055713601</v>
      </c>
      <c r="I1132" s="23">
        <v>3.5919539630413097E-2</v>
      </c>
      <c r="J1132" s="24">
        <v>0.67816090583801203</v>
      </c>
      <c r="K1132" s="23">
        <v>9.578543831594E-4</v>
      </c>
      <c r="L1132" s="23">
        <v>6.7049809731543003E-3</v>
      </c>
      <c r="M1132" s="23">
        <v>4.2624522000551203E-2</v>
      </c>
      <c r="N1132" s="23">
        <v>1.3888888992369199E-2</v>
      </c>
      <c r="O1132" s="24">
        <v>0.15181992948055201</v>
      </c>
      <c r="P1132" s="24">
        <v>0.391762465238571</v>
      </c>
      <c r="Q1132" s="24">
        <v>0.75862067937850897</v>
      </c>
      <c r="R1132" s="25">
        <v>4.7892720306513407E-4</v>
      </c>
      <c r="S1132" s="25">
        <v>3.6398467432950193E-2</v>
      </c>
      <c r="T1132" s="25">
        <v>0.1039272030651341</v>
      </c>
    </row>
    <row r="1133" spans="1:20" x14ac:dyDescent="0.25">
      <c r="A1133" s="8" t="s">
        <v>2351</v>
      </c>
      <c r="B1133" s="8" t="s">
        <v>2352</v>
      </c>
      <c r="C1133" s="8" t="s">
        <v>3540</v>
      </c>
      <c r="D1133" s="8">
        <v>1716</v>
      </c>
      <c r="E1133" s="24">
        <v>0.449300706386566</v>
      </c>
      <c r="F1133" s="24">
        <v>0.55069929361343295</v>
      </c>
      <c r="G1133" s="23">
        <v>0</v>
      </c>
      <c r="H1133" s="23">
        <v>8.0419577658176394E-2</v>
      </c>
      <c r="I1133" s="23">
        <v>3.6130536347627598E-2</v>
      </c>
      <c r="J1133" s="24">
        <v>0.73135197162628096</v>
      </c>
      <c r="K1133" s="23">
        <v>4.6620047651231003E-3</v>
      </c>
      <c r="L1133" s="23">
        <v>2.9137528035790001E-3</v>
      </c>
      <c r="M1133" s="24">
        <v>0.14393939077854101</v>
      </c>
      <c r="N1133" s="23">
        <v>5.827505956404E-4</v>
      </c>
      <c r="O1133" s="23">
        <v>0.20104895532131201</v>
      </c>
      <c r="P1133" s="24">
        <v>0.290209800004959</v>
      </c>
      <c r="Q1133" s="24">
        <v>0.784382283687591</v>
      </c>
      <c r="R1133" s="25">
        <v>5.8275058275058275E-4</v>
      </c>
      <c r="S1133" s="25">
        <v>7.3426573426573424E-2</v>
      </c>
      <c r="T1133" s="25">
        <v>0.11946386946386946</v>
      </c>
    </row>
    <row r="1134" spans="1:20" x14ac:dyDescent="0.25">
      <c r="A1134" s="8" t="s">
        <v>2353</v>
      </c>
      <c r="B1134" s="8" t="s">
        <v>2354</v>
      </c>
      <c r="C1134" s="8" t="s">
        <v>3540</v>
      </c>
      <c r="D1134" s="8">
        <v>481</v>
      </c>
      <c r="E1134" s="24">
        <v>0.61122661828994695</v>
      </c>
      <c r="F1134" s="24">
        <v>0.38877338171005199</v>
      </c>
      <c r="G1134" s="23">
        <v>0</v>
      </c>
      <c r="H1134" s="23">
        <v>9.9792100489139599E-2</v>
      </c>
      <c r="I1134" s="23">
        <v>4.5738045126199701E-2</v>
      </c>
      <c r="J1134" s="24">
        <v>0.75051975250244096</v>
      </c>
      <c r="K1134" s="23">
        <v>6.2370062805711998E-3</v>
      </c>
      <c r="L1134" s="23">
        <v>4.1580041870474998E-3</v>
      </c>
      <c r="M1134" s="23">
        <v>9.1476090252399403E-2</v>
      </c>
      <c r="N1134" s="23">
        <v>2.0790020935237E-3</v>
      </c>
      <c r="O1134" s="24">
        <v>0.19334720075130399</v>
      </c>
      <c r="P1134" s="23">
        <v>4.1580040007829701E-2</v>
      </c>
      <c r="Q1134" s="24">
        <v>0.748440742492675</v>
      </c>
      <c r="R1134" s="25">
        <v>0</v>
      </c>
      <c r="S1134" s="25">
        <v>0</v>
      </c>
      <c r="T1134" s="25">
        <v>0.1891891891891892</v>
      </c>
    </row>
    <row r="1135" spans="1:20" x14ac:dyDescent="0.25">
      <c r="A1135" s="8" t="s">
        <v>2355</v>
      </c>
      <c r="B1135" s="8" t="s">
        <v>2356</v>
      </c>
      <c r="C1135" s="8" t="s">
        <v>3540</v>
      </c>
      <c r="D1135" s="8">
        <v>509</v>
      </c>
      <c r="E1135" s="24">
        <v>0.47740668058395302</v>
      </c>
      <c r="F1135" s="24">
        <v>0.52259331941604603</v>
      </c>
      <c r="G1135" s="23">
        <v>0</v>
      </c>
      <c r="H1135" s="23">
        <v>8.8408641517162295E-2</v>
      </c>
      <c r="I1135" s="23">
        <v>9.8231825977563997E-3</v>
      </c>
      <c r="J1135" s="24">
        <v>0.85265225172042802</v>
      </c>
      <c r="K1135" s="23">
        <v>0</v>
      </c>
      <c r="L1135" s="23">
        <v>0</v>
      </c>
      <c r="M1135" s="23">
        <v>3.9292730391025502E-2</v>
      </c>
      <c r="N1135" s="23">
        <v>9.8231825977563997E-3</v>
      </c>
      <c r="O1135" s="23">
        <v>1.1787819676101201E-2</v>
      </c>
      <c r="P1135" s="24">
        <v>0.79764240980148304</v>
      </c>
      <c r="Q1135" s="24">
        <v>0.92534381151199296</v>
      </c>
      <c r="R1135" s="25">
        <v>0</v>
      </c>
      <c r="S1135" s="25">
        <v>0</v>
      </c>
      <c r="T1135" s="25">
        <v>9.823182711198428E-3</v>
      </c>
    </row>
    <row r="1136" spans="1:20" x14ac:dyDescent="0.25">
      <c r="A1136" s="8" t="s">
        <v>2357</v>
      </c>
      <c r="B1136" s="8" t="s">
        <v>2358</v>
      </c>
      <c r="C1136" s="8" t="s">
        <v>3540</v>
      </c>
      <c r="D1136" s="8">
        <v>716</v>
      </c>
      <c r="E1136" s="24">
        <v>0.59357541799545199</v>
      </c>
      <c r="F1136" s="24">
        <v>0.40502792596817</v>
      </c>
      <c r="G1136" s="23">
        <v>1.3966480037197E-3</v>
      </c>
      <c r="H1136" s="23">
        <v>9.6368715167045593E-2</v>
      </c>
      <c r="I1136" s="23">
        <v>5.0279330462217303E-2</v>
      </c>
      <c r="J1136" s="24">
        <v>0.78770947456359797</v>
      </c>
      <c r="K1136" s="23">
        <v>4.1899443604051997E-3</v>
      </c>
      <c r="L1136" s="23">
        <v>6.9832401350140997E-3</v>
      </c>
      <c r="M1136" s="23">
        <v>5.1675979048013701E-2</v>
      </c>
      <c r="N1136" s="23">
        <v>2.7932960074395002E-3</v>
      </c>
      <c r="O1136" s="24">
        <v>0.189944133162498</v>
      </c>
      <c r="P1136" s="24">
        <v>0.10893854498863199</v>
      </c>
      <c r="Q1136" s="24">
        <v>0.86731845140457098</v>
      </c>
      <c r="R1136" s="25">
        <v>0</v>
      </c>
      <c r="S1136" s="25">
        <v>0</v>
      </c>
      <c r="T1136" s="25">
        <v>0.18156424581005587</v>
      </c>
    </row>
    <row r="1137" spans="1:20" x14ac:dyDescent="0.25">
      <c r="A1137" s="8" t="s">
        <v>2359</v>
      </c>
      <c r="B1137" s="8" t="s">
        <v>2360</v>
      </c>
      <c r="C1137" s="8" t="s">
        <v>3540</v>
      </c>
      <c r="D1137" s="8">
        <v>624</v>
      </c>
      <c r="E1137" s="24">
        <v>0.448717951774597</v>
      </c>
      <c r="F1137" s="24">
        <v>0.55128204822540205</v>
      </c>
      <c r="G1137" s="23">
        <v>0</v>
      </c>
      <c r="H1137" s="24">
        <v>0.15544871985912301</v>
      </c>
      <c r="I1137" s="23">
        <v>2.8846153989434201E-2</v>
      </c>
      <c r="J1137" s="24">
        <v>0.65865385532379095</v>
      </c>
      <c r="K1137" s="23">
        <v>2.56410259753466E-2</v>
      </c>
      <c r="L1137" s="23">
        <v>6.4102564938365997E-3</v>
      </c>
      <c r="M1137" s="24">
        <v>0.123397432267665</v>
      </c>
      <c r="N1137" s="23">
        <v>1.6025641234592E-3</v>
      </c>
      <c r="O1137" s="24">
        <v>0.21794871985912301</v>
      </c>
      <c r="P1137" s="23">
        <v>6.8910256028175396E-2</v>
      </c>
      <c r="Q1137" s="24">
        <v>0.80288463830947798</v>
      </c>
      <c r="R1137" s="25">
        <v>3.5256410256410256E-2</v>
      </c>
      <c r="S1137" s="25">
        <v>3.205128205128205E-3</v>
      </c>
      <c r="T1137" s="25">
        <v>0.18269230769230768</v>
      </c>
    </row>
    <row r="1138" spans="1:20" x14ac:dyDescent="0.25">
      <c r="A1138" s="8" t="s">
        <v>2361</v>
      </c>
      <c r="B1138" s="8" t="s">
        <v>2362</v>
      </c>
      <c r="C1138" s="8" t="s">
        <v>3540</v>
      </c>
      <c r="D1138" s="8">
        <v>1000</v>
      </c>
      <c r="E1138" s="24">
        <v>0.490000009536743</v>
      </c>
      <c r="F1138" s="24">
        <v>0.50999999046325595</v>
      </c>
      <c r="G1138" s="23">
        <v>0</v>
      </c>
      <c r="H1138" s="24">
        <v>0.187999993562698</v>
      </c>
      <c r="I1138" s="23">
        <v>2.60000005364418E-2</v>
      </c>
      <c r="J1138" s="24">
        <v>0.60799998044967596</v>
      </c>
      <c r="K1138" s="23">
        <v>9.9999997764825994E-3</v>
      </c>
      <c r="L1138" s="23">
        <v>2.0000000949949E-3</v>
      </c>
      <c r="M1138" s="24">
        <v>0.16599999368190699</v>
      </c>
      <c r="N1138" s="23">
        <v>0</v>
      </c>
      <c r="O1138" s="24">
        <v>0.17200000584125499</v>
      </c>
      <c r="P1138" s="23">
        <v>7.8000001609325395E-2</v>
      </c>
      <c r="Q1138" s="24">
        <v>0.79299998283386197</v>
      </c>
      <c r="R1138" s="25">
        <v>0</v>
      </c>
      <c r="S1138" s="25">
        <v>1.2999999999999999E-2</v>
      </c>
      <c r="T1138" s="25">
        <v>0.154</v>
      </c>
    </row>
    <row r="1139" spans="1:20" x14ac:dyDescent="0.25">
      <c r="A1139" s="8" t="s">
        <v>2363</v>
      </c>
      <c r="B1139" s="8" t="s">
        <v>2364</v>
      </c>
      <c r="C1139" s="8" t="s">
        <v>3540</v>
      </c>
      <c r="D1139" s="8">
        <v>1290</v>
      </c>
      <c r="E1139" s="24">
        <v>0.44961240887641901</v>
      </c>
      <c r="F1139" s="24">
        <v>0.55038762092590299</v>
      </c>
      <c r="G1139" s="23">
        <v>0</v>
      </c>
      <c r="H1139" s="23">
        <v>7.2093024849891704E-2</v>
      </c>
      <c r="I1139" s="23">
        <v>2.7131782844662701E-2</v>
      </c>
      <c r="J1139" s="24">
        <v>0.83798450231552102</v>
      </c>
      <c r="K1139" s="23">
        <v>3.875968977809E-3</v>
      </c>
      <c r="L1139" s="23">
        <v>6.9767441600561003E-3</v>
      </c>
      <c r="M1139" s="23">
        <v>3.6434110254049301E-2</v>
      </c>
      <c r="N1139" s="23">
        <v>1.5503875911235801E-2</v>
      </c>
      <c r="O1139" s="24">
        <v>0.19534884393215099</v>
      </c>
      <c r="P1139" s="23">
        <v>9.2248059809207902E-2</v>
      </c>
      <c r="Q1139" s="24">
        <v>0.85891473293304399</v>
      </c>
      <c r="R1139" s="25">
        <v>0</v>
      </c>
      <c r="S1139" s="25">
        <v>6.6666666666666666E-2</v>
      </c>
      <c r="T1139" s="25">
        <v>0.12015503875968993</v>
      </c>
    </row>
    <row r="1140" spans="1:20" x14ac:dyDescent="0.25">
      <c r="A1140" s="8" t="s">
        <v>2366</v>
      </c>
      <c r="B1140" s="8" t="s">
        <v>2367</v>
      </c>
      <c r="C1140" s="8" t="s">
        <v>3540</v>
      </c>
      <c r="D1140" s="8">
        <v>2080</v>
      </c>
      <c r="E1140" s="24">
        <v>0.221634611487388</v>
      </c>
      <c r="F1140" s="24">
        <v>0.77788460254669101</v>
      </c>
      <c r="G1140" s="23">
        <v>4.80769231217E-4</v>
      </c>
      <c r="H1140" s="24">
        <v>0.292788475751876</v>
      </c>
      <c r="I1140" s="23">
        <v>4.0865384042263003E-2</v>
      </c>
      <c r="J1140" s="24">
        <v>0.51057690382003695</v>
      </c>
      <c r="K1140" s="23">
        <v>1.6346154734492298E-2</v>
      </c>
      <c r="L1140" s="23">
        <v>7.6923076994717E-3</v>
      </c>
      <c r="M1140" s="24">
        <v>0.12211538106203</v>
      </c>
      <c r="N1140" s="23">
        <v>9.6153849735856004E-3</v>
      </c>
      <c r="O1140" s="24">
        <v>0.159134611487388</v>
      </c>
      <c r="P1140" s="23">
        <v>3.6538463085889802E-2</v>
      </c>
      <c r="Q1140" s="24">
        <v>0.72740381956100397</v>
      </c>
      <c r="R1140" s="25">
        <v>0</v>
      </c>
      <c r="S1140" s="25">
        <v>4.8557692307692309E-2</v>
      </c>
      <c r="T1140" s="25">
        <v>0.10625</v>
      </c>
    </row>
    <row r="1141" spans="1:20" x14ac:dyDescent="0.25">
      <c r="A1141" s="8" t="s">
        <v>2368</v>
      </c>
      <c r="B1141" s="8" t="s">
        <v>2369</v>
      </c>
      <c r="C1141" s="8" t="s">
        <v>3540</v>
      </c>
      <c r="D1141" s="8">
        <v>208</v>
      </c>
      <c r="E1141" s="24">
        <v>0.43269231915473899</v>
      </c>
      <c r="F1141" s="23">
        <v>0.56730771064758301</v>
      </c>
      <c r="G1141" s="23">
        <v>0</v>
      </c>
      <c r="H1141" s="23">
        <v>6.73076957464218E-2</v>
      </c>
      <c r="I1141" s="24">
        <v>0.100961536169052</v>
      </c>
      <c r="J1141" s="24">
        <v>0.79326921701431197</v>
      </c>
      <c r="K1141" s="23">
        <v>4.8076924867928002E-3</v>
      </c>
      <c r="L1141" s="23">
        <v>4.8076924867928002E-3</v>
      </c>
      <c r="M1141" s="23">
        <v>2.8846153989434201E-2</v>
      </c>
      <c r="N1141" s="23">
        <v>0</v>
      </c>
      <c r="O1141" s="24">
        <v>0.278846144676208</v>
      </c>
      <c r="P1141" s="24">
        <v>0.139423072338104</v>
      </c>
      <c r="Q1141" s="24">
        <v>0.86538463830947798</v>
      </c>
      <c r="R1141" s="25">
        <v>0</v>
      </c>
      <c r="S1141" s="25">
        <v>0</v>
      </c>
      <c r="T1141" s="25">
        <v>0.25</v>
      </c>
    </row>
    <row r="1142" spans="1:20" x14ac:dyDescent="0.25">
      <c r="A1142" s="8" t="s">
        <v>2372</v>
      </c>
      <c r="B1142" s="8" t="s">
        <v>2373</v>
      </c>
      <c r="C1142" s="8" t="s">
        <v>3540</v>
      </c>
      <c r="D1142" s="8">
        <v>1006</v>
      </c>
      <c r="E1142" s="24">
        <v>0.46520873904228199</v>
      </c>
      <c r="F1142" s="24">
        <v>0.53479123115539495</v>
      </c>
      <c r="G1142" s="23">
        <v>0</v>
      </c>
      <c r="H1142" s="24">
        <v>0.66500991582870395</v>
      </c>
      <c r="I1142" s="23">
        <v>3.1809143722057301E-2</v>
      </c>
      <c r="J1142" s="24">
        <v>0.24652087688446001</v>
      </c>
      <c r="K1142" s="23">
        <v>1.7892643809318501E-2</v>
      </c>
      <c r="L1142" s="23">
        <v>5.964214913547E-3</v>
      </c>
      <c r="M1142" s="23">
        <v>3.28031815588474E-2</v>
      </c>
      <c r="N1142" s="23">
        <v>0</v>
      </c>
      <c r="O1142" s="24">
        <v>0.13121272623538899</v>
      </c>
      <c r="P1142" s="24">
        <v>0.45626243948936401</v>
      </c>
      <c r="Q1142" s="24">
        <v>0.87077534198760898</v>
      </c>
      <c r="R1142" s="25">
        <v>2.982107355864811E-2</v>
      </c>
      <c r="S1142" s="25">
        <v>6.958250497017893E-3</v>
      </c>
      <c r="T1142" s="25">
        <v>9.3439363817097415E-2</v>
      </c>
    </row>
    <row r="1143" spans="1:20" x14ac:dyDescent="0.25">
      <c r="A1143" s="8" t="s">
        <v>2374</v>
      </c>
      <c r="B1143" s="8" t="s">
        <v>2375</v>
      </c>
      <c r="C1143" s="8" t="s">
        <v>3540</v>
      </c>
      <c r="D1143" s="8">
        <v>1084</v>
      </c>
      <c r="E1143" s="24">
        <v>0.4981549680233</v>
      </c>
      <c r="F1143" s="24">
        <v>0.501845002174377</v>
      </c>
      <c r="G1143" s="23">
        <v>0</v>
      </c>
      <c r="H1143" s="24">
        <v>0.56549817323684604</v>
      </c>
      <c r="I1143" s="23">
        <v>9.2250918969512003E-3</v>
      </c>
      <c r="J1143" s="24">
        <v>0.34963098168373102</v>
      </c>
      <c r="K1143" s="23">
        <v>1.476014778018E-2</v>
      </c>
      <c r="L1143" s="23">
        <v>6.4575644209980999E-3</v>
      </c>
      <c r="M1143" s="23">
        <v>5.4428044706583002E-2</v>
      </c>
      <c r="N1143" s="23">
        <v>0</v>
      </c>
      <c r="O1143" s="24">
        <v>0.15036900341510701</v>
      </c>
      <c r="P1143" s="23">
        <v>0.30811807513237</v>
      </c>
      <c r="Q1143" s="24">
        <v>0.79797047376632602</v>
      </c>
      <c r="R1143" s="25">
        <v>6.7343173431734321E-2</v>
      </c>
      <c r="S1143" s="25">
        <v>0</v>
      </c>
      <c r="T1143" s="25">
        <v>8.3948339483394835E-2</v>
      </c>
    </row>
    <row r="1144" spans="1:20" x14ac:dyDescent="0.25">
      <c r="A1144" s="8" t="s">
        <v>2376</v>
      </c>
      <c r="B1144" s="8" t="s">
        <v>2377</v>
      </c>
      <c r="C1144" s="8" t="s">
        <v>3540</v>
      </c>
      <c r="D1144" s="8">
        <v>747</v>
      </c>
      <c r="E1144" s="24">
        <v>0.46050870418548501</v>
      </c>
      <c r="F1144" s="24">
        <v>0.53949129581451405</v>
      </c>
      <c r="G1144" s="23">
        <v>0</v>
      </c>
      <c r="H1144" s="24">
        <v>0.55421686172485296</v>
      </c>
      <c r="I1144" s="23">
        <v>9.3708168715239005E-3</v>
      </c>
      <c r="J1144" s="24">
        <v>0.39892905950546198</v>
      </c>
      <c r="K1144" s="23">
        <v>8.0321282148360998E-3</v>
      </c>
      <c r="L1144" s="23">
        <v>5.3547522984445E-3</v>
      </c>
      <c r="M1144" s="23">
        <v>2.40963846445084E-2</v>
      </c>
      <c r="N1144" s="23">
        <v>0</v>
      </c>
      <c r="O1144" s="24">
        <v>0.171352073550224</v>
      </c>
      <c r="P1144" s="24">
        <v>0.49263721704482999</v>
      </c>
      <c r="Q1144" s="24">
        <v>0.855421662330627</v>
      </c>
      <c r="R1144" s="25">
        <v>5.3547523427041499E-2</v>
      </c>
      <c r="S1144" s="25">
        <v>0</v>
      </c>
      <c r="T1144" s="25">
        <v>0.10977242302543508</v>
      </c>
    </row>
    <row r="1145" spans="1:20" x14ac:dyDescent="0.25">
      <c r="A1145" s="8" t="s">
        <v>2378</v>
      </c>
      <c r="B1145" s="8" t="s">
        <v>2379</v>
      </c>
      <c r="C1145" s="8" t="s">
        <v>3540</v>
      </c>
      <c r="D1145" s="8">
        <v>1203</v>
      </c>
      <c r="E1145" s="24">
        <v>0.47298419475555398</v>
      </c>
      <c r="F1145" s="24">
        <v>0.52701580524444502</v>
      </c>
      <c r="G1145" s="23">
        <v>0</v>
      </c>
      <c r="H1145" s="24">
        <v>0.84123027324676503</v>
      </c>
      <c r="I1145" s="23">
        <v>9.9750626832247006E-3</v>
      </c>
      <c r="J1145" s="24">
        <v>0.124688282608985</v>
      </c>
      <c r="K1145" s="23">
        <v>5.8187865652143999E-3</v>
      </c>
      <c r="L1145" s="23">
        <v>3.3250208944082E-3</v>
      </c>
      <c r="M1145" s="23">
        <v>1.4962593093514401E-2</v>
      </c>
      <c r="N1145" s="23">
        <v>0</v>
      </c>
      <c r="O1145" s="24">
        <v>0.123857021331787</v>
      </c>
      <c r="P1145" s="24">
        <v>0.39152118563652</v>
      </c>
      <c r="Q1145" s="24">
        <v>0.84289276599884</v>
      </c>
      <c r="R1145" s="25">
        <v>4.8212801330008312E-2</v>
      </c>
      <c r="S1145" s="25">
        <v>3.3250207813798837E-3</v>
      </c>
      <c r="T1145" s="25">
        <v>7.2319201995012475E-2</v>
      </c>
    </row>
    <row r="1146" spans="1:20" x14ac:dyDescent="0.25">
      <c r="A1146" s="8" t="s">
        <v>2380</v>
      </c>
      <c r="B1146" s="8" t="s">
        <v>2381</v>
      </c>
      <c r="C1146" s="8" t="s">
        <v>3540</v>
      </c>
      <c r="D1146" s="8">
        <v>1025</v>
      </c>
      <c r="E1146" s="24">
        <v>0.49951219558715798</v>
      </c>
      <c r="F1146" s="24">
        <v>0.50048780441284102</v>
      </c>
      <c r="G1146" s="23">
        <v>0</v>
      </c>
      <c r="H1146" s="24">
        <v>0.60390245914459195</v>
      </c>
      <c r="I1146" s="23">
        <v>9.7560975700616993E-3</v>
      </c>
      <c r="J1146" s="24">
        <v>0.286829262971878</v>
      </c>
      <c r="K1146" s="23">
        <v>1.5609756112098701E-2</v>
      </c>
      <c r="L1146" s="23">
        <v>8.7804878130554997E-3</v>
      </c>
      <c r="M1146" s="23">
        <v>7.5121954083442702E-2</v>
      </c>
      <c r="N1146" s="23">
        <v>0</v>
      </c>
      <c r="O1146" s="24">
        <v>0.138536587357521</v>
      </c>
      <c r="P1146" s="24">
        <v>0.154146343469619</v>
      </c>
      <c r="Q1146" s="24">
        <v>0.68682926893234197</v>
      </c>
      <c r="R1146" s="25">
        <v>3.6097560975609753E-2</v>
      </c>
      <c r="S1146" s="25">
        <v>1.9512195121951219E-3</v>
      </c>
      <c r="T1146" s="25">
        <v>9.7560975609756101E-2</v>
      </c>
    </row>
    <row r="1147" spans="1:20" x14ac:dyDescent="0.25">
      <c r="A1147" s="8" t="s">
        <v>2382</v>
      </c>
      <c r="B1147" s="8" t="s">
        <v>2383</v>
      </c>
      <c r="C1147" s="8" t="s">
        <v>3540</v>
      </c>
      <c r="D1147" s="8">
        <v>676</v>
      </c>
      <c r="E1147" s="24">
        <v>0.492603540420532</v>
      </c>
      <c r="F1147" s="24">
        <v>0.507396459579467</v>
      </c>
      <c r="G1147" s="23">
        <v>0</v>
      </c>
      <c r="H1147" s="24">
        <v>0.205621302127838</v>
      </c>
      <c r="I1147" s="23">
        <v>1.6272189095616299E-2</v>
      </c>
      <c r="J1147" s="24">
        <v>0.69970417022705</v>
      </c>
      <c r="K1147" s="23">
        <v>4.4378698803483997E-3</v>
      </c>
      <c r="L1147" s="23">
        <v>2.9585799202322999E-3</v>
      </c>
      <c r="M1147" s="23">
        <v>7.1005918085575104E-2</v>
      </c>
      <c r="N1147" s="23">
        <v>0</v>
      </c>
      <c r="O1147" s="24">
        <v>0.215976327657699</v>
      </c>
      <c r="P1147" s="24">
        <v>0.38313609361648499</v>
      </c>
      <c r="Q1147" s="24">
        <v>0.90532547235488803</v>
      </c>
      <c r="R1147" s="25">
        <v>6.9526627218934905E-2</v>
      </c>
      <c r="S1147" s="25">
        <v>0</v>
      </c>
      <c r="T1147" s="25">
        <v>0.14644970414201183</v>
      </c>
    </row>
    <row r="1148" spans="1:20" x14ac:dyDescent="0.25">
      <c r="A1148" s="8" t="s">
        <v>2384</v>
      </c>
      <c r="B1148" s="8" t="s">
        <v>2385</v>
      </c>
      <c r="C1148" s="8" t="s">
        <v>3540</v>
      </c>
      <c r="D1148" s="8">
        <v>823</v>
      </c>
      <c r="E1148" s="24">
        <v>0.49453219771385099</v>
      </c>
      <c r="F1148" s="24">
        <v>0.50546777248382502</v>
      </c>
      <c r="G1148" s="23">
        <v>0</v>
      </c>
      <c r="H1148" s="24">
        <v>0.62211424112319902</v>
      </c>
      <c r="I1148" s="23">
        <v>4.8602675087750001E-3</v>
      </c>
      <c r="J1148" s="24">
        <v>0.27703523635864202</v>
      </c>
      <c r="K1148" s="23">
        <v>3.7667073309421498E-2</v>
      </c>
      <c r="L1148" s="23">
        <v>6.0753342695534004E-3</v>
      </c>
      <c r="M1148" s="23">
        <v>5.2247874438762699E-2</v>
      </c>
      <c r="N1148" s="23">
        <v>0</v>
      </c>
      <c r="O1148" s="24">
        <v>0.17618468403816201</v>
      </c>
      <c r="P1148" s="23">
        <v>0.17010936141014099</v>
      </c>
      <c r="Q1148" s="24">
        <v>0.654920995235443</v>
      </c>
      <c r="R1148" s="25">
        <v>6.9258809234507904E-2</v>
      </c>
      <c r="S1148" s="25">
        <v>6.0753341433778859E-3</v>
      </c>
      <c r="T1148" s="25">
        <v>9.9635479951397321E-2</v>
      </c>
    </row>
    <row r="1149" spans="1:20" x14ac:dyDescent="0.25">
      <c r="A1149" s="8" t="s">
        <v>2386</v>
      </c>
      <c r="B1149" s="8" t="s">
        <v>2387</v>
      </c>
      <c r="C1149" s="8" t="s">
        <v>3540</v>
      </c>
      <c r="D1149" s="8">
        <v>1095</v>
      </c>
      <c r="E1149" s="24">
        <v>0.47214612364768899</v>
      </c>
      <c r="F1149" s="23">
        <v>0.52694064378738403</v>
      </c>
      <c r="G1149" s="23">
        <v>9.1324199456720005E-4</v>
      </c>
      <c r="H1149" s="24">
        <v>0.60913240909576405</v>
      </c>
      <c r="I1149" s="23">
        <v>1.64383556693792E-2</v>
      </c>
      <c r="J1149" s="23">
        <v>0.222831055521965</v>
      </c>
      <c r="K1149" s="23">
        <v>6.3926940783857996E-3</v>
      </c>
      <c r="L1149" s="23">
        <v>4.5662098564207996E-3</v>
      </c>
      <c r="M1149" s="24">
        <v>0.14063927531242301</v>
      </c>
      <c r="N1149" s="23">
        <v>0</v>
      </c>
      <c r="O1149" s="24">
        <v>0.16803653538227001</v>
      </c>
      <c r="P1149" s="24">
        <v>0.19269406795501701</v>
      </c>
      <c r="Q1149" s="24">
        <v>0.67031961679458596</v>
      </c>
      <c r="R1149" s="25">
        <v>4.2922374429223746E-2</v>
      </c>
      <c r="S1149" s="25">
        <v>0</v>
      </c>
      <c r="T1149" s="25">
        <v>0.12785388127853881</v>
      </c>
    </row>
    <row r="1150" spans="1:20" x14ac:dyDescent="0.25">
      <c r="A1150" s="8" t="s">
        <v>2388</v>
      </c>
      <c r="B1150" s="8" t="s">
        <v>2389</v>
      </c>
      <c r="C1150" s="8" t="s">
        <v>3540</v>
      </c>
      <c r="D1150" s="8">
        <v>819</v>
      </c>
      <c r="E1150" s="24">
        <v>0.477411478757858</v>
      </c>
      <c r="F1150" s="24">
        <v>0.522588551044464</v>
      </c>
      <c r="G1150" s="23">
        <v>0</v>
      </c>
      <c r="H1150" s="24">
        <v>0.449328452348709</v>
      </c>
      <c r="I1150" s="23">
        <v>9.7680101171136006E-3</v>
      </c>
      <c r="J1150" s="24">
        <v>0.48595848679542503</v>
      </c>
      <c r="K1150" s="23">
        <v>1.09890112653375E-2</v>
      </c>
      <c r="L1150" s="23">
        <v>8.5470089688896994E-3</v>
      </c>
      <c r="M1150" s="23">
        <v>3.4188035875558902E-2</v>
      </c>
      <c r="N1150" s="23">
        <v>1.2210012646392001E-3</v>
      </c>
      <c r="O1150" s="24">
        <v>0.14896215498447399</v>
      </c>
      <c r="P1150" s="24">
        <v>0.46520146727561901</v>
      </c>
      <c r="Q1150" s="24">
        <v>0.83760684728622403</v>
      </c>
      <c r="R1150" s="25">
        <v>5.9829059829059832E-2</v>
      </c>
      <c r="S1150" s="25">
        <v>4.884004884004884E-3</v>
      </c>
      <c r="T1150" s="25">
        <v>8.6691086691086688E-2</v>
      </c>
    </row>
    <row r="1151" spans="1:20" x14ac:dyDescent="0.25">
      <c r="A1151" s="8" t="s">
        <v>2390</v>
      </c>
      <c r="B1151" s="8" t="s">
        <v>2391</v>
      </c>
      <c r="C1151" s="8" t="s">
        <v>3540</v>
      </c>
      <c r="D1151" s="8">
        <v>749</v>
      </c>
      <c r="E1151" s="24">
        <v>0.46728971600532498</v>
      </c>
      <c r="F1151" s="24">
        <v>0.53271025419235196</v>
      </c>
      <c r="G1151" s="23">
        <v>0</v>
      </c>
      <c r="H1151" s="24">
        <v>0.64886516332626298</v>
      </c>
      <c r="I1151" s="23">
        <v>6.6755674779415001E-3</v>
      </c>
      <c r="J1151" s="24">
        <v>0.31241655349731401</v>
      </c>
      <c r="K1151" s="23">
        <v>8.0106807872653008E-3</v>
      </c>
      <c r="L1151" s="23">
        <v>6.6755674779415001E-3</v>
      </c>
      <c r="M1151" s="23">
        <v>1.7356475815176999E-2</v>
      </c>
      <c r="N1151" s="23">
        <v>0</v>
      </c>
      <c r="O1151" s="24">
        <v>0.16154873371124201</v>
      </c>
      <c r="P1151" s="24">
        <v>0.52870494127273504</v>
      </c>
      <c r="Q1151" s="23">
        <v>0.90120160579681396</v>
      </c>
      <c r="R1151" s="25">
        <v>6.6755674232309742E-2</v>
      </c>
      <c r="S1151" s="25">
        <v>0</v>
      </c>
      <c r="T1151" s="25">
        <v>8.8117489986648867E-2</v>
      </c>
    </row>
    <row r="1152" spans="1:20" x14ac:dyDescent="0.25">
      <c r="A1152" s="8" t="s">
        <v>2393</v>
      </c>
      <c r="B1152" s="8" t="s">
        <v>2394</v>
      </c>
      <c r="C1152" s="8" t="s">
        <v>3540</v>
      </c>
      <c r="D1152" s="8">
        <v>1068</v>
      </c>
      <c r="E1152" s="24">
        <v>0.47284644842147799</v>
      </c>
      <c r="F1152" s="24">
        <v>0.52715355157852095</v>
      </c>
      <c r="G1152" s="23">
        <v>0</v>
      </c>
      <c r="H1152" s="24">
        <v>0.22565543651580799</v>
      </c>
      <c r="I1152" s="23">
        <v>1.02996258065104E-2</v>
      </c>
      <c r="J1152" s="24">
        <v>0.67134833335876398</v>
      </c>
      <c r="K1152" s="23">
        <v>8.4269661456346998E-3</v>
      </c>
      <c r="L1152" s="23">
        <v>1.31086139008403E-2</v>
      </c>
      <c r="M1152" s="23">
        <v>7.1161046624183696E-2</v>
      </c>
      <c r="N1152" s="23">
        <v>0</v>
      </c>
      <c r="O1152" s="24">
        <v>0.20224718749523099</v>
      </c>
      <c r="P1152" s="23">
        <v>0.33052435517311102</v>
      </c>
      <c r="Q1152" s="24">
        <v>0.86048686504364003</v>
      </c>
      <c r="R1152" s="25">
        <v>7.8651685393258425E-2</v>
      </c>
      <c r="S1152" s="25">
        <v>9.3632958801498128E-4</v>
      </c>
      <c r="T1152" s="25">
        <v>0.1198501872659176</v>
      </c>
    </row>
    <row r="1153" spans="1:20" x14ac:dyDescent="0.25">
      <c r="A1153" s="8" t="s">
        <v>2395</v>
      </c>
      <c r="B1153" s="8" t="s">
        <v>2396</v>
      </c>
      <c r="C1153" s="8" t="s">
        <v>3540</v>
      </c>
      <c r="D1153" s="8">
        <v>358</v>
      </c>
      <c r="E1153" s="23">
        <v>0.5</v>
      </c>
      <c r="F1153" s="23">
        <v>0.5</v>
      </c>
      <c r="G1153" s="23">
        <v>0</v>
      </c>
      <c r="H1153" s="23">
        <v>0.65921789407730103</v>
      </c>
      <c r="I1153" s="23">
        <v>1.6759777441620799E-2</v>
      </c>
      <c r="J1153" s="24">
        <v>0.15363128483295399</v>
      </c>
      <c r="K1153" s="23">
        <v>4.1899442672729499E-2</v>
      </c>
      <c r="L1153" s="23">
        <v>5.5865920148790004E-3</v>
      </c>
      <c r="M1153" s="24">
        <v>0.122905030846595</v>
      </c>
      <c r="N1153" s="23">
        <v>0</v>
      </c>
      <c r="O1153" s="24">
        <v>0.159217879176139</v>
      </c>
      <c r="P1153" s="24">
        <v>0.14525139331817599</v>
      </c>
      <c r="Q1153" s="23">
        <v>0.57541900873184204</v>
      </c>
      <c r="R1153" s="25">
        <v>8.3798882681564244E-3</v>
      </c>
      <c r="S1153" s="25">
        <v>5.5865921787709499E-3</v>
      </c>
      <c r="T1153" s="25">
        <v>0.13407821229050279</v>
      </c>
    </row>
    <row r="1154" spans="1:20" x14ac:dyDescent="0.25">
      <c r="A1154" s="8" t="s">
        <v>2397</v>
      </c>
      <c r="B1154" s="8" t="s">
        <v>2398</v>
      </c>
      <c r="C1154" s="8" t="s">
        <v>3540</v>
      </c>
      <c r="D1154" s="8">
        <v>542</v>
      </c>
      <c r="E1154" s="24">
        <v>0.46678966283798201</v>
      </c>
      <c r="F1154" s="24">
        <v>0.53321033716201705</v>
      </c>
      <c r="G1154" s="23">
        <v>0</v>
      </c>
      <c r="H1154" s="24">
        <v>0.389298886060714</v>
      </c>
      <c r="I1154" s="24">
        <v>0.10147601366043001</v>
      </c>
      <c r="J1154" s="24">
        <v>0.36531364917755099</v>
      </c>
      <c r="K1154" s="23">
        <v>7.38007389009E-3</v>
      </c>
      <c r="L1154" s="23">
        <v>1.29151288419962E-2</v>
      </c>
      <c r="M1154" s="24">
        <v>0.123616233468055</v>
      </c>
      <c r="N1154" s="23">
        <v>0</v>
      </c>
      <c r="O1154" s="24">
        <v>0.19741697609424499</v>
      </c>
      <c r="P1154" s="23">
        <v>0.234317347407341</v>
      </c>
      <c r="Q1154" s="23">
        <v>0.776752769947052</v>
      </c>
      <c r="R1154" s="25">
        <v>6.273062730627306E-2</v>
      </c>
      <c r="S1154" s="25">
        <v>0</v>
      </c>
      <c r="T1154" s="25">
        <v>0.13099630996309963</v>
      </c>
    </row>
    <row r="1155" spans="1:20" x14ac:dyDescent="0.25">
      <c r="A1155" s="8" t="s">
        <v>2399</v>
      </c>
      <c r="B1155" s="8" t="s">
        <v>2400</v>
      </c>
      <c r="C1155" s="8" t="s">
        <v>3540</v>
      </c>
      <c r="D1155" s="8">
        <v>755</v>
      </c>
      <c r="E1155" s="24">
        <v>0.49668875336647</v>
      </c>
      <c r="F1155" s="24">
        <v>0.50331127643585205</v>
      </c>
      <c r="G1155" s="23">
        <v>0</v>
      </c>
      <c r="H1155" s="24">
        <v>0.79867547750473</v>
      </c>
      <c r="I1155" s="23">
        <v>7.9470202326774996E-3</v>
      </c>
      <c r="J1155" s="24">
        <v>0.15496689081192</v>
      </c>
      <c r="K1155" s="23">
        <v>2.1192053332924801E-2</v>
      </c>
      <c r="L1155" s="23">
        <v>3.9735101163387004E-3</v>
      </c>
      <c r="M1155" s="23">
        <v>1.32450331002474E-2</v>
      </c>
      <c r="N1155" s="23">
        <v>0</v>
      </c>
      <c r="O1155" s="24">
        <v>0.131125822663307</v>
      </c>
      <c r="P1155" s="24">
        <v>0.41192051768302901</v>
      </c>
      <c r="Q1155" s="24">
        <v>0.84635764360427801</v>
      </c>
      <c r="R1155" s="25">
        <v>3.1788079470198675E-2</v>
      </c>
      <c r="S1155" s="25">
        <v>2.6490066225165563E-3</v>
      </c>
      <c r="T1155" s="25">
        <v>8.4768211920529801E-2</v>
      </c>
    </row>
    <row r="1156" spans="1:20" x14ac:dyDescent="0.25">
      <c r="A1156" s="8" t="s">
        <v>2401</v>
      </c>
      <c r="B1156" s="8" t="s">
        <v>2402</v>
      </c>
      <c r="C1156" s="8" t="s">
        <v>3540</v>
      </c>
      <c r="D1156" s="8">
        <v>528</v>
      </c>
      <c r="E1156" s="24">
        <v>0.52840906381607</v>
      </c>
      <c r="F1156" s="24">
        <v>0.471590906381607</v>
      </c>
      <c r="G1156" s="23">
        <v>0</v>
      </c>
      <c r="H1156" s="24">
        <v>0.284090906381607</v>
      </c>
      <c r="I1156" s="23">
        <v>6.6287875175476102E-2</v>
      </c>
      <c r="J1156" s="24">
        <v>0.35037878155708302</v>
      </c>
      <c r="K1156" s="23">
        <v>1.5151515603065499E-2</v>
      </c>
      <c r="L1156" s="23">
        <v>1.1363636702299101E-2</v>
      </c>
      <c r="M1156" s="24">
        <v>0.272727280855178</v>
      </c>
      <c r="N1156" s="23">
        <v>0</v>
      </c>
      <c r="O1156" s="24">
        <v>0.19128787517547599</v>
      </c>
      <c r="P1156" s="24">
        <v>0.204545453190803</v>
      </c>
      <c r="Q1156" s="23">
        <v>0.6875</v>
      </c>
      <c r="R1156" s="25">
        <v>5.4924242424242424E-2</v>
      </c>
      <c r="S1156" s="25">
        <v>5.681818181818182E-3</v>
      </c>
      <c r="T1156" s="25">
        <v>0.125</v>
      </c>
    </row>
    <row r="1157" spans="1:20" x14ac:dyDescent="0.25">
      <c r="A1157" s="8" t="s">
        <v>2403</v>
      </c>
      <c r="B1157" s="8" t="s">
        <v>2404</v>
      </c>
      <c r="C1157" s="8" t="s">
        <v>3540</v>
      </c>
      <c r="D1157" s="8">
        <v>612</v>
      </c>
      <c r="E1157" s="24">
        <v>0.47222220897674499</v>
      </c>
      <c r="F1157" s="24">
        <v>0.52777779102325395</v>
      </c>
      <c r="G1157" s="23">
        <v>0</v>
      </c>
      <c r="H1157" s="24">
        <v>0.45261436700820901</v>
      </c>
      <c r="I1157" s="24">
        <v>0.150326803326606</v>
      </c>
      <c r="J1157" s="24">
        <v>0.274509817361831</v>
      </c>
      <c r="K1157" s="23">
        <v>3.10457516461611E-2</v>
      </c>
      <c r="L1157" s="23">
        <v>1.30718955770135E-2</v>
      </c>
      <c r="M1157" s="23">
        <v>7.8431375324726105E-2</v>
      </c>
      <c r="N1157" s="23">
        <v>0</v>
      </c>
      <c r="O1157" s="24">
        <v>0.28104576468467701</v>
      </c>
      <c r="P1157" s="24">
        <v>0.13398693501949299</v>
      </c>
      <c r="Q1157" s="24">
        <v>0.75653594732284501</v>
      </c>
      <c r="R1157" s="25">
        <v>8.0065359477124176E-2</v>
      </c>
      <c r="S1157" s="25">
        <v>0</v>
      </c>
      <c r="T1157" s="25">
        <v>0.19281045751633988</v>
      </c>
    </row>
    <row r="1158" spans="1:20" x14ac:dyDescent="0.25">
      <c r="A1158" s="8" t="s">
        <v>2405</v>
      </c>
      <c r="B1158" s="8" t="s">
        <v>2406</v>
      </c>
      <c r="C1158" s="8" t="s">
        <v>3540</v>
      </c>
      <c r="D1158" s="8">
        <v>409</v>
      </c>
      <c r="E1158" s="24">
        <v>0.52811735868453902</v>
      </c>
      <c r="F1158" s="24">
        <v>0.47188264131545998</v>
      </c>
      <c r="G1158" s="23">
        <v>0</v>
      </c>
      <c r="H1158" s="24">
        <v>0.39364302158355702</v>
      </c>
      <c r="I1158" s="23">
        <v>3.4229829907417297E-2</v>
      </c>
      <c r="J1158" s="24">
        <v>0.24449877440929399</v>
      </c>
      <c r="K1158" s="23">
        <v>5.1344744861125897E-2</v>
      </c>
      <c r="L1158" s="23">
        <v>0</v>
      </c>
      <c r="M1158" s="24">
        <v>0.27628362178802401</v>
      </c>
      <c r="N1158" s="23">
        <v>0</v>
      </c>
      <c r="O1158" s="23">
        <v>0.16136918962001801</v>
      </c>
      <c r="P1158" s="24">
        <v>0.10024449974298399</v>
      </c>
      <c r="Q1158" s="24">
        <v>0.32518336176872198</v>
      </c>
      <c r="R1158" s="25">
        <v>7.3349633251833741E-3</v>
      </c>
      <c r="S1158" s="25">
        <v>4.8899755501222494E-3</v>
      </c>
      <c r="T1158" s="25">
        <v>0.15403422982885084</v>
      </c>
    </row>
    <row r="1159" spans="1:20" x14ac:dyDescent="0.25">
      <c r="A1159" s="8" t="s">
        <v>2407</v>
      </c>
      <c r="B1159" s="8" t="s">
        <v>2408</v>
      </c>
      <c r="C1159" s="8" t="s">
        <v>3540</v>
      </c>
      <c r="D1159" s="8">
        <v>462</v>
      </c>
      <c r="E1159" s="24">
        <v>0.51731604337692205</v>
      </c>
      <c r="F1159" s="24">
        <v>0.482683986425399</v>
      </c>
      <c r="G1159" s="23">
        <v>0</v>
      </c>
      <c r="H1159" s="24">
        <v>0.61038959026336603</v>
      </c>
      <c r="I1159" s="23">
        <v>4.3290043249726001E-3</v>
      </c>
      <c r="J1159" s="24">
        <v>0.15800866484642001</v>
      </c>
      <c r="K1159" s="23">
        <v>1.5151515603065499E-2</v>
      </c>
      <c r="L1159" s="23">
        <v>4.3290043249726001E-3</v>
      </c>
      <c r="M1159" s="24">
        <v>0.20562770962715099</v>
      </c>
      <c r="N1159" s="23">
        <v>2.1645021624863E-3</v>
      </c>
      <c r="O1159" s="24">
        <v>0.164502158761024</v>
      </c>
      <c r="P1159" s="24">
        <v>0.181818187236785</v>
      </c>
      <c r="Q1159" s="24">
        <v>0.58658009767532304</v>
      </c>
      <c r="R1159" s="25">
        <v>1.5151515151515152E-2</v>
      </c>
      <c r="S1159" s="25">
        <v>8.658008658008658E-3</v>
      </c>
      <c r="T1159" s="25">
        <v>0.12987012987012986</v>
      </c>
    </row>
    <row r="1160" spans="1:20" x14ac:dyDescent="0.25">
      <c r="A1160" s="8" t="s">
        <v>2409</v>
      </c>
      <c r="B1160" s="8" t="s">
        <v>2410</v>
      </c>
      <c r="C1160" s="8" t="s">
        <v>3540</v>
      </c>
      <c r="D1160" s="8">
        <v>1520</v>
      </c>
      <c r="E1160" s="23">
        <v>0.48750001192092901</v>
      </c>
      <c r="F1160" s="23">
        <v>0.51249998807907104</v>
      </c>
      <c r="G1160" s="23">
        <v>0</v>
      </c>
      <c r="H1160" s="24">
        <v>0.60065788030624301</v>
      </c>
      <c r="I1160" s="23">
        <v>1.44736841320992E-2</v>
      </c>
      <c r="J1160" s="24">
        <v>0.31776314973831099</v>
      </c>
      <c r="K1160" s="23">
        <v>7.8947367146611006E-3</v>
      </c>
      <c r="L1160" s="23">
        <v>3.2894737087189999E-3</v>
      </c>
      <c r="M1160" s="23">
        <v>5.5921051651239402E-2</v>
      </c>
      <c r="N1160" s="23">
        <v>0</v>
      </c>
      <c r="O1160" s="24">
        <v>0.15657894313335399</v>
      </c>
      <c r="P1160" s="24">
        <v>0.18815790116786901</v>
      </c>
      <c r="Q1160" s="23">
        <v>0.75855261087417603</v>
      </c>
      <c r="R1160" s="25">
        <v>4.1447368421052629E-2</v>
      </c>
      <c r="S1160" s="25">
        <v>1.3157894736842105E-3</v>
      </c>
      <c r="T1160" s="25">
        <v>0.11776315789473685</v>
      </c>
    </row>
    <row r="1161" spans="1:20" x14ac:dyDescent="0.25">
      <c r="A1161" s="8" t="s">
        <v>2411</v>
      </c>
      <c r="B1161" s="8" t="s">
        <v>2412</v>
      </c>
      <c r="C1161" s="8" t="s">
        <v>3540</v>
      </c>
      <c r="D1161" s="8">
        <v>607</v>
      </c>
      <c r="E1161" s="24">
        <v>0.47775948047637901</v>
      </c>
      <c r="F1161" s="24">
        <v>0.52224051952362005</v>
      </c>
      <c r="G1161" s="23">
        <v>0</v>
      </c>
      <c r="H1161" s="24">
        <v>0.52553540468215898</v>
      </c>
      <c r="I1161" s="23">
        <v>2.9654035344719901E-2</v>
      </c>
      <c r="J1161" s="24">
        <v>0.40527182817459101</v>
      </c>
      <c r="K1161" s="23">
        <v>1.15321250632405E-2</v>
      </c>
      <c r="L1161" s="23">
        <v>6.5897856839000997E-3</v>
      </c>
      <c r="M1161" s="23">
        <v>2.14168038219213E-2</v>
      </c>
      <c r="N1161" s="23">
        <v>0</v>
      </c>
      <c r="O1161" s="23">
        <v>0.168039545416832</v>
      </c>
      <c r="P1161" s="23">
        <v>0.31136739253997803</v>
      </c>
      <c r="Q1161" s="24">
        <v>0.83360791206359797</v>
      </c>
      <c r="R1161" s="25">
        <v>1.6474464579901153E-3</v>
      </c>
      <c r="S1161" s="25">
        <v>7.57825370675453E-2</v>
      </c>
      <c r="T1161" s="25">
        <v>9.5551894563426693E-2</v>
      </c>
    </row>
    <row r="1162" spans="1:20" x14ac:dyDescent="0.25">
      <c r="A1162" s="8" t="s">
        <v>2414</v>
      </c>
      <c r="B1162" s="8" t="s">
        <v>2415</v>
      </c>
      <c r="C1162" s="8" t="s">
        <v>3540</v>
      </c>
      <c r="D1162" s="8">
        <v>559</v>
      </c>
      <c r="E1162" s="24">
        <v>0.49552771449089</v>
      </c>
      <c r="F1162" s="24">
        <v>0.504472255706787</v>
      </c>
      <c r="G1162" s="23">
        <v>0</v>
      </c>
      <c r="H1162" s="24">
        <v>0.30769231915473899</v>
      </c>
      <c r="I1162" s="23">
        <v>8.9445440098643008E-3</v>
      </c>
      <c r="J1162" s="24">
        <v>0.22719141840934701</v>
      </c>
      <c r="K1162" s="23">
        <v>2.50447224825621E-2</v>
      </c>
      <c r="L1162" s="23">
        <v>1.7889087321237001E-3</v>
      </c>
      <c r="M1162" s="24">
        <v>0.42933809757232599</v>
      </c>
      <c r="N1162" s="23">
        <v>0</v>
      </c>
      <c r="O1162" s="24">
        <v>0.16636851429939201</v>
      </c>
      <c r="P1162" s="23">
        <v>8.4078714251518194E-2</v>
      </c>
      <c r="Q1162" s="24">
        <v>0.434704840183258</v>
      </c>
      <c r="R1162" s="25">
        <v>3.041144901610018E-2</v>
      </c>
      <c r="S1162" s="25">
        <v>3.5778175313059034E-3</v>
      </c>
      <c r="T1162" s="25">
        <v>0.13595706618962433</v>
      </c>
    </row>
    <row r="1163" spans="1:20" x14ac:dyDescent="0.25">
      <c r="A1163" s="8" t="s">
        <v>2416</v>
      </c>
      <c r="B1163" s="8" t="s">
        <v>2417</v>
      </c>
      <c r="C1163" s="8" t="s">
        <v>3540</v>
      </c>
      <c r="D1163" s="8">
        <v>985</v>
      </c>
      <c r="E1163" s="24">
        <v>0.475126892328262</v>
      </c>
      <c r="F1163" s="24">
        <v>0.52487307786941495</v>
      </c>
      <c r="G1163" s="23">
        <v>0</v>
      </c>
      <c r="H1163" s="24">
        <v>0.42538070678710899</v>
      </c>
      <c r="I1163" s="23">
        <v>1.3197969645261799E-2</v>
      </c>
      <c r="J1163" s="24">
        <v>0.354314714670181</v>
      </c>
      <c r="K1163" s="23">
        <v>1.52284260839224E-2</v>
      </c>
      <c r="L1163" s="23">
        <v>4.0609138086437997E-3</v>
      </c>
      <c r="M1163" s="24">
        <v>0.18680202960968001</v>
      </c>
      <c r="N1163" s="23">
        <v>1.015228452161E-3</v>
      </c>
      <c r="O1163" s="24">
        <v>0.14822335541248299</v>
      </c>
      <c r="P1163" s="24">
        <v>0.14416243135929099</v>
      </c>
      <c r="Q1163" s="24">
        <v>0.68629443645477195</v>
      </c>
      <c r="R1163" s="25">
        <v>3.4517766497461931E-2</v>
      </c>
      <c r="S1163" s="25">
        <v>1.0152284263959391E-3</v>
      </c>
      <c r="T1163" s="25">
        <v>0.11370558375634518</v>
      </c>
    </row>
    <row r="1164" spans="1:20" x14ac:dyDescent="0.25">
      <c r="A1164" s="8" t="s">
        <v>2418</v>
      </c>
      <c r="B1164" s="8" t="s">
        <v>2419</v>
      </c>
      <c r="C1164" s="8" t="s">
        <v>3540</v>
      </c>
      <c r="D1164" s="8">
        <v>492</v>
      </c>
      <c r="E1164" s="23">
        <v>0.5</v>
      </c>
      <c r="F1164" s="23">
        <v>0.5</v>
      </c>
      <c r="G1164" s="23">
        <v>0</v>
      </c>
      <c r="H1164" s="24">
        <v>0.107723578810691</v>
      </c>
      <c r="I1164" s="24">
        <v>0.20528455078601801</v>
      </c>
      <c r="J1164" s="24">
        <v>0.56300812959670998</v>
      </c>
      <c r="K1164" s="23">
        <v>3.2520323991775499E-2</v>
      </c>
      <c r="L1164" s="23">
        <v>1.42276426777244E-2</v>
      </c>
      <c r="M1164" s="23">
        <v>7.5203254818916307E-2</v>
      </c>
      <c r="N1164" s="23">
        <v>2.0325202494859999E-3</v>
      </c>
      <c r="O1164" s="24">
        <v>0.23373983800411199</v>
      </c>
      <c r="P1164" s="24">
        <v>0.111788615584373</v>
      </c>
      <c r="Q1164" s="23">
        <v>0.68495935201644897</v>
      </c>
      <c r="R1164" s="25">
        <v>8.3333333333333329E-2</v>
      </c>
      <c r="S1164" s="25">
        <v>0</v>
      </c>
      <c r="T1164" s="25">
        <v>0.14227642276422764</v>
      </c>
    </row>
    <row r="1165" spans="1:20" x14ac:dyDescent="0.25">
      <c r="A1165" s="8" t="s">
        <v>2420</v>
      </c>
      <c r="B1165" s="8" t="s">
        <v>2421</v>
      </c>
      <c r="C1165" s="8" t="s">
        <v>3540</v>
      </c>
      <c r="D1165" s="8">
        <v>308</v>
      </c>
      <c r="E1165" s="24">
        <v>0.50974023342132502</v>
      </c>
      <c r="F1165" s="24">
        <v>0.49025973677635099</v>
      </c>
      <c r="G1165" s="23">
        <v>0</v>
      </c>
      <c r="H1165" s="24">
        <v>0.123376622796058</v>
      </c>
      <c r="I1165" s="24">
        <v>0.36038962006568898</v>
      </c>
      <c r="J1165" s="23">
        <v>0.44155845046043402</v>
      </c>
      <c r="K1165" s="23">
        <v>2.2727273404598201E-2</v>
      </c>
      <c r="L1165" s="23">
        <v>1.6233766451478001E-2</v>
      </c>
      <c r="M1165" s="23">
        <v>3.5714287310838699E-2</v>
      </c>
      <c r="N1165" s="23">
        <v>0</v>
      </c>
      <c r="O1165" s="24">
        <v>0.27922078967094399</v>
      </c>
      <c r="P1165" s="23">
        <v>0.14935064315795901</v>
      </c>
      <c r="Q1165" s="24">
        <v>0.83766233921051003</v>
      </c>
      <c r="R1165" s="25">
        <v>0.11363636363636363</v>
      </c>
      <c r="S1165" s="25">
        <v>0</v>
      </c>
      <c r="T1165" s="25">
        <v>0.16558441558441558</v>
      </c>
    </row>
    <row r="1166" spans="1:20" x14ac:dyDescent="0.25">
      <c r="A1166" s="8" t="s">
        <v>2422</v>
      </c>
      <c r="B1166" s="8" t="s">
        <v>2423</v>
      </c>
      <c r="C1166" s="8" t="s">
        <v>3540</v>
      </c>
      <c r="D1166" s="8">
        <v>440</v>
      </c>
      <c r="E1166" s="24">
        <v>0.43863636255264199</v>
      </c>
      <c r="F1166" s="24">
        <v>0.56136363744735696</v>
      </c>
      <c r="G1166" s="23">
        <v>0</v>
      </c>
      <c r="H1166" s="23">
        <v>0.57499998807907104</v>
      </c>
      <c r="I1166" s="23">
        <v>9.0909088030456994E-3</v>
      </c>
      <c r="J1166" s="24">
        <v>0.19090908765792799</v>
      </c>
      <c r="K1166" s="23">
        <v>2.5000000372528999E-2</v>
      </c>
      <c r="L1166" s="23">
        <v>0</v>
      </c>
      <c r="M1166" s="24">
        <v>0.20000000298023199</v>
      </c>
      <c r="N1166" s="23">
        <v>0</v>
      </c>
      <c r="O1166" s="24">
        <v>0.159090906381607</v>
      </c>
      <c r="P1166" s="23">
        <v>9.3181818723678603E-2</v>
      </c>
      <c r="Q1166" s="24">
        <v>0.41363635659217801</v>
      </c>
      <c r="R1166" s="25">
        <v>1.3636363636363636E-2</v>
      </c>
      <c r="S1166" s="25">
        <v>0</v>
      </c>
      <c r="T1166" s="25">
        <v>0.12727272727272726</v>
      </c>
    </row>
    <row r="1167" spans="1:20" x14ac:dyDescent="0.25">
      <c r="A1167" s="8" t="s">
        <v>2424</v>
      </c>
      <c r="B1167" s="8" t="s">
        <v>2425</v>
      </c>
      <c r="C1167" s="8" t="s">
        <v>3540</v>
      </c>
      <c r="D1167" s="8">
        <v>340</v>
      </c>
      <c r="E1167" s="24">
        <v>0.54705882072448697</v>
      </c>
      <c r="F1167" s="24">
        <v>0.45294117927551197</v>
      </c>
      <c r="G1167" s="23">
        <v>0</v>
      </c>
      <c r="H1167" s="24">
        <v>0.57941174507141102</v>
      </c>
      <c r="I1167" s="23">
        <v>5.8823529630899402E-2</v>
      </c>
      <c r="J1167" s="24">
        <v>0.30588236451148898</v>
      </c>
      <c r="K1167" s="23">
        <v>2.05882359296083E-2</v>
      </c>
      <c r="L1167" s="23">
        <v>8.8235298171638991E-3</v>
      </c>
      <c r="M1167" s="23">
        <v>2.64705885201693E-2</v>
      </c>
      <c r="N1167" s="23">
        <v>0</v>
      </c>
      <c r="O1167" s="24">
        <v>0.20000000298023199</v>
      </c>
      <c r="P1167" s="24">
        <v>0.37647059559821999</v>
      </c>
      <c r="Q1167" s="24">
        <v>0.78823530673980702</v>
      </c>
      <c r="R1167" s="25">
        <v>2.9411764705882353E-3</v>
      </c>
      <c r="S1167" s="25">
        <v>2.3529411764705882E-2</v>
      </c>
      <c r="T1167" s="25">
        <v>0.14705882352941177</v>
      </c>
    </row>
    <row r="1168" spans="1:20" x14ac:dyDescent="0.25">
      <c r="A1168" s="8" t="s">
        <v>2426</v>
      </c>
      <c r="B1168" s="8" t="s">
        <v>2427</v>
      </c>
      <c r="C1168" s="8" t="s">
        <v>3540</v>
      </c>
      <c r="D1168" s="8">
        <v>604</v>
      </c>
      <c r="E1168" s="24">
        <v>0.42715230584144498</v>
      </c>
      <c r="F1168" s="24">
        <v>0.57284766435623102</v>
      </c>
      <c r="G1168" s="23">
        <v>0</v>
      </c>
      <c r="H1168" s="24">
        <v>0.51986753940582198</v>
      </c>
      <c r="I1168" s="23">
        <v>3.1456954777240802E-2</v>
      </c>
      <c r="J1168" s="24">
        <v>0.321192055940628</v>
      </c>
      <c r="K1168" s="23">
        <v>1.32450331002474E-2</v>
      </c>
      <c r="L1168" s="23">
        <v>8.2781454548240003E-3</v>
      </c>
      <c r="M1168" s="24">
        <v>0.105960264801979</v>
      </c>
      <c r="N1168" s="23">
        <v>0</v>
      </c>
      <c r="O1168" s="24">
        <v>0.296357601881027</v>
      </c>
      <c r="P1168" s="24">
        <v>0.248344376683235</v>
      </c>
      <c r="Q1168" s="24">
        <v>0.74503308534622104</v>
      </c>
      <c r="R1168" s="25">
        <v>4.3046357615894038E-2</v>
      </c>
      <c r="S1168" s="25">
        <v>6.4569536423841056E-2</v>
      </c>
      <c r="T1168" s="25">
        <v>0.18543046357615894</v>
      </c>
    </row>
    <row r="1169" spans="1:20" x14ac:dyDescent="0.25">
      <c r="A1169" s="8" t="s">
        <v>2428</v>
      </c>
      <c r="B1169" s="8" t="s">
        <v>2429</v>
      </c>
      <c r="C1169" s="8" t="s">
        <v>3540</v>
      </c>
      <c r="D1169" s="8">
        <v>1313</v>
      </c>
      <c r="E1169" s="24">
        <v>0.456968784332275</v>
      </c>
      <c r="F1169" s="24">
        <v>0.54303121566772405</v>
      </c>
      <c r="G1169" s="23">
        <v>0</v>
      </c>
      <c r="H1169" s="24">
        <v>0.75019037723541204</v>
      </c>
      <c r="I1169" s="23">
        <v>2.2848438471555699E-2</v>
      </c>
      <c r="J1169" s="24">
        <v>0.196496576070785</v>
      </c>
      <c r="K1169" s="23">
        <v>1.14242192357779E-2</v>
      </c>
      <c r="L1169" s="23">
        <v>5.3313025273383002E-3</v>
      </c>
      <c r="M1169" s="23">
        <v>1.3709063641727E-2</v>
      </c>
      <c r="N1169" s="23">
        <v>0</v>
      </c>
      <c r="O1169" s="24">
        <v>0.114242196083068</v>
      </c>
      <c r="P1169" s="24">
        <v>0.30007615685462902</v>
      </c>
      <c r="Q1169" s="24">
        <v>0.81645089387893599</v>
      </c>
      <c r="R1169" s="25">
        <v>3.9603960396039604E-2</v>
      </c>
      <c r="S1169" s="25">
        <v>7.6161462300076163E-4</v>
      </c>
      <c r="T1169" s="25">
        <v>7.0830159939070825E-2</v>
      </c>
    </row>
    <row r="1170" spans="1:20" x14ac:dyDescent="0.25">
      <c r="A1170" s="8" t="s">
        <v>2430</v>
      </c>
      <c r="B1170" s="8" t="s">
        <v>2431</v>
      </c>
      <c r="C1170" s="8" t="s">
        <v>3540</v>
      </c>
      <c r="D1170" s="8">
        <v>653</v>
      </c>
      <c r="E1170" s="24">
        <v>0.505359888076782</v>
      </c>
      <c r="F1170" s="24">
        <v>0.494640111923217</v>
      </c>
      <c r="G1170" s="23">
        <v>0</v>
      </c>
      <c r="H1170" s="24">
        <v>0.13935682177543601</v>
      </c>
      <c r="I1170" s="23">
        <v>6.1255741864442798E-2</v>
      </c>
      <c r="J1170" s="24">
        <v>0.70444107055663996</v>
      </c>
      <c r="K1170" s="23">
        <v>3.0627872329205001E-3</v>
      </c>
      <c r="L1170" s="23">
        <v>9.1883614659309006E-3</v>
      </c>
      <c r="M1170" s="23">
        <v>4.1347626596689203E-2</v>
      </c>
      <c r="N1170" s="23">
        <v>4.1347626596689203E-2</v>
      </c>
      <c r="O1170" s="24">
        <v>0.20520673692226399</v>
      </c>
      <c r="P1170" s="24">
        <v>0.20980091392993899</v>
      </c>
      <c r="Q1170" s="24">
        <v>0.82695251703262296</v>
      </c>
      <c r="R1170" s="25">
        <v>0</v>
      </c>
      <c r="S1170" s="25">
        <v>7.8101071975497705E-2</v>
      </c>
      <c r="T1170" s="25">
        <v>0.10872894333843798</v>
      </c>
    </row>
    <row r="1171" spans="1:20" x14ac:dyDescent="0.25">
      <c r="A1171" s="8" t="s">
        <v>2432</v>
      </c>
      <c r="B1171" s="8" t="s">
        <v>2433</v>
      </c>
      <c r="C1171" s="8" t="s">
        <v>3540</v>
      </c>
      <c r="D1171" s="8">
        <v>447</v>
      </c>
      <c r="E1171" s="24">
        <v>0.52572709321975697</v>
      </c>
      <c r="F1171" s="24">
        <v>0.47427293658256497</v>
      </c>
      <c r="G1171" s="23">
        <v>0</v>
      </c>
      <c r="H1171" s="24">
        <v>0.69798660278320301</v>
      </c>
      <c r="I1171" s="23">
        <v>2.46085003018379E-2</v>
      </c>
      <c r="J1171" s="24">
        <v>0.24608501791953999</v>
      </c>
      <c r="K1171" s="23">
        <v>6.7114094272256002E-3</v>
      </c>
      <c r="L1171" s="23">
        <v>2.2371364757419001E-3</v>
      </c>
      <c r="M1171" s="23">
        <v>1.1185682378709301E-2</v>
      </c>
      <c r="N1171" s="23">
        <v>1.1185682378709301E-2</v>
      </c>
      <c r="O1171" s="23">
        <v>6.4876958727836595E-2</v>
      </c>
      <c r="P1171" s="23">
        <v>0.29082775115966802</v>
      </c>
      <c r="Q1171" s="24">
        <v>0.825503349304199</v>
      </c>
      <c r="R1171" s="25">
        <v>0</v>
      </c>
      <c r="S1171" s="25">
        <v>0</v>
      </c>
      <c r="T1171" s="25">
        <v>6.2639821029082776E-2</v>
      </c>
    </row>
    <row r="1172" spans="1:20" x14ac:dyDescent="0.25">
      <c r="A1172" s="8" t="s">
        <v>2434</v>
      </c>
      <c r="B1172" s="8" t="s">
        <v>2435</v>
      </c>
      <c r="C1172" s="8" t="s">
        <v>3540</v>
      </c>
      <c r="D1172" s="8">
        <v>306</v>
      </c>
      <c r="E1172" s="24">
        <v>0.54575163125991799</v>
      </c>
      <c r="F1172" s="24">
        <v>0.45424836874008101</v>
      </c>
      <c r="G1172" s="23">
        <v>0</v>
      </c>
      <c r="H1172" s="24">
        <v>0.78431373834609897</v>
      </c>
      <c r="I1172" s="23">
        <v>3.26797403395176E-2</v>
      </c>
      <c r="J1172" s="24">
        <v>0.137254908680915</v>
      </c>
      <c r="K1172" s="23">
        <v>1.30718955770135E-2</v>
      </c>
      <c r="L1172" s="23">
        <v>1.9607843831181498E-2</v>
      </c>
      <c r="M1172" s="23">
        <v>1.30718955770135E-2</v>
      </c>
      <c r="N1172" s="23">
        <v>0</v>
      </c>
      <c r="O1172" s="24">
        <v>0.173202618956565</v>
      </c>
      <c r="P1172" s="24">
        <v>0.35294118523597701</v>
      </c>
      <c r="Q1172" s="24">
        <v>0.66339868307113603</v>
      </c>
      <c r="R1172" s="25">
        <v>0</v>
      </c>
      <c r="S1172" s="25">
        <v>0</v>
      </c>
      <c r="T1172" s="25">
        <v>0.15032679738562091</v>
      </c>
    </row>
    <row r="1173" spans="1:20" x14ac:dyDescent="0.25">
      <c r="A1173" s="8" t="s">
        <v>2436</v>
      </c>
      <c r="B1173" s="8" t="s">
        <v>2437</v>
      </c>
      <c r="C1173" s="8" t="s">
        <v>3540</v>
      </c>
      <c r="D1173" s="8">
        <v>459</v>
      </c>
      <c r="E1173" s="24">
        <v>0.518518507480621</v>
      </c>
      <c r="F1173" s="24">
        <v>0.481481492519378</v>
      </c>
      <c r="G1173" s="23">
        <v>0</v>
      </c>
      <c r="H1173" s="24">
        <v>0.901960790157318</v>
      </c>
      <c r="I1173" s="23">
        <v>8.7145967409014997E-3</v>
      </c>
      <c r="J1173" s="23">
        <v>6.1002179980278001E-2</v>
      </c>
      <c r="K1173" s="23">
        <v>1.9607843831181498E-2</v>
      </c>
      <c r="L1173" s="23">
        <v>4.3572983704507004E-3</v>
      </c>
      <c r="M1173" s="23">
        <v>4.3572983704507004E-3</v>
      </c>
      <c r="N1173" s="23">
        <v>0</v>
      </c>
      <c r="O1173" s="24">
        <v>0.12636165320873199</v>
      </c>
      <c r="P1173" s="24">
        <v>0.53594774007797197</v>
      </c>
      <c r="Q1173" s="24">
        <v>0.751634001731872</v>
      </c>
      <c r="R1173" s="25">
        <v>0</v>
      </c>
      <c r="S1173" s="25">
        <v>4.1394335511982572E-2</v>
      </c>
      <c r="T1173" s="25">
        <v>7.1895424836601302E-2</v>
      </c>
    </row>
    <row r="1174" spans="1:20" x14ac:dyDescent="0.25">
      <c r="A1174" s="8" t="s">
        <v>2438</v>
      </c>
      <c r="B1174" s="8" t="s">
        <v>2439</v>
      </c>
      <c r="C1174" s="8" t="s">
        <v>3540</v>
      </c>
      <c r="D1174" s="8">
        <v>257</v>
      </c>
      <c r="E1174" s="24">
        <v>0.49027237296104398</v>
      </c>
      <c r="F1174" s="24">
        <v>0.50972759723663297</v>
      </c>
      <c r="G1174" s="23">
        <v>0</v>
      </c>
      <c r="H1174" s="24">
        <v>0.22568093240261</v>
      </c>
      <c r="I1174" s="24">
        <v>0.24513618648052199</v>
      </c>
      <c r="J1174" s="24">
        <v>0.447470813989639</v>
      </c>
      <c r="K1174" s="23">
        <v>1.94552522152662E-2</v>
      </c>
      <c r="L1174" s="23">
        <v>7.7821011655032999E-3</v>
      </c>
      <c r="M1174" s="23">
        <v>5.4474707692861599E-2</v>
      </c>
      <c r="N1174" s="23">
        <v>0</v>
      </c>
      <c r="O1174" s="24">
        <v>0.280155628919601</v>
      </c>
      <c r="P1174" s="24">
        <v>0.276264578104019</v>
      </c>
      <c r="Q1174" s="24">
        <v>0.82490271329879705</v>
      </c>
      <c r="R1174" s="25">
        <v>0.12062256809338522</v>
      </c>
      <c r="S1174" s="25">
        <v>0</v>
      </c>
      <c r="T1174" s="25">
        <v>0.1556420233463035</v>
      </c>
    </row>
    <row r="1175" spans="1:20" x14ac:dyDescent="0.25">
      <c r="A1175" s="8" t="s">
        <v>2440</v>
      </c>
      <c r="B1175" s="8" t="s">
        <v>2441</v>
      </c>
      <c r="C1175" s="8" t="s">
        <v>3540</v>
      </c>
      <c r="D1175" s="8">
        <v>593</v>
      </c>
      <c r="E1175" s="24">
        <v>0.478920727968215</v>
      </c>
      <c r="F1175" s="24">
        <v>0.521079242229461</v>
      </c>
      <c r="G1175" s="23">
        <v>0</v>
      </c>
      <c r="H1175" s="24">
        <v>0.32715007662773099</v>
      </c>
      <c r="I1175" s="24">
        <v>0.14165261387825001</v>
      </c>
      <c r="J1175" s="24">
        <v>0.32377740740776001</v>
      </c>
      <c r="K1175" s="23">
        <v>2.6981450617313399E-2</v>
      </c>
      <c r="L1175" s="23">
        <v>3.3726813271642E-3</v>
      </c>
      <c r="M1175" s="24">
        <v>0.17369309067726099</v>
      </c>
      <c r="N1175" s="23">
        <v>3.3726813271642E-3</v>
      </c>
      <c r="O1175" s="24">
        <v>0.19055649638175901</v>
      </c>
      <c r="P1175" s="23">
        <v>5.2276559174060801E-2</v>
      </c>
      <c r="Q1175" s="24">
        <v>0.64418214559554998</v>
      </c>
      <c r="R1175" s="25">
        <v>0</v>
      </c>
      <c r="S1175" s="25">
        <v>0</v>
      </c>
      <c r="T1175" s="25">
        <v>0.18043844856661045</v>
      </c>
    </row>
    <row r="1176" spans="1:20" x14ac:dyDescent="0.25">
      <c r="A1176" s="8" t="s">
        <v>2442</v>
      </c>
      <c r="B1176" s="8" t="s">
        <v>2443</v>
      </c>
      <c r="C1176" s="8" t="s">
        <v>3540</v>
      </c>
      <c r="D1176" s="8">
        <v>410</v>
      </c>
      <c r="E1176" s="24">
        <v>0.43658536672592102</v>
      </c>
      <c r="F1176" s="24">
        <v>0.56341463327407804</v>
      </c>
      <c r="G1176" s="23">
        <v>0</v>
      </c>
      <c r="H1176" s="24">
        <v>0.31707316637039101</v>
      </c>
      <c r="I1176" s="23">
        <v>2.4390243925154001E-3</v>
      </c>
      <c r="J1176" s="24">
        <v>0.656097531318664</v>
      </c>
      <c r="K1176" s="23">
        <v>0</v>
      </c>
      <c r="L1176" s="23">
        <v>0</v>
      </c>
      <c r="M1176" s="23">
        <v>1.4634146355092499E-2</v>
      </c>
      <c r="N1176" s="23">
        <v>9.7560975700616993E-3</v>
      </c>
      <c r="O1176" s="23">
        <v>2.43902429938316E-2</v>
      </c>
      <c r="P1176" s="24">
        <v>0.88048779964446999</v>
      </c>
      <c r="Q1176" s="24">
        <v>0.88536584377288796</v>
      </c>
      <c r="R1176" s="25">
        <v>0</v>
      </c>
      <c r="S1176" s="25">
        <v>0</v>
      </c>
      <c r="T1176" s="25">
        <v>2.1951219512195121E-2</v>
      </c>
    </row>
    <row r="1177" spans="1:20" x14ac:dyDescent="0.25">
      <c r="A1177" s="8" t="s">
        <v>2444</v>
      </c>
      <c r="B1177" s="8" t="s">
        <v>2445</v>
      </c>
      <c r="C1177" s="8" t="s">
        <v>3540</v>
      </c>
      <c r="D1177" s="8">
        <v>703</v>
      </c>
      <c r="E1177" s="24">
        <v>0.45519202947616499</v>
      </c>
      <c r="F1177" s="24">
        <v>0.54480797052383401</v>
      </c>
      <c r="G1177" s="23">
        <v>0</v>
      </c>
      <c r="H1177" s="24">
        <v>0.77240395545959395</v>
      </c>
      <c r="I1177" s="23">
        <v>3.4139402210712398E-2</v>
      </c>
      <c r="J1177" s="24">
        <v>0.162162154912948</v>
      </c>
      <c r="K1177" s="23">
        <v>2.8449501842260001E-3</v>
      </c>
      <c r="L1177" s="23">
        <v>1.422475092113E-3</v>
      </c>
      <c r="M1177" s="23">
        <v>2.70270276814699E-2</v>
      </c>
      <c r="N1177" s="23">
        <v>0</v>
      </c>
      <c r="O1177" s="24">
        <v>0.162162154912948</v>
      </c>
      <c r="P1177" s="24">
        <v>0.15789473056793199</v>
      </c>
      <c r="Q1177" s="24">
        <v>0.85206258296966497</v>
      </c>
      <c r="R1177" s="25">
        <v>0</v>
      </c>
      <c r="S1177" s="25">
        <v>2.4182076813655761E-2</v>
      </c>
      <c r="T1177" s="25">
        <v>0.12944523470839261</v>
      </c>
    </row>
    <row r="1178" spans="1:20" x14ac:dyDescent="0.25">
      <c r="A1178" s="8" t="s">
        <v>2446</v>
      </c>
      <c r="B1178" s="8" t="s">
        <v>2447</v>
      </c>
      <c r="C1178" s="8" t="s">
        <v>3540</v>
      </c>
      <c r="D1178" s="8">
        <v>610</v>
      </c>
      <c r="E1178" s="24">
        <v>0.55081969499588002</v>
      </c>
      <c r="F1178" s="24">
        <v>0.44918033480644198</v>
      </c>
      <c r="G1178" s="23">
        <v>0</v>
      </c>
      <c r="H1178" s="24">
        <v>0.15081967413425401</v>
      </c>
      <c r="I1178" s="23">
        <v>4.2622949928045301E-2</v>
      </c>
      <c r="J1178" s="24">
        <v>0.39836066961288402</v>
      </c>
      <c r="K1178" s="23">
        <v>2.1311474964022602E-2</v>
      </c>
      <c r="L1178" s="23">
        <v>3.2786885276437001E-3</v>
      </c>
      <c r="M1178" s="24">
        <v>0.37704917788505499</v>
      </c>
      <c r="N1178" s="23">
        <v>6.5573770552874002E-3</v>
      </c>
      <c r="O1178" s="23">
        <v>0.2213114798069</v>
      </c>
      <c r="P1178" s="23">
        <v>3.6065574735403103E-2</v>
      </c>
      <c r="Q1178" s="24">
        <v>0.58688527345657304</v>
      </c>
      <c r="R1178" s="25">
        <v>0</v>
      </c>
      <c r="S1178" s="25">
        <v>0</v>
      </c>
      <c r="T1178" s="25">
        <v>0.20983606557377049</v>
      </c>
    </row>
    <row r="1179" spans="1:20" x14ac:dyDescent="0.25">
      <c r="A1179" s="8" t="s">
        <v>2448</v>
      </c>
      <c r="B1179" s="8" t="s">
        <v>2449</v>
      </c>
      <c r="C1179" s="8" t="s">
        <v>3540</v>
      </c>
      <c r="D1179" s="8">
        <v>440</v>
      </c>
      <c r="E1179" s="24">
        <v>0.51363635063171298</v>
      </c>
      <c r="F1179" s="24">
        <v>0.48636364936828602</v>
      </c>
      <c r="G1179" s="23">
        <v>0</v>
      </c>
      <c r="H1179" s="24">
        <v>0.431818187236785</v>
      </c>
      <c r="I1179" s="23">
        <v>2.95454543083906E-2</v>
      </c>
      <c r="J1179" s="24">
        <v>0.25454545021057101</v>
      </c>
      <c r="K1179" s="23">
        <v>3.1818181276321397E-2</v>
      </c>
      <c r="L1179" s="23">
        <v>4.5454544015229E-3</v>
      </c>
      <c r="M1179" s="24">
        <v>0.24772727489471399</v>
      </c>
      <c r="N1179" s="23">
        <v>0</v>
      </c>
      <c r="O1179" s="24">
        <v>0.20000000298023199</v>
      </c>
      <c r="P1179" s="23">
        <v>2.2727273404598201E-2</v>
      </c>
      <c r="Q1179" s="24">
        <v>0.43409091234207098</v>
      </c>
      <c r="R1179" s="25">
        <v>5.4545454545454543E-2</v>
      </c>
      <c r="S1179" s="25">
        <v>0</v>
      </c>
      <c r="T1179" s="25">
        <v>0.14318181818181819</v>
      </c>
    </row>
    <row r="1180" spans="1:20" x14ac:dyDescent="0.25">
      <c r="A1180" s="8" t="s">
        <v>2450</v>
      </c>
      <c r="B1180" s="8" t="s">
        <v>2451</v>
      </c>
      <c r="C1180" s="8" t="s">
        <v>3540</v>
      </c>
      <c r="D1180" s="8">
        <v>435</v>
      </c>
      <c r="E1180" s="24">
        <v>0.50114941596984797</v>
      </c>
      <c r="F1180" s="24">
        <v>0.49885058403015098</v>
      </c>
      <c r="G1180" s="23">
        <v>0</v>
      </c>
      <c r="H1180" s="23">
        <v>6.2068965286016499E-2</v>
      </c>
      <c r="I1180" s="23">
        <v>1.8390804529190102E-2</v>
      </c>
      <c r="J1180" s="24">
        <v>0.84827584028243996</v>
      </c>
      <c r="K1180" s="23">
        <v>6.8965516984462998E-3</v>
      </c>
      <c r="L1180" s="23">
        <v>0</v>
      </c>
      <c r="M1180" s="23">
        <v>6.4367815852165194E-2</v>
      </c>
      <c r="N1180" s="23">
        <v>0</v>
      </c>
      <c r="O1180" s="24">
        <v>0.19540229439735399</v>
      </c>
      <c r="P1180" s="24">
        <v>0.28045976161956698</v>
      </c>
      <c r="Q1180" s="24">
        <v>0.850574731826782</v>
      </c>
      <c r="R1180" s="25">
        <v>6.4367816091954022E-2</v>
      </c>
      <c r="S1180" s="25">
        <v>0</v>
      </c>
      <c r="T1180" s="25">
        <v>0.12183908045977011</v>
      </c>
    </row>
    <row r="1181" spans="1:20" x14ac:dyDescent="0.25">
      <c r="A1181" s="8" t="s">
        <v>2452</v>
      </c>
      <c r="B1181" s="8" t="s">
        <v>2453</v>
      </c>
      <c r="C1181" s="8" t="s">
        <v>3540</v>
      </c>
      <c r="D1181" s="8">
        <v>2782</v>
      </c>
      <c r="E1181" s="24">
        <v>0.49388930201530401</v>
      </c>
      <c r="F1181" s="24">
        <v>0.50611072778701705</v>
      </c>
      <c r="G1181" s="23">
        <v>0</v>
      </c>
      <c r="H1181" s="24">
        <v>0.24910137057304299</v>
      </c>
      <c r="I1181" s="24">
        <v>0.13299784064292899</v>
      </c>
      <c r="J1181" s="23">
        <v>0.51545649766921997</v>
      </c>
      <c r="K1181" s="23">
        <v>5.7512582279741998E-3</v>
      </c>
      <c r="L1181" s="23">
        <v>1.22214229777455E-2</v>
      </c>
      <c r="M1181" s="23">
        <v>4.1696622967719997E-2</v>
      </c>
      <c r="N1181" s="23">
        <v>4.2774982750415802E-2</v>
      </c>
      <c r="O1181" s="24">
        <v>0.164989218115806</v>
      </c>
      <c r="P1181" s="24">
        <v>0.25557154417037897</v>
      </c>
      <c r="Q1181" s="24">
        <v>0.77174693346023504</v>
      </c>
      <c r="R1181" s="25">
        <v>1.4378145219266715E-3</v>
      </c>
      <c r="S1181" s="25">
        <v>6.3982746225736881E-2</v>
      </c>
      <c r="T1181" s="25">
        <v>8.3752695902228613E-2</v>
      </c>
    </row>
    <row r="1182" spans="1:20" x14ac:dyDescent="0.25">
      <c r="A1182" s="8" t="s">
        <v>2454</v>
      </c>
      <c r="B1182" s="8" t="s">
        <v>2455</v>
      </c>
      <c r="C1182" s="8" t="s">
        <v>3540</v>
      </c>
      <c r="D1182" s="8">
        <v>1634</v>
      </c>
      <c r="E1182" s="24">
        <v>0.43084454536437899</v>
      </c>
      <c r="F1182" s="24">
        <v>0.56915545463562001</v>
      </c>
      <c r="G1182" s="23">
        <v>0</v>
      </c>
      <c r="H1182" s="24">
        <v>0.15177477896213501</v>
      </c>
      <c r="I1182" s="23">
        <v>5.9363525360822698E-2</v>
      </c>
      <c r="J1182" s="24">
        <v>0.71664625406265203</v>
      </c>
      <c r="K1182" s="23">
        <v>4.2839655652641999E-3</v>
      </c>
      <c r="L1182" s="23">
        <v>7.3439413681625999E-3</v>
      </c>
      <c r="M1182" s="23">
        <v>2.01958380639553E-2</v>
      </c>
      <c r="N1182" s="23">
        <v>4.03916761279106E-2</v>
      </c>
      <c r="O1182" s="24">
        <v>0.164014682173728</v>
      </c>
      <c r="P1182" s="24">
        <v>0.34577724337577798</v>
      </c>
      <c r="Q1182" s="24">
        <v>0.82680541276931696</v>
      </c>
      <c r="R1182" s="25">
        <v>1.2239902080783353E-3</v>
      </c>
      <c r="S1182" s="25">
        <v>5.3243574051407588E-2</v>
      </c>
      <c r="T1182" s="25">
        <v>9.8531211750305991E-2</v>
      </c>
    </row>
    <row r="1183" spans="1:20" x14ac:dyDescent="0.25">
      <c r="A1183" s="8" t="s">
        <v>2456</v>
      </c>
      <c r="B1183" s="8" t="s">
        <v>2457</v>
      </c>
      <c r="C1183" s="8" t="s">
        <v>3540</v>
      </c>
      <c r="D1183" s="8">
        <v>536</v>
      </c>
      <c r="E1183" s="24">
        <v>0.48694029450416498</v>
      </c>
      <c r="F1183" s="23">
        <v>0.51305967569351196</v>
      </c>
      <c r="G1183" s="23">
        <v>0</v>
      </c>
      <c r="H1183" s="24">
        <v>0.53731346130371005</v>
      </c>
      <c r="I1183" s="24">
        <v>0.126865670084953</v>
      </c>
      <c r="J1183" s="24">
        <v>0.20335820317268299</v>
      </c>
      <c r="K1183" s="23">
        <v>5.2238807082176202E-2</v>
      </c>
      <c r="L1183" s="23">
        <v>9.3283578753470993E-3</v>
      </c>
      <c r="M1183" s="23">
        <v>7.0895522832870497E-2</v>
      </c>
      <c r="N1183" s="23">
        <v>0</v>
      </c>
      <c r="O1183" s="24">
        <v>0.164179101586341</v>
      </c>
      <c r="P1183" s="23">
        <v>4.1044775396585499E-2</v>
      </c>
      <c r="Q1183" s="24">
        <v>0.55037313699722201</v>
      </c>
      <c r="R1183" s="25">
        <v>2.6119402985074626E-2</v>
      </c>
      <c r="S1183" s="25">
        <v>5.597014925373134E-3</v>
      </c>
      <c r="T1183" s="25">
        <v>0.125</v>
      </c>
    </row>
    <row r="1184" spans="1:20" x14ac:dyDescent="0.25">
      <c r="A1184" s="8" t="s">
        <v>2458</v>
      </c>
      <c r="B1184" s="8" t="s">
        <v>2459</v>
      </c>
      <c r="C1184" s="8" t="s">
        <v>3540</v>
      </c>
      <c r="D1184" s="8">
        <v>1342</v>
      </c>
      <c r="E1184" s="24">
        <v>0.59314453601837103</v>
      </c>
      <c r="F1184" s="24">
        <v>0.40536513924598599</v>
      </c>
      <c r="G1184" s="23">
        <v>1.4903129776939999E-3</v>
      </c>
      <c r="H1184" s="24">
        <v>0.57675111293792702</v>
      </c>
      <c r="I1184" s="23">
        <v>5.4396424442529699E-2</v>
      </c>
      <c r="J1184" s="24">
        <v>0.160953804850578</v>
      </c>
      <c r="K1184" s="23">
        <v>2.6080476120114299E-2</v>
      </c>
      <c r="L1184" s="23">
        <v>1.19225038215518E-2</v>
      </c>
      <c r="M1184" s="23">
        <v>0.154992550611496</v>
      </c>
      <c r="N1184" s="23">
        <v>1.49031300097704E-2</v>
      </c>
      <c r="O1184" s="24">
        <v>0.14828613400459201</v>
      </c>
      <c r="P1184" s="23">
        <v>2.9806259553879001E-3</v>
      </c>
      <c r="Q1184" s="24">
        <v>0.57526081800460804</v>
      </c>
      <c r="R1184" s="25">
        <v>0</v>
      </c>
      <c r="S1184" s="25">
        <v>0</v>
      </c>
      <c r="T1184" s="25">
        <v>0.14754098360655737</v>
      </c>
    </row>
    <row r="1185" spans="1:20" x14ac:dyDescent="0.25">
      <c r="A1185" s="8" t="s">
        <v>2460</v>
      </c>
      <c r="B1185" s="8" t="s">
        <v>2461</v>
      </c>
      <c r="C1185" s="8" t="s">
        <v>3540</v>
      </c>
      <c r="D1185" s="8">
        <v>373</v>
      </c>
      <c r="E1185" s="24">
        <v>0.388739943504333</v>
      </c>
      <c r="F1185" s="24">
        <v>0.61126005649566595</v>
      </c>
      <c r="G1185" s="23">
        <v>0</v>
      </c>
      <c r="H1185" s="23">
        <v>0.104557640850544</v>
      </c>
      <c r="I1185" s="23">
        <v>1.8766755238175399E-2</v>
      </c>
      <c r="J1185" s="24">
        <v>0.84986597299575795</v>
      </c>
      <c r="K1185" s="23">
        <v>2.6809652335942E-3</v>
      </c>
      <c r="L1185" s="23">
        <v>0</v>
      </c>
      <c r="M1185" s="23">
        <v>2.4128686636686301E-2</v>
      </c>
      <c r="N1185" s="23">
        <v>0</v>
      </c>
      <c r="O1185" s="24">
        <v>0.12064342945814099</v>
      </c>
      <c r="P1185" s="24">
        <v>0.70241284370422297</v>
      </c>
      <c r="Q1185" s="24">
        <v>0.946380674839019</v>
      </c>
      <c r="R1185" s="25">
        <v>0</v>
      </c>
      <c r="S1185" s="25">
        <v>0</v>
      </c>
      <c r="T1185" s="25">
        <v>0.12064343163538874</v>
      </c>
    </row>
    <row r="1186" spans="1:20" x14ac:dyDescent="0.25">
      <c r="A1186" s="8" t="s">
        <v>2462</v>
      </c>
      <c r="B1186" s="8" t="s">
        <v>2463</v>
      </c>
      <c r="C1186" s="8" t="s">
        <v>3540</v>
      </c>
      <c r="D1186" s="8">
        <v>589</v>
      </c>
      <c r="E1186" s="24">
        <v>0.46179965138435303</v>
      </c>
      <c r="F1186" s="23">
        <v>0.53820031881332397</v>
      </c>
      <c r="G1186" s="23">
        <v>0</v>
      </c>
      <c r="H1186" s="24">
        <v>0.25806450843811002</v>
      </c>
      <c r="I1186" s="24">
        <v>0.18675722181797</v>
      </c>
      <c r="J1186" s="24">
        <v>0.42954158782958901</v>
      </c>
      <c r="K1186" s="23">
        <v>1.0186756961047601E-2</v>
      </c>
      <c r="L1186" s="23">
        <v>5.0933784805238004E-3</v>
      </c>
      <c r="M1186" s="24">
        <v>0.105263158679008</v>
      </c>
      <c r="N1186" s="23">
        <v>5.0933784805238004E-3</v>
      </c>
      <c r="O1186" s="24">
        <v>0.19185058772563901</v>
      </c>
      <c r="P1186" s="23">
        <v>9.1680817306041704E-2</v>
      </c>
      <c r="Q1186" s="24">
        <v>0.79626482725143399</v>
      </c>
      <c r="R1186" s="25">
        <v>0</v>
      </c>
      <c r="S1186" s="25">
        <v>6.7911714770797965E-2</v>
      </c>
      <c r="T1186" s="25">
        <v>0.11714770797962648</v>
      </c>
    </row>
    <row r="1187" spans="1:20" x14ac:dyDescent="0.25">
      <c r="A1187" s="8" t="s">
        <v>2464</v>
      </c>
      <c r="B1187" s="8" t="s">
        <v>2465</v>
      </c>
      <c r="C1187" s="8" t="s">
        <v>3540</v>
      </c>
      <c r="D1187" s="8">
        <v>130</v>
      </c>
      <c r="E1187" s="24">
        <v>0.53076922893524103</v>
      </c>
      <c r="F1187" s="24">
        <v>0.46923077106475802</v>
      </c>
      <c r="G1187" s="23">
        <v>0</v>
      </c>
      <c r="H1187" s="24">
        <v>0.14615385234355899</v>
      </c>
      <c r="I1187" s="24">
        <v>0.207692310214042</v>
      </c>
      <c r="J1187" s="24">
        <v>0.56923079490661599</v>
      </c>
      <c r="K1187" s="23">
        <v>0</v>
      </c>
      <c r="L1187" s="23">
        <v>1.53846153989434E-2</v>
      </c>
      <c r="M1187" s="23">
        <v>6.1538461595773697E-2</v>
      </c>
      <c r="N1187" s="23">
        <v>0</v>
      </c>
      <c r="O1187" s="24">
        <v>0.207692310214042</v>
      </c>
      <c r="P1187" s="24">
        <v>0.25384616851806602</v>
      </c>
      <c r="Q1187" s="24">
        <v>0.87692308425903298</v>
      </c>
      <c r="R1187" s="25">
        <v>0</v>
      </c>
      <c r="S1187" s="25">
        <v>0</v>
      </c>
      <c r="T1187" s="25">
        <v>0.23076923076923078</v>
      </c>
    </row>
    <row r="1188" spans="1:20" x14ac:dyDescent="0.25">
      <c r="A1188" s="8" t="s">
        <v>2466</v>
      </c>
      <c r="B1188" s="8" t="s">
        <v>2467</v>
      </c>
      <c r="C1188" s="8" t="s">
        <v>3540</v>
      </c>
      <c r="D1188" s="8">
        <v>430</v>
      </c>
      <c r="E1188" s="24">
        <v>0.495348840951919</v>
      </c>
      <c r="F1188" s="24">
        <v>0.50465118885040205</v>
      </c>
      <c r="G1188" s="23">
        <v>0</v>
      </c>
      <c r="H1188" s="24">
        <v>0.56279069185256902</v>
      </c>
      <c r="I1188" s="24">
        <v>0.10930232703685699</v>
      </c>
      <c r="J1188" s="24">
        <v>0.21395349502563399</v>
      </c>
      <c r="K1188" s="23">
        <v>2.0930232480168301E-2</v>
      </c>
      <c r="L1188" s="23">
        <v>1.62790697067976E-2</v>
      </c>
      <c r="M1188" s="23">
        <v>7.6744183897972107E-2</v>
      </c>
      <c r="N1188" s="23">
        <v>0</v>
      </c>
      <c r="O1188" s="24">
        <v>0.21395349502563399</v>
      </c>
      <c r="P1188" s="24">
        <v>0.16279070079326599</v>
      </c>
      <c r="Q1188" s="24">
        <v>0.60930234193801802</v>
      </c>
      <c r="R1188" s="25">
        <v>3.7209302325581395E-2</v>
      </c>
      <c r="S1188" s="25">
        <v>0</v>
      </c>
      <c r="T1188" s="25">
        <v>0.16046511627906976</v>
      </c>
    </row>
    <row r="1189" spans="1:20" x14ac:dyDescent="0.25">
      <c r="A1189" s="8" t="s">
        <v>2468</v>
      </c>
      <c r="B1189" s="8" t="s">
        <v>2469</v>
      </c>
      <c r="C1189" s="8" t="s">
        <v>3540</v>
      </c>
      <c r="D1189" s="8">
        <v>544</v>
      </c>
      <c r="E1189" s="24">
        <v>0.52205884456634499</v>
      </c>
      <c r="F1189" s="24">
        <v>0.47794118523597701</v>
      </c>
      <c r="G1189" s="23">
        <v>0</v>
      </c>
      <c r="H1189" s="24">
        <v>0.52757352590560902</v>
      </c>
      <c r="I1189" s="23">
        <v>8.4558822214603396E-2</v>
      </c>
      <c r="J1189" s="23">
        <v>0.21875</v>
      </c>
      <c r="K1189" s="23">
        <v>1.8382353708147999E-2</v>
      </c>
      <c r="L1189" s="23">
        <v>1.4705882407724901E-2</v>
      </c>
      <c r="M1189" s="24">
        <v>0.136029407382011</v>
      </c>
      <c r="N1189" s="23">
        <v>0</v>
      </c>
      <c r="O1189" s="23">
        <v>0.16544117033481601</v>
      </c>
      <c r="P1189" s="24">
        <v>0.21139705181121801</v>
      </c>
      <c r="Q1189" s="23">
        <v>0.71875</v>
      </c>
      <c r="R1189" s="25">
        <v>4.595588235294118E-2</v>
      </c>
      <c r="S1189" s="25">
        <v>0</v>
      </c>
      <c r="T1189" s="25">
        <v>0.12316176470588236</v>
      </c>
    </row>
    <row r="1190" spans="1:20" x14ac:dyDescent="0.25">
      <c r="A1190" s="8" t="s">
        <v>2470</v>
      </c>
      <c r="B1190" s="8" t="s">
        <v>2471</v>
      </c>
      <c r="C1190" s="8" t="s">
        <v>3540</v>
      </c>
      <c r="D1190" s="8">
        <v>352</v>
      </c>
      <c r="E1190" s="24">
        <v>0.454545468091964</v>
      </c>
      <c r="F1190" s="24">
        <v>0.545454561710357</v>
      </c>
      <c r="G1190" s="23">
        <v>0</v>
      </c>
      <c r="H1190" s="24">
        <v>0.428977280855178</v>
      </c>
      <c r="I1190" s="23">
        <v>5.6818183511495597E-2</v>
      </c>
      <c r="J1190" s="24">
        <v>0.403409093618392</v>
      </c>
      <c r="K1190" s="23">
        <v>2.2727273404598201E-2</v>
      </c>
      <c r="L1190" s="23">
        <v>5.6818183511495998E-3</v>
      </c>
      <c r="M1190" s="23">
        <v>8.2386367022991194E-2</v>
      </c>
      <c r="N1190" s="23">
        <v>0</v>
      </c>
      <c r="O1190" s="24">
        <v>0.221590906381607</v>
      </c>
      <c r="P1190" s="24">
        <v>0.321022719144821</v>
      </c>
      <c r="Q1190" s="24">
        <v>0.710227251052856</v>
      </c>
      <c r="R1190" s="25">
        <v>0.12215909090909091</v>
      </c>
      <c r="S1190" s="25">
        <v>1.7045454545454544E-2</v>
      </c>
      <c r="T1190" s="25">
        <v>8.5227272727272721E-2</v>
      </c>
    </row>
    <row r="1191" spans="1:20" x14ac:dyDescent="0.25">
      <c r="A1191" s="8" t="s">
        <v>2472</v>
      </c>
      <c r="B1191" s="8" t="s">
        <v>2473</v>
      </c>
      <c r="C1191" s="8" t="s">
        <v>3540</v>
      </c>
      <c r="D1191" s="8">
        <v>448</v>
      </c>
      <c r="E1191" s="24">
        <v>0.47991070151329002</v>
      </c>
      <c r="F1191" s="24">
        <v>0.52008926868438698</v>
      </c>
      <c r="G1191" s="23">
        <v>0</v>
      </c>
      <c r="H1191" s="24">
        <v>0.60491073131561202</v>
      </c>
      <c r="I1191" s="23">
        <v>4.4642859138548001E-3</v>
      </c>
      <c r="J1191" s="24">
        <v>0.212053567171096</v>
      </c>
      <c r="K1191" s="23">
        <v>2.0089285448193599E-2</v>
      </c>
      <c r="L1191" s="23">
        <v>2.2321429569274001E-3</v>
      </c>
      <c r="M1191" s="23">
        <v>0.15625</v>
      </c>
      <c r="N1191" s="23">
        <v>0</v>
      </c>
      <c r="O1191" s="24">
        <v>0.19866071641445099</v>
      </c>
      <c r="P1191" s="24">
        <v>0.16071428358554801</v>
      </c>
      <c r="Q1191" s="24">
        <v>0.47767856717109602</v>
      </c>
      <c r="R1191" s="25">
        <v>4.4642857142857144E-2</v>
      </c>
      <c r="S1191" s="25">
        <v>4.464285714285714E-3</v>
      </c>
      <c r="T1191" s="25">
        <v>0.15178571428571427</v>
      </c>
    </row>
    <row r="1192" spans="1:20" x14ac:dyDescent="0.25">
      <c r="A1192" s="8" t="s">
        <v>2474</v>
      </c>
      <c r="B1192" s="8" t="s">
        <v>2475</v>
      </c>
      <c r="C1192" s="8" t="s">
        <v>3540</v>
      </c>
      <c r="D1192" s="8">
        <v>524</v>
      </c>
      <c r="E1192" s="24">
        <v>0.43893128633499101</v>
      </c>
      <c r="F1192" s="24">
        <v>0.56106871366500799</v>
      </c>
      <c r="G1192" s="23">
        <v>0</v>
      </c>
      <c r="H1192" s="24">
        <v>0.56870228052139205</v>
      </c>
      <c r="I1192" s="23">
        <v>6.1068702489137601E-2</v>
      </c>
      <c r="J1192" s="24">
        <v>0.20992366969585399</v>
      </c>
      <c r="K1192" s="23">
        <v>2.8625953942537301E-2</v>
      </c>
      <c r="L1192" s="23">
        <v>1.3358778320252901E-2</v>
      </c>
      <c r="M1192" s="24">
        <v>0.11832061409950199</v>
      </c>
      <c r="N1192" s="23">
        <v>0</v>
      </c>
      <c r="O1192" s="23">
        <v>0.34541985392570501</v>
      </c>
      <c r="P1192" s="24">
        <v>0.148854956030845</v>
      </c>
      <c r="Q1192" s="24">
        <v>0.54198473691940297</v>
      </c>
      <c r="R1192" s="25">
        <v>1.9083969465648854E-3</v>
      </c>
      <c r="S1192" s="25">
        <v>0.12977099236641221</v>
      </c>
      <c r="T1192" s="25">
        <v>0.20992366412213739</v>
      </c>
    </row>
    <row r="1193" spans="1:20" x14ac:dyDescent="0.25">
      <c r="A1193" s="8" t="s">
        <v>2476</v>
      </c>
      <c r="B1193" s="8" t="s">
        <v>2477</v>
      </c>
      <c r="C1193" s="8" t="s">
        <v>3540</v>
      </c>
      <c r="D1193" s="8">
        <v>1003</v>
      </c>
      <c r="E1193" s="24">
        <v>0.45762711763381902</v>
      </c>
      <c r="F1193" s="24">
        <v>0.54137587547302202</v>
      </c>
      <c r="G1193" s="23">
        <v>9.9700898863380001E-4</v>
      </c>
      <c r="H1193" s="23">
        <v>0.69591224193572998</v>
      </c>
      <c r="I1193" s="23">
        <v>2.392821572721E-2</v>
      </c>
      <c r="J1193" s="24">
        <v>0.113659024238586</v>
      </c>
      <c r="K1193" s="23">
        <v>2.7916250750422499E-2</v>
      </c>
      <c r="L1193" s="23">
        <v>7.9760719090699993E-3</v>
      </c>
      <c r="M1193" s="24">
        <v>0.13060817122459401</v>
      </c>
      <c r="N1193" s="23">
        <v>0</v>
      </c>
      <c r="O1193" s="24">
        <v>0.113659024238586</v>
      </c>
      <c r="P1193" s="23">
        <v>2.5922233238816299E-2</v>
      </c>
      <c r="Q1193" s="24">
        <v>0.42073777318000699</v>
      </c>
      <c r="R1193" s="25">
        <v>7.9760717846460612E-3</v>
      </c>
      <c r="S1193" s="25">
        <v>1.1964107676969093E-2</v>
      </c>
      <c r="T1193" s="25">
        <v>8.8733798604187439E-2</v>
      </c>
    </row>
    <row r="1194" spans="1:20" x14ac:dyDescent="0.25">
      <c r="A1194" s="8" t="s">
        <v>2478</v>
      </c>
      <c r="B1194" s="8" t="s">
        <v>2479</v>
      </c>
      <c r="C1194" s="8" t="s">
        <v>3540</v>
      </c>
      <c r="D1194" s="8">
        <v>1110</v>
      </c>
      <c r="E1194" s="24">
        <v>0.48738738894462502</v>
      </c>
      <c r="F1194" s="24">
        <v>0.51261264085769598</v>
      </c>
      <c r="G1194" s="23">
        <v>0</v>
      </c>
      <c r="H1194" s="24">
        <v>0.64594596624374301</v>
      </c>
      <c r="I1194" s="23">
        <v>4.5945946127176299E-2</v>
      </c>
      <c r="J1194" s="24">
        <v>0.14504504203796301</v>
      </c>
      <c r="K1194" s="23">
        <v>2.88288295269012E-2</v>
      </c>
      <c r="L1194" s="23">
        <v>1.17117119953036E-2</v>
      </c>
      <c r="M1194" s="24">
        <v>0.12252252548933</v>
      </c>
      <c r="N1194" s="23">
        <v>0</v>
      </c>
      <c r="O1194" s="24">
        <v>0.15135134756565</v>
      </c>
      <c r="P1194" s="23">
        <v>8.1081077456474304E-2</v>
      </c>
      <c r="Q1194" s="24">
        <v>0.52792793512344305</v>
      </c>
      <c r="R1194" s="25">
        <v>4.954954954954955E-2</v>
      </c>
      <c r="S1194" s="25">
        <v>9.0090090090090091E-4</v>
      </c>
      <c r="T1194" s="25">
        <v>9.5495495495495492E-2</v>
      </c>
    </row>
    <row r="1195" spans="1:20" x14ac:dyDescent="0.25">
      <c r="A1195" s="8" t="s">
        <v>2480</v>
      </c>
      <c r="B1195" s="8" t="s">
        <v>2481</v>
      </c>
      <c r="C1195" s="8" t="s">
        <v>3540</v>
      </c>
      <c r="D1195" s="8">
        <v>355</v>
      </c>
      <c r="E1195" s="24">
        <v>0.495774656534194</v>
      </c>
      <c r="F1195" s="24">
        <v>0.504225373268127</v>
      </c>
      <c r="G1195" s="23">
        <v>0</v>
      </c>
      <c r="H1195" s="24">
        <v>0.73802816867828303</v>
      </c>
      <c r="I1195" s="23">
        <v>1.97183098644018E-2</v>
      </c>
      <c r="J1195" s="24">
        <v>0.11830985546111999</v>
      </c>
      <c r="K1195" s="23">
        <v>4.78873252868652E-2</v>
      </c>
      <c r="L1195" s="23">
        <v>2.8169013094156998E-3</v>
      </c>
      <c r="M1195" s="23">
        <v>7.3239438235759693E-2</v>
      </c>
      <c r="N1195" s="23">
        <v>0</v>
      </c>
      <c r="O1195" s="24">
        <v>0.14929577708244299</v>
      </c>
      <c r="P1195" s="24">
        <v>0.107042253017425</v>
      </c>
      <c r="Q1195" s="24">
        <v>0.51830983161926203</v>
      </c>
      <c r="R1195" s="25">
        <v>1.6901408450704224E-2</v>
      </c>
      <c r="S1195" s="25">
        <v>8.4507042253521118E-3</v>
      </c>
      <c r="T1195" s="25">
        <v>0.12112676056338029</v>
      </c>
    </row>
    <row r="1196" spans="1:20" x14ac:dyDescent="0.25">
      <c r="A1196" s="8" t="s">
        <v>2482</v>
      </c>
      <c r="B1196" s="8" t="s">
        <v>2483</v>
      </c>
      <c r="C1196" s="8" t="s">
        <v>3540</v>
      </c>
      <c r="D1196" s="8">
        <v>267</v>
      </c>
      <c r="E1196" s="24">
        <v>0.49438202381134</v>
      </c>
      <c r="F1196" s="24">
        <v>0.505617976188659</v>
      </c>
      <c r="G1196" s="23">
        <v>0</v>
      </c>
      <c r="H1196" s="24">
        <v>0.34831461310386602</v>
      </c>
      <c r="I1196" s="23">
        <v>5.2434455603361102E-2</v>
      </c>
      <c r="J1196" s="24">
        <v>0.232209742069244</v>
      </c>
      <c r="K1196" s="23">
        <v>4.1198503226041801E-2</v>
      </c>
      <c r="L1196" s="23">
        <v>7.490636780858E-3</v>
      </c>
      <c r="M1196" s="23">
        <v>0.31835207343101501</v>
      </c>
      <c r="N1196" s="23">
        <v>0</v>
      </c>
      <c r="O1196" s="24">
        <v>0.15730337798595401</v>
      </c>
      <c r="P1196" s="24">
        <v>0.127340823411941</v>
      </c>
      <c r="Q1196" s="24">
        <v>0.27715355157852101</v>
      </c>
      <c r="R1196" s="25">
        <v>3.7453183520599251E-3</v>
      </c>
      <c r="S1196" s="25">
        <v>0</v>
      </c>
      <c r="T1196" s="25">
        <v>0.15355805243445692</v>
      </c>
    </row>
    <row r="1197" spans="1:20" x14ac:dyDescent="0.25">
      <c r="A1197" s="8" t="s">
        <v>2484</v>
      </c>
      <c r="B1197" s="8" t="s">
        <v>2485</v>
      </c>
      <c r="C1197" s="8" t="s">
        <v>3540</v>
      </c>
      <c r="D1197" s="8">
        <v>664</v>
      </c>
      <c r="E1197" s="24">
        <v>0.51506024599075295</v>
      </c>
      <c r="F1197" s="24">
        <v>0.48493975400924599</v>
      </c>
      <c r="G1197" s="23">
        <v>0</v>
      </c>
      <c r="H1197" s="24">
        <v>0.70331323146820002</v>
      </c>
      <c r="I1197" s="23">
        <v>4.8192769289016703E-2</v>
      </c>
      <c r="J1197" s="24">
        <v>0.137048199772834</v>
      </c>
      <c r="K1197" s="23">
        <v>3.16265076398849E-2</v>
      </c>
      <c r="L1197" s="23">
        <v>1.5060241334140301E-2</v>
      </c>
      <c r="M1197" s="23">
        <v>6.3253015279769897E-2</v>
      </c>
      <c r="N1197" s="23">
        <v>1.5060240402817999E-3</v>
      </c>
      <c r="O1197" s="24">
        <v>0.14307229220867099</v>
      </c>
      <c r="P1197" s="23">
        <v>9.7891569137573201E-2</v>
      </c>
      <c r="Q1197" s="24">
        <v>0.50451809167861905</v>
      </c>
      <c r="R1197" s="25">
        <v>2.710843373493976E-2</v>
      </c>
      <c r="S1197" s="25">
        <v>1.5060240963855422E-3</v>
      </c>
      <c r="T1197" s="25">
        <v>0.10993975903614457</v>
      </c>
    </row>
    <row r="1198" spans="1:20" x14ac:dyDescent="0.25">
      <c r="A1198" s="8" t="s">
        <v>2486</v>
      </c>
      <c r="B1198" s="8" t="s">
        <v>2487</v>
      </c>
      <c r="C1198" s="8" t="s">
        <v>3540</v>
      </c>
      <c r="D1198" s="8">
        <v>596</v>
      </c>
      <c r="E1198" s="24">
        <v>0.51342284679412797</v>
      </c>
      <c r="F1198" s="23">
        <v>0.48657718300819403</v>
      </c>
      <c r="G1198" s="23">
        <v>0</v>
      </c>
      <c r="H1198" s="24">
        <v>0.65436244010925204</v>
      </c>
      <c r="I1198" s="23">
        <v>2.6845637708902401E-2</v>
      </c>
      <c r="J1198" s="24">
        <v>0.18288590013980799</v>
      </c>
      <c r="K1198" s="23">
        <v>3.18791940808296E-2</v>
      </c>
      <c r="L1198" s="23">
        <v>1.34228188544512E-2</v>
      </c>
      <c r="M1198" s="23">
        <v>9.0604029595851898E-2</v>
      </c>
      <c r="N1198" s="23">
        <v>0</v>
      </c>
      <c r="O1198" s="24">
        <v>0.14093959331512401</v>
      </c>
      <c r="P1198" s="23">
        <v>8.3892621099948897E-2</v>
      </c>
      <c r="Q1198" s="24">
        <v>0.64093959331512396</v>
      </c>
      <c r="R1198" s="25">
        <v>4.5302013422818789E-2</v>
      </c>
      <c r="S1198" s="25">
        <v>1.6778523489932886E-3</v>
      </c>
      <c r="T1198" s="25">
        <v>8.557046979865772E-2</v>
      </c>
    </row>
    <row r="1199" spans="1:20" x14ac:dyDescent="0.25">
      <c r="A1199" s="8" t="s">
        <v>2488</v>
      </c>
      <c r="B1199" s="8" t="s">
        <v>2489</v>
      </c>
      <c r="C1199" s="8" t="s">
        <v>3540</v>
      </c>
      <c r="D1199" s="8">
        <v>844</v>
      </c>
      <c r="E1199" s="24">
        <v>0.491706162691116</v>
      </c>
      <c r="F1199" s="24">
        <v>0.50829386711120605</v>
      </c>
      <c r="G1199" s="23">
        <v>0</v>
      </c>
      <c r="H1199" s="24">
        <v>0.60308057069778398</v>
      </c>
      <c r="I1199" s="23">
        <v>3.08056864887476E-2</v>
      </c>
      <c r="J1199" s="24">
        <v>0.24052132666110901</v>
      </c>
      <c r="K1199" s="23">
        <v>1.89573466777802E-2</v>
      </c>
      <c r="L1199" s="23">
        <v>8.2938391715288006E-3</v>
      </c>
      <c r="M1199" s="23">
        <v>9.83412340283394E-2</v>
      </c>
      <c r="N1199" s="23">
        <v>0</v>
      </c>
      <c r="O1199" s="24">
        <v>0.17772512137889801</v>
      </c>
      <c r="P1199" s="24">
        <v>0.11966824531555099</v>
      </c>
      <c r="Q1199" s="24">
        <v>0.65639811754226596</v>
      </c>
      <c r="R1199" s="25">
        <v>5.0947867298578198E-2</v>
      </c>
      <c r="S1199" s="25">
        <v>1.066350710900474E-2</v>
      </c>
      <c r="T1199" s="25">
        <v>0.11255924170616113</v>
      </c>
    </row>
    <row r="1200" spans="1:20" x14ac:dyDescent="0.25">
      <c r="A1200" s="8" t="s">
        <v>2490</v>
      </c>
      <c r="B1200" s="8" t="s">
        <v>2491</v>
      </c>
      <c r="C1200" s="8" t="s">
        <v>3540</v>
      </c>
      <c r="D1200" s="8">
        <v>507</v>
      </c>
      <c r="E1200" s="24">
        <v>0.45364892482757502</v>
      </c>
      <c r="F1200" s="24">
        <v>0.54635107517242398</v>
      </c>
      <c r="G1200" s="23">
        <v>0</v>
      </c>
      <c r="H1200" s="24">
        <v>0.59566074609756403</v>
      </c>
      <c r="I1200" s="23">
        <v>3.9447732269763999E-3</v>
      </c>
      <c r="J1200" s="24">
        <v>0.19132149219512901</v>
      </c>
      <c r="K1200" s="23">
        <v>1.77514795213938E-2</v>
      </c>
      <c r="L1200" s="23">
        <v>0</v>
      </c>
      <c r="M1200" s="24">
        <v>0.19132149219512901</v>
      </c>
      <c r="N1200" s="23">
        <v>0</v>
      </c>
      <c r="O1200" s="24">
        <v>0.20315581560134799</v>
      </c>
      <c r="P1200" s="24">
        <v>0.25641027092933599</v>
      </c>
      <c r="Q1200" s="24">
        <v>0.61341220140457098</v>
      </c>
      <c r="R1200" s="25">
        <v>5.3254437869822487E-2</v>
      </c>
      <c r="S1200" s="25">
        <v>3.9447731755424065E-3</v>
      </c>
      <c r="T1200" s="25">
        <v>0.13806706114398423</v>
      </c>
    </row>
    <row r="1201" spans="1:20" x14ac:dyDescent="0.25">
      <c r="A1201" s="8" t="s">
        <v>2492</v>
      </c>
      <c r="B1201" s="8" t="s">
        <v>2493</v>
      </c>
      <c r="C1201" s="8" t="s">
        <v>3540</v>
      </c>
      <c r="D1201" s="8">
        <v>444</v>
      </c>
      <c r="E1201" s="24">
        <v>0.48198199272155701</v>
      </c>
      <c r="F1201" s="24">
        <v>0.51801800727844205</v>
      </c>
      <c r="G1201" s="23">
        <v>0</v>
      </c>
      <c r="H1201" s="24">
        <v>0.76351350545883101</v>
      </c>
      <c r="I1201" s="23">
        <v>9.0090092271565992E-3</v>
      </c>
      <c r="J1201" s="24">
        <v>0.128378376364707</v>
      </c>
      <c r="K1201" s="23">
        <v>1.8018018454313299E-2</v>
      </c>
      <c r="L1201" s="23">
        <v>6.7567569203675001E-3</v>
      </c>
      <c r="M1201" s="23">
        <v>7.4324324727058397E-2</v>
      </c>
      <c r="N1201" s="23">
        <v>0</v>
      </c>
      <c r="O1201" s="24">
        <v>0.15540540218353199</v>
      </c>
      <c r="P1201" s="24">
        <v>0.306306302547454</v>
      </c>
      <c r="Q1201" s="24">
        <v>0.71846848726272505</v>
      </c>
      <c r="R1201" s="25">
        <v>3.6036036036036036E-2</v>
      </c>
      <c r="S1201" s="25">
        <v>2.2522522522522522E-3</v>
      </c>
      <c r="T1201" s="25">
        <v>0.12612612612612611</v>
      </c>
    </row>
    <row r="1202" spans="1:20" x14ac:dyDescent="0.25">
      <c r="A1202" s="8" t="s">
        <v>2494</v>
      </c>
      <c r="B1202" s="8" t="s">
        <v>2495</v>
      </c>
      <c r="C1202" s="8" t="s">
        <v>3540</v>
      </c>
      <c r="D1202" s="8">
        <v>798</v>
      </c>
      <c r="E1202" s="24">
        <v>0.49373432993888799</v>
      </c>
      <c r="F1202" s="24">
        <v>0.50626564025878895</v>
      </c>
      <c r="G1202" s="23">
        <v>0</v>
      </c>
      <c r="H1202" s="24">
        <v>0.612781941890716</v>
      </c>
      <c r="I1202" s="23">
        <v>7.1428574621677399E-2</v>
      </c>
      <c r="J1202" s="24">
        <v>0.205513790249824</v>
      </c>
      <c r="K1202" s="23">
        <v>2.8822055086493499E-2</v>
      </c>
      <c r="L1202" s="23">
        <v>1.7543859779834699E-2</v>
      </c>
      <c r="M1202" s="23">
        <v>6.3909776508808094E-2</v>
      </c>
      <c r="N1202" s="23">
        <v>0</v>
      </c>
      <c r="O1202" s="24">
        <v>0.175438597798347</v>
      </c>
      <c r="P1202" s="23">
        <v>9.5238097012042999E-2</v>
      </c>
      <c r="Q1202" s="24">
        <v>0.58270674943923895</v>
      </c>
      <c r="R1202" s="25">
        <v>3.3834586466165412E-2</v>
      </c>
      <c r="S1202" s="25">
        <v>5.0125313283208017E-3</v>
      </c>
      <c r="T1202" s="25">
        <v>0.13659147869674185</v>
      </c>
    </row>
    <row r="1203" spans="1:20" x14ac:dyDescent="0.25">
      <c r="A1203" s="8" t="s">
        <v>2496</v>
      </c>
      <c r="B1203" s="8" t="s">
        <v>2497</v>
      </c>
      <c r="C1203" s="8" t="s">
        <v>3540</v>
      </c>
      <c r="D1203" s="8">
        <v>959</v>
      </c>
      <c r="E1203" s="24">
        <v>0.49530762434005698</v>
      </c>
      <c r="F1203" s="24">
        <v>0.50469237565994196</v>
      </c>
      <c r="G1203" s="23">
        <v>0</v>
      </c>
      <c r="H1203" s="24">
        <v>0.59645462036132801</v>
      </c>
      <c r="I1203" s="23">
        <v>2.0855057984590499E-2</v>
      </c>
      <c r="J1203" s="24">
        <v>0.16579771041870101</v>
      </c>
      <c r="K1203" s="23">
        <v>2.6068821549415599E-2</v>
      </c>
      <c r="L1203" s="23">
        <v>7.2992700152099002E-3</v>
      </c>
      <c r="M1203" s="24">
        <v>0.183524504303932</v>
      </c>
      <c r="N1203" s="23">
        <v>0</v>
      </c>
      <c r="O1203" s="24">
        <v>0.178310737013816</v>
      </c>
      <c r="P1203" s="24">
        <v>0.18456725776195501</v>
      </c>
      <c r="Q1203" s="24">
        <v>0.71845674514770497</v>
      </c>
      <c r="R1203" s="25">
        <v>3.3368091762252347E-2</v>
      </c>
      <c r="S1203" s="25">
        <v>2.7111574556830033E-2</v>
      </c>
      <c r="T1203" s="25">
        <v>0.10740354535974973</v>
      </c>
    </row>
    <row r="1204" spans="1:20" x14ac:dyDescent="0.25">
      <c r="A1204" s="8" t="s">
        <v>2498</v>
      </c>
      <c r="B1204" s="8" t="s">
        <v>2499</v>
      </c>
      <c r="C1204" s="8" t="s">
        <v>3540</v>
      </c>
      <c r="D1204" s="8">
        <v>525</v>
      </c>
      <c r="E1204" s="24">
        <v>0.506666660308837</v>
      </c>
      <c r="F1204" s="24">
        <v>0.493333339691162</v>
      </c>
      <c r="G1204" s="23">
        <v>0</v>
      </c>
      <c r="H1204" s="24">
        <v>0.23047618567943501</v>
      </c>
      <c r="I1204" s="23">
        <v>6.2857143580913502E-2</v>
      </c>
      <c r="J1204" s="24">
        <v>0.154285714030265</v>
      </c>
      <c r="K1204" s="23">
        <v>3.4285712987184497E-2</v>
      </c>
      <c r="L1204" s="23">
        <v>1.9047619774937598E-2</v>
      </c>
      <c r="M1204" s="24">
        <v>0.49904760718345598</v>
      </c>
      <c r="N1204" s="23">
        <v>0</v>
      </c>
      <c r="O1204" s="24">
        <v>0.169523805379867</v>
      </c>
      <c r="P1204" s="23">
        <v>8.1904761493205996E-2</v>
      </c>
      <c r="Q1204" s="24">
        <v>0.52571427822113004</v>
      </c>
      <c r="R1204" s="25">
        <v>4.3809523809523812E-2</v>
      </c>
      <c r="S1204" s="25">
        <v>3.8095238095238095E-3</v>
      </c>
      <c r="T1204" s="25">
        <v>0.12952380952380951</v>
      </c>
    </row>
    <row r="1205" spans="1:20" x14ac:dyDescent="0.25">
      <c r="A1205" s="8" t="s">
        <v>2500</v>
      </c>
      <c r="B1205" s="8" t="s">
        <v>2501</v>
      </c>
      <c r="C1205" s="8" t="s">
        <v>3540</v>
      </c>
      <c r="D1205" s="8">
        <v>317</v>
      </c>
      <c r="E1205" s="24">
        <v>0.40378549695014898</v>
      </c>
      <c r="F1205" s="24">
        <v>0.59621453285217196</v>
      </c>
      <c r="G1205" s="23">
        <v>0</v>
      </c>
      <c r="H1205" s="24">
        <v>0.422712922096252</v>
      </c>
      <c r="I1205" s="23">
        <v>0.12618295848369601</v>
      </c>
      <c r="J1205" s="24">
        <v>0.236593052744865</v>
      </c>
      <c r="K1205" s="23">
        <v>4.1009463369846302E-2</v>
      </c>
      <c r="L1205" s="23">
        <v>1.5772869810462001E-2</v>
      </c>
      <c r="M1205" s="24">
        <v>0.15772870182991</v>
      </c>
      <c r="N1205" s="23">
        <v>0</v>
      </c>
      <c r="O1205" s="24">
        <v>0.39747634530067399</v>
      </c>
      <c r="P1205" s="23">
        <v>1.8927445635199502E-2</v>
      </c>
      <c r="Q1205" s="24">
        <v>0.47949525713920499</v>
      </c>
      <c r="R1205" s="25">
        <v>0</v>
      </c>
      <c r="S1205" s="25">
        <v>6.9400630914826497E-2</v>
      </c>
      <c r="T1205" s="25">
        <v>0.31861198738170349</v>
      </c>
    </row>
    <row r="1206" spans="1:20" x14ac:dyDescent="0.25">
      <c r="A1206" s="8" t="s">
        <v>2502</v>
      </c>
      <c r="B1206" s="8" t="s">
        <v>2503</v>
      </c>
      <c r="C1206" s="8" t="s">
        <v>3540</v>
      </c>
      <c r="D1206" s="8">
        <v>641</v>
      </c>
      <c r="E1206" s="24">
        <v>0.44461777806281999</v>
      </c>
      <c r="F1206" s="24">
        <v>0.55538219213485696</v>
      </c>
      <c r="G1206" s="23">
        <v>0</v>
      </c>
      <c r="H1206" s="24">
        <v>0.69266772270202603</v>
      </c>
      <c r="I1206" s="23">
        <v>2.1840874105691899E-2</v>
      </c>
      <c r="J1206" s="23">
        <v>6.5522618591785403E-2</v>
      </c>
      <c r="K1206" s="23">
        <v>2.6521060615778001E-2</v>
      </c>
      <c r="L1206" s="23">
        <v>6.2402496114372999E-3</v>
      </c>
      <c r="M1206" s="24">
        <v>0.18720749020576399</v>
      </c>
      <c r="N1206" s="23">
        <v>0</v>
      </c>
      <c r="O1206" s="24">
        <v>0.109204366803169</v>
      </c>
      <c r="P1206" s="23">
        <v>9.67238694429398E-2</v>
      </c>
      <c r="Q1206" s="24">
        <v>0.388455539941787</v>
      </c>
      <c r="R1206" s="25">
        <v>1.2480499219968799E-2</v>
      </c>
      <c r="S1206" s="25">
        <v>4.6801872074882997E-3</v>
      </c>
      <c r="T1206" s="25">
        <v>9.2043681747269887E-2</v>
      </c>
    </row>
    <row r="1207" spans="1:20" x14ac:dyDescent="0.25">
      <c r="A1207" s="8" t="s">
        <v>2504</v>
      </c>
      <c r="B1207" s="8" t="s">
        <v>2505</v>
      </c>
      <c r="C1207" s="8" t="s">
        <v>3540</v>
      </c>
      <c r="D1207" s="8">
        <v>331</v>
      </c>
      <c r="E1207" s="24">
        <v>0.50151056051254195</v>
      </c>
      <c r="F1207" s="24">
        <v>0.498489439487457</v>
      </c>
      <c r="G1207" s="23">
        <v>0</v>
      </c>
      <c r="H1207" s="24">
        <v>0.65861028432846003</v>
      </c>
      <c r="I1207" s="23">
        <v>1.51057401672006E-2</v>
      </c>
      <c r="J1207" s="24">
        <v>0.22054380178451499</v>
      </c>
      <c r="K1207" s="23">
        <v>2.7190333232283599E-2</v>
      </c>
      <c r="L1207" s="23">
        <v>2.1148037165403401E-2</v>
      </c>
      <c r="M1207" s="23">
        <v>5.7401813566684702E-2</v>
      </c>
      <c r="N1207" s="23">
        <v>0</v>
      </c>
      <c r="O1207" s="24">
        <v>0.178247734904289</v>
      </c>
      <c r="P1207" s="24">
        <v>0.17522658407688099</v>
      </c>
      <c r="Q1207" s="24">
        <v>0.68580061197280795</v>
      </c>
      <c r="R1207" s="25">
        <v>6.0422960725075532E-2</v>
      </c>
      <c r="S1207" s="25">
        <v>0</v>
      </c>
      <c r="T1207" s="25">
        <v>0.10876132930513595</v>
      </c>
    </row>
    <row r="1208" spans="1:20" x14ac:dyDescent="0.25">
      <c r="A1208" s="8" t="s">
        <v>2506</v>
      </c>
      <c r="B1208" s="8" t="s">
        <v>2507</v>
      </c>
      <c r="C1208" s="8" t="s">
        <v>3540</v>
      </c>
      <c r="D1208" s="8">
        <v>823</v>
      </c>
      <c r="E1208" s="24">
        <v>0.49696233868598899</v>
      </c>
      <c r="F1208" s="23">
        <v>0.50303769111633301</v>
      </c>
      <c r="G1208" s="23">
        <v>0</v>
      </c>
      <c r="H1208" s="24">
        <v>0.769137322902679</v>
      </c>
      <c r="I1208" s="23">
        <v>1.2150668539106801E-2</v>
      </c>
      <c r="J1208" s="24">
        <v>0.121506683528423</v>
      </c>
      <c r="K1208" s="23">
        <v>3.5236939787864699E-2</v>
      </c>
      <c r="L1208" s="23">
        <v>2.4301337543875001E-3</v>
      </c>
      <c r="M1208" s="23">
        <v>5.95382750034332E-2</v>
      </c>
      <c r="N1208" s="23">
        <v>0</v>
      </c>
      <c r="O1208" s="24">
        <v>0.14216281473636599</v>
      </c>
      <c r="P1208" s="24">
        <v>0.125151887536048</v>
      </c>
      <c r="Q1208" s="24">
        <v>0.46901580691337502</v>
      </c>
      <c r="R1208" s="25">
        <v>3.4021871202916158E-2</v>
      </c>
      <c r="S1208" s="25">
        <v>0</v>
      </c>
      <c r="T1208" s="25">
        <v>0.10935601458080195</v>
      </c>
    </row>
    <row r="1209" spans="1:20" x14ac:dyDescent="0.25">
      <c r="A1209" s="8" t="s">
        <v>2508</v>
      </c>
      <c r="B1209" s="8" t="s">
        <v>2509</v>
      </c>
      <c r="C1209" s="8" t="s">
        <v>3540</v>
      </c>
      <c r="D1209" s="8">
        <v>224</v>
      </c>
      <c r="E1209" s="24">
        <v>0.44642856717109602</v>
      </c>
      <c r="F1209" s="24">
        <v>0.55357140302658003</v>
      </c>
      <c r="G1209" s="23">
        <v>0</v>
      </c>
      <c r="H1209" s="24">
        <v>0.52232140302658003</v>
      </c>
      <c r="I1209" s="23">
        <v>5.35714291036129E-2</v>
      </c>
      <c r="J1209" s="24">
        <v>0.23660714924335399</v>
      </c>
      <c r="K1209" s="23">
        <v>5.8035712689161301E-2</v>
      </c>
      <c r="L1209" s="23">
        <v>1.3392857275903201E-2</v>
      </c>
      <c r="M1209" s="24">
        <v>0.116071425378322</v>
      </c>
      <c r="N1209" s="23">
        <v>0</v>
      </c>
      <c r="O1209" s="24">
        <v>0.17410714924335399</v>
      </c>
      <c r="P1209" s="24">
        <v>0.11160714179277401</v>
      </c>
      <c r="Q1209" s="24">
        <v>0.36160713434219299</v>
      </c>
      <c r="R1209" s="25">
        <v>0</v>
      </c>
      <c r="S1209" s="25">
        <v>0</v>
      </c>
      <c r="T1209" s="25">
        <v>0.16964285714285715</v>
      </c>
    </row>
    <row r="1210" spans="1:20" x14ac:dyDescent="0.25">
      <c r="A1210" s="8" t="s">
        <v>2510</v>
      </c>
      <c r="B1210" s="8" t="s">
        <v>2511</v>
      </c>
      <c r="C1210" s="8" t="s">
        <v>3540</v>
      </c>
      <c r="D1210" s="8">
        <v>373</v>
      </c>
      <c r="E1210" s="24">
        <v>0.50670242309570301</v>
      </c>
      <c r="F1210" s="24">
        <v>0.49329757690429599</v>
      </c>
      <c r="G1210" s="23">
        <v>0</v>
      </c>
      <c r="H1210" s="24">
        <v>0.54691690206527699</v>
      </c>
      <c r="I1210" s="23">
        <v>7.5067020952701596E-2</v>
      </c>
      <c r="J1210" s="24">
        <v>0.25201073288917503</v>
      </c>
      <c r="K1210" s="23">
        <v>1.8766755238175399E-2</v>
      </c>
      <c r="L1210" s="23">
        <v>8.0428952351213005E-3</v>
      </c>
      <c r="M1210" s="23">
        <v>9.9195711314678206E-2</v>
      </c>
      <c r="N1210" s="23">
        <v>0</v>
      </c>
      <c r="O1210" s="24">
        <v>0.198391422629356</v>
      </c>
      <c r="P1210" s="24">
        <v>0.16085791587829501</v>
      </c>
      <c r="Q1210" s="24">
        <v>0.66487938165664595</v>
      </c>
      <c r="R1210" s="25">
        <v>6.1662198391420911E-2</v>
      </c>
      <c r="S1210" s="25">
        <v>8.0428954423592495E-3</v>
      </c>
      <c r="T1210" s="25">
        <v>0.12600536193029491</v>
      </c>
    </row>
    <row r="1211" spans="1:20" x14ac:dyDescent="0.25">
      <c r="A1211" s="8" t="s">
        <v>2512</v>
      </c>
      <c r="B1211" s="8" t="s">
        <v>2513</v>
      </c>
      <c r="C1211" s="8" t="s">
        <v>3540</v>
      </c>
      <c r="D1211" s="8">
        <v>1514</v>
      </c>
      <c r="E1211" s="24">
        <v>0.50330251455306996</v>
      </c>
      <c r="F1211" s="24">
        <v>0.49669748544692899</v>
      </c>
      <c r="G1211" s="23">
        <v>0</v>
      </c>
      <c r="H1211" s="24">
        <v>0.70013207197189298</v>
      </c>
      <c r="I1211" s="23">
        <v>3.0383091419935199E-2</v>
      </c>
      <c r="J1211" s="24">
        <v>0.13540290296077701</v>
      </c>
      <c r="K1211" s="23">
        <v>1.1889035813510401E-2</v>
      </c>
      <c r="L1211" s="23">
        <v>1.32100395858288E-2</v>
      </c>
      <c r="M1211" s="24">
        <v>0.108982823789119</v>
      </c>
      <c r="N1211" s="23">
        <v>0</v>
      </c>
      <c r="O1211" s="24">
        <v>0.129458382725715</v>
      </c>
      <c r="P1211" s="23">
        <v>8.3883754909038502E-2</v>
      </c>
      <c r="Q1211" s="23">
        <v>0.69550859928131104</v>
      </c>
      <c r="R1211" s="25">
        <v>3.8309114927344783E-2</v>
      </c>
      <c r="S1211" s="25">
        <v>2.6420079260237781E-3</v>
      </c>
      <c r="T1211" s="25">
        <v>8.5204755614266839E-2</v>
      </c>
    </row>
    <row r="1212" spans="1:20" x14ac:dyDescent="0.25">
      <c r="A1212" s="8" t="s">
        <v>2514</v>
      </c>
      <c r="B1212" s="8" t="s">
        <v>2515</v>
      </c>
      <c r="C1212" s="8" t="s">
        <v>3540</v>
      </c>
      <c r="D1212" s="8">
        <v>510</v>
      </c>
      <c r="E1212" s="24">
        <v>0.51960784196853604</v>
      </c>
      <c r="F1212" s="24">
        <v>0.48039215803146301</v>
      </c>
      <c r="G1212" s="23">
        <v>0</v>
      </c>
      <c r="H1212" s="24">
        <v>0.63529413938522294</v>
      </c>
      <c r="I1212" s="23">
        <v>1.9607843831181498E-2</v>
      </c>
      <c r="J1212" s="24">
        <v>0.17058824002742701</v>
      </c>
      <c r="K1212" s="23">
        <v>1.1764706112444401E-2</v>
      </c>
      <c r="L1212" s="23">
        <v>5.8823530562222004E-3</v>
      </c>
      <c r="M1212" s="24">
        <v>0.15686275064945199</v>
      </c>
      <c r="N1212" s="23">
        <v>0</v>
      </c>
      <c r="O1212" s="23">
        <v>0.19607843458652499</v>
      </c>
      <c r="P1212" s="23">
        <v>8.8235296308994293E-2</v>
      </c>
      <c r="Q1212" s="24">
        <v>0.43137255311012201</v>
      </c>
      <c r="R1212" s="25">
        <v>4.1176470588235294E-2</v>
      </c>
      <c r="S1212" s="25">
        <v>3.9215686274509803E-3</v>
      </c>
      <c r="T1212" s="25">
        <v>0.14705882352941177</v>
      </c>
    </row>
    <row r="1213" spans="1:20" x14ac:dyDescent="0.25">
      <c r="A1213" s="8" t="s">
        <v>2516</v>
      </c>
      <c r="B1213" s="8" t="s">
        <v>2517</v>
      </c>
      <c r="C1213" s="8" t="s">
        <v>3540</v>
      </c>
      <c r="D1213" s="8">
        <v>468</v>
      </c>
      <c r="E1213" s="24">
        <v>0.49572649598121599</v>
      </c>
      <c r="F1213" s="23">
        <v>0.50427353382110596</v>
      </c>
      <c r="G1213" s="23">
        <v>0</v>
      </c>
      <c r="H1213" s="24">
        <v>0.267094016075134</v>
      </c>
      <c r="I1213" s="23">
        <v>0.30982905626297003</v>
      </c>
      <c r="J1213" s="24">
        <v>0.26923078298568698</v>
      </c>
      <c r="K1213" s="23">
        <v>4.4871795922517797E-2</v>
      </c>
      <c r="L1213" s="23">
        <v>2.56410259753466E-2</v>
      </c>
      <c r="M1213" s="23">
        <v>8.3333335816860199E-2</v>
      </c>
      <c r="N1213" s="23">
        <v>0</v>
      </c>
      <c r="O1213" s="24">
        <v>0.27350428700446999</v>
      </c>
      <c r="P1213" s="23">
        <v>5.3418803960084901E-2</v>
      </c>
      <c r="Q1213" s="24">
        <v>0.579059839248657</v>
      </c>
      <c r="R1213" s="25">
        <v>5.7692307692307696E-2</v>
      </c>
      <c r="S1213" s="25">
        <v>4.2735042735042739E-3</v>
      </c>
      <c r="T1213" s="25">
        <v>0.19871794871794871</v>
      </c>
    </row>
    <row r="1214" spans="1:20" x14ac:dyDescent="0.25">
      <c r="A1214" s="8" t="s">
        <v>2518</v>
      </c>
      <c r="B1214" s="8" t="s">
        <v>2519</v>
      </c>
      <c r="C1214" s="8" t="s">
        <v>3540</v>
      </c>
      <c r="D1214" s="8">
        <v>599</v>
      </c>
      <c r="E1214" s="24">
        <v>0.37228715419769198</v>
      </c>
      <c r="F1214" s="24">
        <v>0.62604337930679299</v>
      </c>
      <c r="G1214" s="23">
        <v>1.6694490332155999E-3</v>
      </c>
      <c r="H1214" s="23">
        <v>0.20367278158664701</v>
      </c>
      <c r="I1214" s="24">
        <v>0.47579297423362699</v>
      </c>
      <c r="J1214" s="24">
        <v>0.24373956024646701</v>
      </c>
      <c r="K1214" s="23">
        <v>1.1686143465340099E-2</v>
      </c>
      <c r="L1214" s="23">
        <v>3.00500839948654E-2</v>
      </c>
      <c r="M1214" s="23">
        <v>3.17195318639278E-2</v>
      </c>
      <c r="N1214" s="23">
        <v>3.3388980664313E-3</v>
      </c>
      <c r="O1214" s="24">
        <v>0.158597663044929</v>
      </c>
      <c r="P1214" s="23">
        <v>3.00500839948654E-2</v>
      </c>
      <c r="Q1214" s="24">
        <v>0.70450752973556496</v>
      </c>
      <c r="R1214" s="25">
        <v>0</v>
      </c>
      <c r="S1214" s="25">
        <v>3.1719532554257093E-2</v>
      </c>
      <c r="T1214" s="25">
        <v>0.11352253756260434</v>
      </c>
    </row>
    <row r="1215" spans="1:20" x14ac:dyDescent="0.25">
      <c r="A1215" s="8" t="s">
        <v>2520</v>
      </c>
      <c r="B1215" s="8" t="s">
        <v>2521</v>
      </c>
      <c r="C1215" s="8" t="s">
        <v>3540</v>
      </c>
      <c r="D1215" s="8">
        <v>548</v>
      </c>
      <c r="E1215" s="24">
        <v>0.44890511035919101</v>
      </c>
      <c r="F1215" s="24">
        <v>0.55109488964080799</v>
      </c>
      <c r="G1215" s="23">
        <v>0</v>
      </c>
      <c r="H1215" s="24">
        <v>0.70255476236343295</v>
      </c>
      <c r="I1215" s="23">
        <v>4.0145985782146502E-2</v>
      </c>
      <c r="J1215" s="24">
        <v>0.15145985782146401</v>
      </c>
      <c r="K1215" s="23">
        <v>2.3722628131508799E-2</v>
      </c>
      <c r="L1215" s="23">
        <v>7.2992700152099002E-3</v>
      </c>
      <c r="M1215" s="23">
        <v>7.4817515909671797E-2</v>
      </c>
      <c r="N1215" s="23">
        <v>0</v>
      </c>
      <c r="O1215" s="24">
        <v>0.109489053487777</v>
      </c>
      <c r="P1215" s="24">
        <v>0.13503649830818101</v>
      </c>
      <c r="Q1215" s="24">
        <v>0.59854012727737405</v>
      </c>
      <c r="R1215" s="25">
        <v>1.2773722627737226E-2</v>
      </c>
      <c r="S1215" s="25">
        <v>3.6496350364963502E-3</v>
      </c>
      <c r="T1215" s="25">
        <v>7.8467153284671534E-2</v>
      </c>
    </row>
    <row r="1216" spans="1:20" x14ac:dyDescent="0.25">
      <c r="A1216" s="8" t="s">
        <v>2522</v>
      </c>
      <c r="B1216" s="8" t="s">
        <v>2523</v>
      </c>
      <c r="C1216" s="8" t="s">
        <v>3540</v>
      </c>
      <c r="D1216" s="8">
        <v>147</v>
      </c>
      <c r="E1216" s="23">
        <v>0.55782312154769897</v>
      </c>
      <c r="F1216" s="23">
        <v>0.44217687845230103</v>
      </c>
      <c r="G1216" s="23">
        <v>0</v>
      </c>
      <c r="H1216" s="24">
        <v>0.34693878889083801</v>
      </c>
      <c r="I1216" s="24">
        <v>0.122448980808258</v>
      </c>
      <c r="J1216" s="24">
        <v>0.27210885286331099</v>
      </c>
      <c r="K1216" s="23">
        <v>3.4013606607913999E-2</v>
      </c>
      <c r="L1216" s="23">
        <v>6.8027209490537999E-3</v>
      </c>
      <c r="M1216" s="24">
        <v>0.21768707036971999</v>
      </c>
      <c r="N1216" s="23">
        <v>0</v>
      </c>
      <c r="O1216" s="23">
        <v>0.190476194024086</v>
      </c>
      <c r="P1216" s="23">
        <v>4.08163256943226E-2</v>
      </c>
      <c r="Q1216" s="24">
        <v>0.21768707036971999</v>
      </c>
      <c r="R1216" s="25">
        <v>0</v>
      </c>
      <c r="S1216" s="25">
        <v>0</v>
      </c>
      <c r="T1216" s="25">
        <v>0.17687074829931973</v>
      </c>
    </row>
    <row r="1217" spans="1:20" x14ac:dyDescent="0.25">
      <c r="A1217" s="8" t="s">
        <v>2524</v>
      </c>
      <c r="B1217" s="8" t="s">
        <v>2525</v>
      </c>
      <c r="C1217" s="8" t="s">
        <v>3540</v>
      </c>
      <c r="D1217" s="8">
        <v>2882</v>
      </c>
      <c r="E1217" s="24">
        <v>0.52498263120651201</v>
      </c>
      <c r="F1217" s="24">
        <v>0.47501733899116499</v>
      </c>
      <c r="G1217" s="23">
        <v>0</v>
      </c>
      <c r="H1217" s="24">
        <v>0.44309505820274298</v>
      </c>
      <c r="I1217" s="24">
        <v>0.19500346481799999</v>
      </c>
      <c r="J1217" s="24">
        <v>0.24462178349494901</v>
      </c>
      <c r="K1217" s="23">
        <v>2.04718951135874E-2</v>
      </c>
      <c r="L1217" s="23">
        <v>1.42262317240238E-2</v>
      </c>
      <c r="M1217" s="23">
        <v>7.1131162345409393E-2</v>
      </c>
      <c r="N1217" s="23">
        <v>1.1450381949544E-2</v>
      </c>
      <c r="O1217" s="24">
        <v>0.151630818843841</v>
      </c>
      <c r="P1217" s="23">
        <v>8.0846637487411499E-2</v>
      </c>
      <c r="Q1217" s="24">
        <v>0.70818877220153797</v>
      </c>
      <c r="R1217" s="25">
        <v>1.040943789035392E-3</v>
      </c>
      <c r="S1217" s="25">
        <v>3.9902845246356698E-2</v>
      </c>
      <c r="T1217" s="25">
        <v>0.10166551006245662</v>
      </c>
    </row>
    <row r="1218" spans="1:20" x14ac:dyDescent="0.25">
      <c r="A1218" s="8" t="s">
        <v>2526</v>
      </c>
      <c r="B1218" s="8" t="s">
        <v>2527</v>
      </c>
      <c r="C1218" s="8" t="s">
        <v>3540</v>
      </c>
      <c r="D1218" s="8">
        <v>4577</v>
      </c>
      <c r="E1218" s="24">
        <v>0.484596908092498</v>
      </c>
      <c r="F1218" s="24">
        <v>0.515403091907501</v>
      </c>
      <c r="G1218" s="23">
        <v>0</v>
      </c>
      <c r="H1218" s="24">
        <v>0.64343458414077703</v>
      </c>
      <c r="I1218" s="23">
        <v>3.4957394003868103E-2</v>
      </c>
      <c r="J1218" s="24">
        <v>0.20690408349037101</v>
      </c>
      <c r="K1218" s="23">
        <v>7.6469304040074002E-3</v>
      </c>
      <c r="L1218" s="23">
        <v>3.4957395400852E-3</v>
      </c>
      <c r="M1218" s="23">
        <v>9.96285751461983E-2</v>
      </c>
      <c r="N1218" s="23">
        <v>3.9327070116996999E-3</v>
      </c>
      <c r="O1218" s="24">
        <v>0.112956084311008</v>
      </c>
      <c r="P1218" s="24">
        <v>0.16801398992538399</v>
      </c>
      <c r="Q1218" s="24">
        <v>0.69608914852142301</v>
      </c>
      <c r="R1218" s="25">
        <v>5.462093074065982E-3</v>
      </c>
      <c r="S1218" s="25">
        <v>3.2554074721433256E-2</v>
      </c>
      <c r="T1218" s="25">
        <v>7.3629014638409443E-2</v>
      </c>
    </row>
    <row r="1219" spans="1:20" x14ac:dyDescent="0.25">
      <c r="A1219" s="8" t="s">
        <v>2528</v>
      </c>
      <c r="B1219" s="8" t="s">
        <v>2529</v>
      </c>
      <c r="C1219" s="8" t="s">
        <v>3540</v>
      </c>
      <c r="D1219" s="8">
        <v>1140</v>
      </c>
      <c r="E1219" s="24">
        <v>0.46666666865348799</v>
      </c>
      <c r="F1219" s="24">
        <v>0.53333336114883401</v>
      </c>
      <c r="G1219" s="23">
        <v>0</v>
      </c>
      <c r="H1219" s="24">
        <v>0.33245614171028098</v>
      </c>
      <c r="I1219" s="24">
        <v>0.35175439715385398</v>
      </c>
      <c r="J1219" s="24">
        <v>0.227192983031272</v>
      </c>
      <c r="K1219" s="23">
        <v>8.7719298899173997E-3</v>
      </c>
      <c r="L1219" s="23">
        <v>4.4736843556165702E-2</v>
      </c>
      <c r="M1219" s="23">
        <v>2.8070176020264601E-2</v>
      </c>
      <c r="N1219" s="23">
        <v>7.0175440050661998E-3</v>
      </c>
      <c r="O1219" s="24">
        <v>0.14736841619014701</v>
      </c>
      <c r="P1219" s="24">
        <v>0.16403508186340299</v>
      </c>
      <c r="Q1219" s="24">
        <v>0.75438594818115201</v>
      </c>
      <c r="R1219" s="25">
        <v>1.7543859649122807E-3</v>
      </c>
      <c r="S1219" s="25">
        <v>4.0350877192982457E-2</v>
      </c>
      <c r="T1219" s="25">
        <v>0.10350877192982456</v>
      </c>
    </row>
    <row r="1220" spans="1:20" x14ac:dyDescent="0.25">
      <c r="A1220" s="8" t="s">
        <v>2530</v>
      </c>
      <c r="B1220" s="8" t="s">
        <v>2531</v>
      </c>
      <c r="C1220" s="8" t="s">
        <v>3540</v>
      </c>
      <c r="D1220" s="8">
        <v>2980</v>
      </c>
      <c r="E1220" s="24">
        <v>0.50268459320068304</v>
      </c>
      <c r="F1220" s="24">
        <v>0.49697986245155301</v>
      </c>
      <c r="G1220" s="23">
        <v>3.3557048300280002E-4</v>
      </c>
      <c r="H1220" s="24">
        <v>0.45771813392639099</v>
      </c>
      <c r="I1220" s="23">
        <v>9.2617452144622803E-2</v>
      </c>
      <c r="J1220" s="24">
        <v>0.31711408495902998</v>
      </c>
      <c r="K1220" s="23">
        <v>1.3087248429655999E-2</v>
      </c>
      <c r="L1220" s="23">
        <v>9.7315432503818997E-3</v>
      </c>
      <c r="M1220" s="24">
        <v>0.105369128286838</v>
      </c>
      <c r="N1220" s="23">
        <v>4.3624159879982003E-3</v>
      </c>
      <c r="O1220" s="24">
        <v>0.138255029916763</v>
      </c>
      <c r="P1220" s="23">
        <v>7.8187920153140994E-2</v>
      </c>
      <c r="Q1220" s="24">
        <v>0.75973153114318803</v>
      </c>
      <c r="R1220" s="25">
        <v>0</v>
      </c>
      <c r="S1220" s="25">
        <v>3.0536912751677851E-2</v>
      </c>
      <c r="T1220" s="25">
        <v>9.2953020134228181E-2</v>
      </c>
    </row>
    <row r="1221" spans="1:20" x14ac:dyDescent="0.25">
      <c r="A1221" s="8" t="s">
        <v>2532</v>
      </c>
      <c r="B1221" s="8" t="s">
        <v>2533</v>
      </c>
      <c r="C1221" s="8" t="s">
        <v>3540</v>
      </c>
      <c r="D1221" s="8">
        <v>841</v>
      </c>
      <c r="E1221" s="24">
        <v>0.53151011466979903</v>
      </c>
      <c r="F1221" s="24">
        <v>0.46848988533019997</v>
      </c>
      <c r="G1221" s="23">
        <v>0</v>
      </c>
      <c r="H1221" s="24">
        <v>0.22116528451442699</v>
      </c>
      <c r="I1221" s="24">
        <v>0.434007138013839</v>
      </c>
      <c r="J1221" s="24">
        <v>0.23424494266509999</v>
      </c>
      <c r="K1221" s="23">
        <v>1.7835909500718099E-2</v>
      </c>
      <c r="L1221" s="23">
        <v>4.0428061038255698E-2</v>
      </c>
      <c r="M1221" s="23">
        <v>4.637336358428E-2</v>
      </c>
      <c r="N1221" s="23">
        <v>5.9453030116856003E-3</v>
      </c>
      <c r="O1221" s="23">
        <v>0.21759809553623199</v>
      </c>
      <c r="P1221" s="23">
        <v>5.5885851383209201E-2</v>
      </c>
      <c r="Q1221" s="24">
        <v>0.66230678558349598</v>
      </c>
      <c r="R1221" s="25">
        <v>7.0154577883472055E-2</v>
      </c>
      <c r="S1221" s="25">
        <v>1.6646848989298454E-2</v>
      </c>
      <c r="T1221" s="25">
        <v>0.13555291319857313</v>
      </c>
    </row>
    <row r="1222" spans="1:20" x14ac:dyDescent="0.25">
      <c r="A1222" s="8" t="s">
        <v>2534</v>
      </c>
      <c r="B1222" s="8" t="s">
        <v>2535</v>
      </c>
      <c r="C1222" s="8" t="s">
        <v>3540</v>
      </c>
      <c r="D1222" s="8">
        <v>645</v>
      </c>
      <c r="E1222" s="24">
        <v>0.52093023061752297</v>
      </c>
      <c r="F1222" s="24">
        <v>0.47906976938247597</v>
      </c>
      <c r="G1222" s="23">
        <v>0</v>
      </c>
      <c r="H1222" s="23">
        <v>1.3953488320112201E-2</v>
      </c>
      <c r="I1222" s="24">
        <v>0.62170541286468495</v>
      </c>
      <c r="J1222" s="24">
        <v>0.313178300857543</v>
      </c>
      <c r="K1222" s="23">
        <v>2.0155038684606601E-2</v>
      </c>
      <c r="L1222" s="23">
        <v>1.3953488320112201E-2</v>
      </c>
      <c r="M1222" s="23">
        <v>1.7054263502359401E-2</v>
      </c>
      <c r="N1222" s="23">
        <v>0</v>
      </c>
      <c r="O1222" s="24">
        <v>0.249612405896186</v>
      </c>
      <c r="P1222" s="23">
        <v>7.1317829191684695E-2</v>
      </c>
      <c r="Q1222" s="24">
        <v>0.93023258447646995</v>
      </c>
      <c r="R1222" s="25">
        <v>0.10542635658914729</v>
      </c>
      <c r="S1222" s="25">
        <v>1.5503875968992248E-3</v>
      </c>
      <c r="T1222" s="25">
        <v>0.15038759689922482</v>
      </c>
    </row>
    <row r="1223" spans="1:20" x14ac:dyDescent="0.25">
      <c r="A1223" s="8" t="s">
        <v>2536</v>
      </c>
      <c r="B1223" s="8" t="s">
        <v>2537</v>
      </c>
      <c r="C1223" s="8" t="s">
        <v>3540</v>
      </c>
      <c r="D1223" s="8">
        <v>581</v>
      </c>
      <c r="E1223" s="24">
        <v>0.48881238698959301</v>
      </c>
      <c r="F1223" s="24">
        <v>0.51118761301040605</v>
      </c>
      <c r="G1223" s="23">
        <v>0</v>
      </c>
      <c r="H1223" s="23">
        <v>1.7211703583598099E-2</v>
      </c>
      <c r="I1223" s="24">
        <v>0.53184163570403997</v>
      </c>
      <c r="J1223" s="24">
        <v>0.41824439167976302</v>
      </c>
      <c r="K1223" s="23">
        <v>6.8846815265715001E-3</v>
      </c>
      <c r="L1223" s="23">
        <v>6.8846815265715001E-3</v>
      </c>
      <c r="M1223" s="23">
        <v>1.89328752458096E-2</v>
      </c>
      <c r="N1223" s="23">
        <v>0</v>
      </c>
      <c r="O1223" s="23">
        <v>0.29432013630866999</v>
      </c>
      <c r="P1223" s="23">
        <v>9.8106712102890001E-2</v>
      </c>
      <c r="Q1223" s="24">
        <v>0.92771083116531305</v>
      </c>
      <c r="R1223" s="25">
        <v>0.13769363166953527</v>
      </c>
      <c r="S1223" s="25">
        <v>6.8846815834767644E-3</v>
      </c>
      <c r="T1223" s="25">
        <v>0.12048192771084337</v>
      </c>
    </row>
    <row r="1224" spans="1:20" x14ac:dyDescent="0.25">
      <c r="A1224" s="8" t="s">
        <v>2539</v>
      </c>
      <c r="B1224" s="8" t="s">
        <v>2540</v>
      </c>
      <c r="C1224" s="8" t="s">
        <v>3540</v>
      </c>
      <c r="D1224" s="8">
        <v>467</v>
      </c>
      <c r="E1224" s="24">
        <v>0.49250534176826399</v>
      </c>
      <c r="F1224" s="24">
        <v>0.50749462842941195</v>
      </c>
      <c r="G1224" s="23">
        <v>0</v>
      </c>
      <c r="H1224" s="23">
        <v>5.7815846055746099E-2</v>
      </c>
      <c r="I1224" s="24">
        <v>0.31691649556159901</v>
      </c>
      <c r="J1224" s="24">
        <v>0.56102782487869196</v>
      </c>
      <c r="K1224" s="23">
        <v>1.2847965583205201E-2</v>
      </c>
      <c r="L1224" s="23">
        <v>4.7109209001064301E-2</v>
      </c>
      <c r="M1224" s="23">
        <v>4.2826551944017003E-3</v>
      </c>
      <c r="N1224" s="23">
        <v>0</v>
      </c>
      <c r="O1224" s="24">
        <v>0.11777301877736999</v>
      </c>
      <c r="P1224" s="24">
        <v>0.441113501787185</v>
      </c>
      <c r="Q1224" s="24">
        <v>0.895074963569641</v>
      </c>
      <c r="R1224" s="25">
        <v>3.2119914346895075E-2</v>
      </c>
      <c r="S1224" s="25">
        <v>0</v>
      </c>
      <c r="T1224" s="25">
        <v>8.9935760171306209E-2</v>
      </c>
    </row>
    <row r="1225" spans="1:20" x14ac:dyDescent="0.25">
      <c r="A1225" s="8" t="s">
        <v>2541</v>
      </c>
      <c r="B1225" s="8" t="s">
        <v>2542</v>
      </c>
      <c r="C1225" s="8" t="s">
        <v>3540</v>
      </c>
      <c r="D1225" s="8">
        <v>274</v>
      </c>
      <c r="E1225" s="24">
        <v>0.45255473256111101</v>
      </c>
      <c r="F1225" s="24">
        <v>0.54744523763656605</v>
      </c>
      <c r="G1225" s="23">
        <v>0</v>
      </c>
      <c r="H1225" s="23">
        <v>6.2043797224760097E-2</v>
      </c>
      <c r="I1225" s="23">
        <v>4.3795619159936898E-2</v>
      </c>
      <c r="J1225" s="24">
        <v>0.18978102505207001</v>
      </c>
      <c r="K1225" s="23">
        <v>3.6496348679065697E-2</v>
      </c>
      <c r="L1225" s="23">
        <v>3.649635007605E-3</v>
      </c>
      <c r="M1225" s="24">
        <v>0.66423356533050504</v>
      </c>
      <c r="N1225" s="23">
        <v>0</v>
      </c>
      <c r="O1225" s="24">
        <v>0.29562044143676702</v>
      </c>
      <c r="P1225" s="23">
        <v>4.0145985782146502E-2</v>
      </c>
      <c r="Q1225" s="24">
        <v>0.489051103591918</v>
      </c>
      <c r="R1225" s="25">
        <v>9.1240875912408759E-2</v>
      </c>
      <c r="S1225" s="25">
        <v>1.4598540145985401E-2</v>
      </c>
      <c r="T1225" s="25">
        <v>0.20072992700729927</v>
      </c>
    </row>
    <row r="1226" spans="1:20" x14ac:dyDescent="0.25">
      <c r="A1226" s="8" t="s">
        <v>2543</v>
      </c>
      <c r="B1226" s="8" t="s">
        <v>2544</v>
      </c>
      <c r="C1226" s="8" t="s">
        <v>3540</v>
      </c>
      <c r="D1226" s="8">
        <v>197</v>
      </c>
      <c r="E1226" s="24">
        <v>0.53299492597579901</v>
      </c>
      <c r="F1226" s="24">
        <v>0.4670050740242</v>
      </c>
      <c r="G1226" s="23">
        <v>0</v>
      </c>
      <c r="H1226" s="24">
        <v>0.26395937800407399</v>
      </c>
      <c r="I1226" s="23">
        <v>6.5989844501018496E-2</v>
      </c>
      <c r="J1226" s="24">
        <v>0.50761419534683205</v>
      </c>
      <c r="K1226" s="23">
        <v>2.0304568111896501E-2</v>
      </c>
      <c r="L1226" s="23">
        <v>4.5685280114412301E-2</v>
      </c>
      <c r="M1226" s="23">
        <v>9.6446700394153595E-2</v>
      </c>
      <c r="N1226" s="23">
        <v>0</v>
      </c>
      <c r="O1226" s="24">
        <v>0.157360404729843</v>
      </c>
      <c r="P1226" s="24">
        <v>0.218274116516113</v>
      </c>
      <c r="Q1226" s="24">
        <v>0.85279190540313698</v>
      </c>
      <c r="R1226" s="25">
        <v>4.060913705583756E-2</v>
      </c>
      <c r="S1226" s="25">
        <v>0</v>
      </c>
      <c r="T1226" s="25">
        <v>9.1370558375634514E-2</v>
      </c>
    </row>
    <row r="1227" spans="1:20" x14ac:dyDescent="0.25">
      <c r="A1227" s="8" t="s">
        <v>2545</v>
      </c>
      <c r="B1227" s="8" t="s">
        <v>2546</v>
      </c>
      <c r="C1227" s="8" t="s">
        <v>3540</v>
      </c>
      <c r="D1227" s="8">
        <v>242</v>
      </c>
      <c r="E1227" s="24">
        <v>0.44214877486228898</v>
      </c>
      <c r="F1227" s="23">
        <v>0.55785125494003296</v>
      </c>
      <c r="G1227" s="23">
        <v>0</v>
      </c>
      <c r="H1227" s="23">
        <v>2.0661156624555602E-2</v>
      </c>
      <c r="I1227" s="24">
        <v>0.46280992031097401</v>
      </c>
      <c r="J1227" s="24">
        <v>0.450413227081298</v>
      </c>
      <c r="K1227" s="23">
        <v>8.2644624635576994E-3</v>
      </c>
      <c r="L1227" s="23">
        <v>1.2396694160997901E-2</v>
      </c>
      <c r="M1227" s="23">
        <v>3.7190083414316198E-2</v>
      </c>
      <c r="N1227" s="23">
        <v>8.2644624635576994E-3</v>
      </c>
      <c r="O1227" s="24">
        <v>0.29338842630386303</v>
      </c>
      <c r="P1227" s="24">
        <v>0.25206610560417098</v>
      </c>
      <c r="Q1227" s="23">
        <v>0.94214874505996704</v>
      </c>
      <c r="R1227" s="25">
        <v>0.128099173553719</v>
      </c>
      <c r="S1227" s="25">
        <v>8.2644628099173556E-3</v>
      </c>
      <c r="T1227" s="25">
        <v>0.17355371900826447</v>
      </c>
    </row>
    <row r="1228" spans="1:20" x14ac:dyDescent="0.25">
      <c r="A1228" s="8" t="s">
        <v>2547</v>
      </c>
      <c r="B1228" s="8" t="s">
        <v>2548</v>
      </c>
      <c r="C1228" s="8" t="s">
        <v>3540</v>
      </c>
      <c r="D1228" s="8">
        <v>364</v>
      </c>
      <c r="E1228" s="24">
        <v>0.494505494832992</v>
      </c>
      <c r="F1228" s="24">
        <v>0.50549453496932895</v>
      </c>
      <c r="G1228" s="23">
        <v>0</v>
      </c>
      <c r="H1228" s="24">
        <v>0.260989010334014</v>
      </c>
      <c r="I1228" s="23">
        <v>9.8901100456714602E-2</v>
      </c>
      <c r="J1228" s="24">
        <v>0.50549453496932895</v>
      </c>
      <c r="K1228" s="23">
        <v>1.3736263848841201E-2</v>
      </c>
      <c r="L1228" s="23">
        <v>4.3956045061349897E-2</v>
      </c>
      <c r="M1228" s="23">
        <v>7.6923079788684803E-2</v>
      </c>
      <c r="N1228" s="23">
        <v>0</v>
      </c>
      <c r="O1228" s="24">
        <v>0.156593412160873</v>
      </c>
      <c r="P1228" s="24">
        <v>0.28296703100204401</v>
      </c>
      <c r="Q1228" s="24">
        <v>0.82142859697341897</v>
      </c>
      <c r="R1228" s="25">
        <v>5.4945054945054944E-2</v>
      </c>
      <c r="S1228" s="25">
        <v>0</v>
      </c>
      <c r="T1228" s="25">
        <v>9.8901098901098897E-2</v>
      </c>
    </row>
    <row r="1229" spans="1:20" x14ac:dyDescent="0.25">
      <c r="A1229" s="8" t="s">
        <v>2549</v>
      </c>
      <c r="B1229" s="8" t="s">
        <v>2550</v>
      </c>
      <c r="C1229" s="8" t="s">
        <v>3540</v>
      </c>
      <c r="D1229" s="8">
        <v>966</v>
      </c>
      <c r="E1229" s="24">
        <v>0.48654243350028897</v>
      </c>
      <c r="F1229" s="24">
        <v>0.51345753669738703</v>
      </c>
      <c r="G1229" s="23">
        <v>0</v>
      </c>
      <c r="H1229" s="24">
        <v>0.19151139259338301</v>
      </c>
      <c r="I1229" s="23">
        <v>3.6231882870197303E-2</v>
      </c>
      <c r="J1229" s="24">
        <v>0.72153210639953602</v>
      </c>
      <c r="K1229" s="23">
        <v>9.3167703598737994E-3</v>
      </c>
      <c r="L1229" s="23">
        <v>1.55279505997896E-2</v>
      </c>
      <c r="M1229" s="23">
        <v>2.5879917666316001E-2</v>
      </c>
      <c r="N1229" s="23">
        <v>0</v>
      </c>
      <c r="O1229" s="24">
        <v>0.15838509798049899</v>
      </c>
      <c r="P1229" s="24">
        <v>0.28571429848670898</v>
      </c>
      <c r="Q1229" s="24">
        <v>0.79606622457504195</v>
      </c>
      <c r="R1229" s="25">
        <v>3.8302277432712216E-2</v>
      </c>
      <c r="S1229" s="25">
        <v>1.0351966873706005E-3</v>
      </c>
      <c r="T1229" s="25">
        <v>0.10869565217391304</v>
      </c>
    </row>
    <row r="1230" spans="1:20" x14ac:dyDescent="0.25">
      <c r="A1230" s="8" t="s">
        <v>2551</v>
      </c>
      <c r="B1230" s="8" t="s">
        <v>2552</v>
      </c>
      <c r="C1230" s="8" t="s">
        <v>3540</v>
      </c>
      <c r="D1230" s="8">
        <v>825</v>
      </c>
      <c r="E1230" s="24">
        <v>0.473939388990402</v>
      </c>
      <c r="F1230" s="24">
        <v>0.52606058120727495</v>
      </c>
      <c r="G1230" s="23">
        <v>0</v>
      </c>
      <c r="H1230" s="24">
        <v>0.45333334803581199</v>
      </c>
      <c r="I1230" s="23">
        <v>4.24242429435253E-2</v>
      </c>
      <c r="J1230" s="24">
        <v>0.28484848141670199</v>
      </c>
      <c r="K1230" s="23">
        <v>2.9090909287333499E-2</v>
      </c>
      <c r="L1230" s="24">
        <v>0.166060611605644</v>
      </c>
      <c r="M1230" s="23">
        <v>2.42424234747887E-2</v>
      </c>
      <c r="N1230" s="23">
        <v>0</v>
      </c>
      <c r="O1230" s="24">
        <v>0.13696970045566501</v>
      </c>
      <c r="P1230" s="24">
        <v>0.17696969211101499</v>
      </c>
      <c r="Q1230" s="24">
        <v>0.83999997377395597</v>
      </c>
      <c r="R1230" s="25">
        <v>4.7272727272727272E-2</v>
      </c>
      <c r="S1230" s="25">
        <v>1.2121212121212121E-3</v>
      </c>
      <c r="T1230" s="25">
        <v>8.1212121212121208E-2</v>
      </c>
    </row>
    <row r="1231" spans="1:20" x14ac:dyDescent="0.25">
      <c r="A1231" s="8" t="s">
        <v>2553</v>
      </c>
      <c r="B1231" s="8" t="s">
        <v>2554</v>
      </c>
      <c r="C1231" s="8" t="s">
        <v>3540</v>
      </c>
      <c r="D1231" s="8">
        <v>977</v>
      </c>
      <c r="E1231" s="24">
        <v>0.50051176548004095</v>
      </c>
      <c r="F1231" s="24">
        <v>0.499488234519958</v>
      </c>
      <c r="G1231" s="23">
        <v>0</v>
      </c>
      <c r="H1231" s="24">
        <v>0.476970314979553</v>
      </c>
      <c r="I1231" s="23">
        <v>3.58239524066448E-2</v>
      </c>
      <c r="J1231" s="24">
        <v>0.38075742125511097</v>
      </c>
      <c r="K1231" s="23">
        <v>1.0235414840280999E-2</v>
      </c>
      <c r="L1231" s="23">
        <v>4.1965197771787602E-2</v>
      </c>
      <c r="M1231" s="23">
        <v>5.4247695952653899E-2</v>
      </c>
      <c r="N1231" s="23">
        <v>0</v>
      </c>
      <c r="O1231" s="24">
        <v>0.19754350185394201</v>
      </c>
      <c r="P1231" s="24">
        <v>0.17502558231353699</v>
      </c>
      <c r="Q1231" s="24">
        <v>0.78915047645568803</v>
      </c>
      <c r="R1231" s="25">
        <v>9.4165813715455474E-2</v>
      </c>
      <c r="S1231" s="25">
        <v>0</v>
      </c>
      <c r="T1231" s="25">
        <v>9.7236438075742074E-2</v>
      </c>
    </row>
    <row r="1232" spans="1:20" x14ac:dyDescent="0.25">
      <c r="A1232" s="8" t="s">
        <v>2555</v>
      </c>
      <c r="B1232" s="8" t="s">
        <v>2556</v>
      </c>
      <c r="C1232" s="8" t="s">
        <v>3540</v>
      </c>
      <c r="D1232" s="8">
        <v>493</v>
      </c>
      <c r="E1232" s="24">
        <v>0.45030426979064903</v>
      </c>
      <c r="F1232" s="24">
        <v>0.54969573020935003</v>
      </c>
      <c r="G1232" s="23">
        <v>0</v>
      </c>
      <c r="H1232" s="24">
        <v>0.71805274486541704</v>
      </c>
      <c r="I1232" s="23">
        <v>2.6369167491793601E-2</v>
      </c>
      <c r="J1232" s="24">
        <v>0.19878296554088501</v>
      </c>
      <c r="K1232" s="23">
        <v>6.0851927846670003E-3</v>
      </c>
      <c r="L1232" s="23">
        <v>2.6369167491793601E-2</v>
      </c>
      <c r="M1232" s="23">
        <v>2.2312372922897301E-2</v>
      </c>
      <c r="N1232" s="23">
        <v>2.0283975172788E-3</v>
      </c>
      <c r="O1232" s="24">
        <v>0.16024340689182201</v>
      </c>
      <c r="P1232" s="24">
        <v>0.30223125219344998</v>
      </c>
      <c r="Q1232" s="24">
        <v>0.92089247703552202</v>
      </c>
      <c r="R1232" s="25">
        <v>6.6937119675456389E-2</v>
      </c>
      <c r="S1232" s="25">
        <v>8.1135902636916835E-3</v>
      </c>
      <c r="T1232" s="25">
        <v>8.3164300202839755E-2</v>
      </c>
    </row>
    <row r="1233" spans="1:20" x14ac:dyDescent="0.25">
      <c r="A1233" s="8" t="s">
        <v>2557</v>
      </c>
      <c r="B1233" s="8" t="s">
        <v>2558</v>
      </c>
      <c r="C1233" s="8" t="s">
        <v>3540</v>
      </c>
      <c r="D1233" s="8">
        <v>378</v>
      </c>
      <c r="E1233" s="23">
        <v>0.52380955219268799</v>
      </c>
      <c r="F1233" s="24">
        <v>0.47619047760963401</v>
      </c>
      <c r="G1233" s="23">
        <v>0</v>
      </c>
      <c r="H1233" s="24">
        <v>0.35185185074806202</v>
      </c>
      <c r="I1233" s="23">
        <v>5.55555559694767E-2</v>
      </c>
      <c r="J1233" s="24">
        <v>0.45767197012901301</v>
      </c>
      <c r="K1233" s="23">
        <v>0</v>
      </c>
      <c r="L1233" s="23">
        <v>8.7301589548587799E-2</v>
      </c>
      <c r="M1233" s="23">
        <v>4.76190485060215E-2</v>
      </c>
      <c r="N1233" s="23">
        <v>0</v>
      </c>
      <c r="O1233" s="24">
        <v>0.208994716405868</v>
      </c>
      <c r="P1233" s="24">
        <v>0.158730164170265</v>
      </c>
      <c r="Q1233" s="24">
        <v>0.84920632839202803</v>
      </c>
      <c r="R1233" s="25">
        <v>7.9365079365079361E-2</v>
      </c>
      <c r="S1233" s="25">
        <v>0</v>
      </c>
      <c r="T1233" s="25">
        <v>0.13227513227513227</v>
      </c>
    </row>
    <row r="1234" spans="1:20" x14ac:dyDescent="0.25">
      <c r="A1234" s="8" t="s">
        <v>2559</v>
      </c>
      <c r="B1234" s="8" t="s">
        <v>2560</v>
      </c>
      <c r="C1234" s="8" t="s">
        <v>3540</v>
      </c>
      <c r="D1234" s="8">
        <v>478</v>
      </c>
      <c r="E1234" s="24">
        <v>0.50209206342697099</v>
      </c>
      <c r="F1234" s="24">
        <v>0.49790793657302801</v>
      </c>
      <c r="G1234" s="23">
        <v>0</v>
      </c>
      <c r="H1234" s="23">
        <v>0.15062761306762701</v>
      </c>
      <c r="I1234" s="23">
        <v>5.8577407151460599E-2</v>
      </c>
      <c r="J1234" s="24">
        <v>0.65271967649459794</v>
      </c>
      <c r="K1234" s="23">
        <v>2.30125524103642E-2</v>
      </c>
      <c r="L1234" s="23">
        <v>2.7196653187274902E-2</v>
      </c>
      <c r="M1234" s="23">
        <v>8.7866105139255496E-2</v>
      </c>
      <c r="N1234" s="23">
        <v>0</v>
      </c>
      <c r="O1234" s="24">
        <v>0.19874477386474601</v>
      </c>
      <c r="P1234" s="23">
        <v>0.21338912844657901</v>
      </c>
      <c r="Q1234" s="24">
        <v>0.80125522613525302</v>
      </c>
      <c r="R1234" s="25">
        <v>3.7656903765690378E-2</v>
      </c>
      <c r="S1234" s="25">
        <v>2.0920502092050207E-3</v>
      </c>
      <c r="T1234" s="25">
        <v>0.15481171548117154</v>
      </c>
    </row>
    <row r="1235" spans="1:20" x14ac:dyDescent="0.25">
      <c r="A1235" s="8" t="s">
        <v>2561</v>
      </c>
      <c r="B1235" s="8" t="s">
        <v>2562</v>
      </c>
      <c r="C1235" s="8" t="s">
        <v>3540</v>
      </c>
      <c r="D1235" s="8">
        <v>580</v>
      </c>
      <c r="E1235" s="24">
        <v>0.46724137663841198</v>
      </c>
      <c r="F1235" s="24">
        <v>0.53275859355926503</v>
      </c>
      <c r="G1235" s="23">
        <v>0</v>
      </c>
      <c r="H1235" s="24">
        <v>0.248275861144065</v>
      </c>
      <c r="I1235" s="23">
        <v>3.2758619636297198E-2</v>
      </c>
      <c r="J1235" s="24">
        <v>0.62413793802261297</v>
      </c>
      <c r="K1235" s="23">
        <v>1.3793103396892501E-2</v>
      </c>
      <c r="L1235" s="23">
        <v>3.7931036204099697E-2</v>
      </c>
      <c r="M1235" s="23">
        <v>4.1379310190677601E-2</v>
      </c>
      <c r="N1235" s="23">
        <v>1.7241379246115999E-3</v>
      </c>
      <c r="O1235" s="24">
        <v>0.18965516984462699</v>
      </c>
      <c r="P1235" s="24">
        <v>0.33793103694915699</v>
      </c>
      <c r="Q1235" s="24">
        <v>0.91379308700561501</v>
      </c>
      <c r="R1235" s="25">
        <v>7.2413793103448282E-2</v>
      </c>
      <c r="S1235" s="25">
        <v>0</v>
      </c>
      <c r="T1235" s="25">
        <v>0.11206896551724138</v>
      </c>
    </row>
    <row r="1236" spans="1:20" x14ac:dyDescent="0.25">
      <c r="A1236" s="8" t="s">
        <v>2563</v>
      </c>
      <c r="B1236" s="8" t="s">
        <v>2564</v>
      </c>
      <c r="C1236" s="8" t="s">
        <v>3540</v>
      </c>
      <c r="D1236" s="8">
        <v>310</v>
      </c>
      <c r="E1236" s="24">
        <v>0.52903223037719704</v>
      </c>
      <c r="F1236" s="24">
        <v>0.47096773982048001</v>
      </c>
      <c r="G1236" s="23">
        <v>0</v>
      </c>
      <c r="H1236" s="24">
        <v>0.39354839920997597</v>
      </c>
      <c r="I1236" s="24">
        <v>0.158064514398574</v>
      </c>
      <c r="J1236" s="24">
        <v>0.18064516782760601</v>
      </c>
      <c r="K1236" s="23">
        <v>1.61290317773819E-2</v>
      </c>
      <c r="L1236" s="24">
        <v>0.20322580635547599</v>
      </c>
      <c r="M1236" s="23">
        <v>4.8387095332145698E-2</v>
      </c>
      <c r="N1236" s="23">
        <v>0</v>
      </c>
      <c r="O1236" s="23">
        <v>8.3870969712734195E-2</v>
      </c>
      <c r="P1236" s="24">
        <v>0.15483871102332999</v>
      </c>
      <c r="Q1236" s="23">
        <v>0.85161292552947998</v>
      </c>
      <c r="R1236" s="25">
        <v>1.2903225806451613E-2</v>
      </c>
      <c r="S1236" s="25">
        <v>0</v>
      </c>
      <c r="T1236" s="25">
        <v>7.4193548387096769E-2</v>
      </c>
    </row>
    <row r="1237" spans="1:20" x14ac:dyDescent="0.25">
      <c r="A1237" s="8" t="s">
        <v>2565</v>
      </c>
      <c r="B1237" s="8" t="s">
        <v>2566</v>
      </c>
      <c r="C1237" s="8" t="s">
        <v>3540</v>
      </c>
      <c r="D1237" s="8">
        <v>572</v>
      </c>
      <c r="E1237" s="24">
        <v>0.53846156597137396</v>
      </c>
      <c r="F1237" s="24">
        <v>0.46153846383094699</v>
      </c>
      <c r="G1237" s="23">
        <v>0</v>
      </c>
      <c r="H1237" s="24">
        <v>0.13111887872219</v>
      </c>
      <c r="I1237" s="23">
        <v>3.49650345742702E-2</v>
      </c>
      <c r="J1237" s="24">
        <v>0.76048952341079701</v>
      </c>
      <c r="K1237" s="23">
        <v>1.2237762100994601E-2</v>
      </c>
      <c r="L1237" s="23">
        <v>6.9930069148540002E-3</v>
      </c>
      <c r="M1237" s="23">
        <v>5.4195802658796297E-2</v>
      </c>
      <c r="N1237" s="23">
        <v>0</v>
      </c>
      <c r="O1237" s="24">
        <v>0.22377622127532901</v>
      </c>
      <c r="P1237" s="24">
        <v>0.32692307233810403</v>
      </c>
      <c r="Q1237" s="23">
        <v>0.88286715745925903</v>
      </c>
      <c r="R1237" s="25">
        <v>8.5664335664335664E-2</v>
      </c>
      <c r="S1237" s="25">
        <v>0</v>
      </c>
      <c r="T1237" s="25">
        <v>0.13986013986013987</v>
      </c>
    </row>
    <row r="1238" spans="1:20" x14ac:dyDescent="0.25">
      <c r="A1238" s="8" t="s">
        <v>2567</v>
      </c>
      <c r="B1238" s="8" t="s">
        <v>2568</v>
      </c>
      <c r="C1238" s="8" t="s">
        <v>3540</v>
      </c>
      <c r="D1238" s="8">
        <v>648</v>
      </c>
      <c r="E1238" s="24">
        <v>0.46296295523643399</v>
      </c>
      <c r="F1238" s="24">
        <v>0.53703701496124201</v>
      </c>
      <c r="G1238" s="23">
        <v>0</v>
      </c>
      <c r="H1238" s="23">
        <v>0.31790122389793402</v>
      </c>
      <c r="I1238" s="23">
        <v>6.0185186564922298E-2</v>
      </c>
      <c r="J1238" s="24">
        <v>0.22067901492118799</v>
      </c>
      <c r="K1238" s="23">
        <v>2.4691358208656301E-2</v>
      </c>
      <c r="L1238" s="24">
        <v>0.35030865669250399</v>
      </c>
      <c r="M1238" s="23">
        <v>2.6234567165374801E-2</v>
      </c>
      <c r="N1238" s="23">
        <v>0</v>
      </c>
      <c r="O1238" s="24">
        <v>0.20524691045284199</v>
      </c>
      <c r="P1238" s="24">
        <v>0.117283947765827</v>
      </c>
      <c r="Q1238" s="24">
        <v>0.81944441795349099</v>
      </c>
      <c r="R1238" s="25">
        <v>6.0185185185185182E-2</v>
      </c>
      <c r="S1238" s="25">
        <v>0</v>
      </c>
      <c r="T1238" s="25">
        <v>0.13734567901234568</v>
      </c>
    </row>
    <row r="1239" spans="1:20" x14ac:dyDescent="0.25">
      <c r="A1239" s="8" t="s">
        <v>2569</v>
      </c>
      <c r="B1239" s="8" t="s">
        <v>2570</v>
      </c>
      <c r="C1239" s="8" t="s">
        <v>3540</v>
      </c>
      <c r="D1239" s="8">
        <v>542</v>
      </c>
      <c r="E1239" s="24">
        <v>0.442804425954818</v>
      </c>
      <c r="F1239" s="24">
        <v>0.557195544242858</v>
      </c>
      <c r="G1239" s="23">
        <v>0</v>
      </c>
      <c r="H1239" s="23">
        <v>9.2250918969512003E-3</v>
      </c>
      <c r="I1239" s="24">
        <v>0.32841327786445601</v>
      </c>
      <c r="J1239" s="24">
        <v>0.57933580875396695</v>
      </c>
      <c r="K1239" s="23">
        <v>7.38007389009E-3</v>
      </c>
      <c r="L1239" s="23">
        <v>5.3505536168813699E-2</v>
      </c>
      <c r="M1239" s="23">
        <v>2.2140221670270001E-2</v>
      </c>
      <c r="N1239" s="23">
        <v>0</v>
      </c>
      <c r="O1239" s="23">
        <v>0.234317347407341</v>
      </c>
      <c r="P1239" s="24">
        <v>0.24354243278503401</v>
      </c>
      <c r="Q1239" s="24">
        <v>0.87084871530532804</v>
      </c>
      <c r="R1239" s="25">
        <v>0.14760147601476015</v>
      </c>
      <c r="S1239" s="25">
        <v>1.8450184501845018E-3</v>
      </c>
      <c r="T1239" s="25">
        <v>9.9630996309963096E-2</v>
      </c>
    </row>
    <row r="1240" spans="1:20" x14ac:dyDescent="0.25">
      <c r="A1240" s="8" t="s">
        <v>2571</v>
      </c>
      <c r="B1240" s="8" t="s">
        <v>2572</v>
      </c>
      <c r="C1240" s="8" t="s">
        <v>3540</v>
      </c>
      <c r="D1240" s="8">
        <v>600</v>
      </c>
      <c r="E1240" s="24">
        <v>0.49166667461395203</v>
      </c>
      <c r="F1240" s="24">
        <v>0.50833332538604703</v>
      </c>
      <c r="G1240" s="23">
        <v>0</v>
      </c>
      <c r="H1240" s="23">
        <v>3.3333335071802098E-2</v>
      </c>
      <c r="I1240" s="24">
        <v>0.496666669845581</v>
      </c>
      <c r="J1240" s="24">
        <v>0.44333332777023299</v>
      </c>
      <c r="K1240" s="23">
        <v>4.9999998882412997E-3</v>
      </c>
      <c r="L1240" s="23">
        <v>1.33333336561918E-2</v>
      </c>
      <c r="M1240" s="23">
        <v>8.3333337679505001E-3</v>
      </c>
      <c r="N1240" s="23">
        <v>0</v>
      </c>
      <c r="O1240" s="24">
        <v>0.31499999761581399</v>
      </c>
      <c r="P1240" s="24">
        <v>0.109999999403953</v>
      </c>
      <c r="Q1240" s="24">
        <v>0.96166664361953702</v>
      </c>
      <c r="R1240" s="25">
        <v>0.16833333333333333</v>
      </c>
      <c r="S1240" s="25">
        <v>1.6666666666666668E-3</v>
      </c>
      <c r="T1240" s="25">
        <v>0.155</v>
      </c>
    </row>
    <row r="1241" spans="1:20" x14ac:dyDescent="0.25">
      <c r="A1241" s="8" t="s">
        <v>2573</v>
      </c>
      <c r="B1241" s="8" t="s">
        <v>2574</v>
      </c>
      <c r="C1241" s="8" t="s">
        <v>3540</v>
      </c>
      <c r="D1241" s="8">
        <v>154</v>
      </c>
      <c r="E1241" s="24">
        <v>0.49350649118423401</v>
      </c>
      <c r="F1241" s="24">
        <v>0.50649350881576505</v>
      </c>
      <c r="G1241" s="23">
        <v>0</v>
      </c>
      <c r="H1241" s="23">
        <v>1.9480518996715501E-2</v>
      </c>
      <c r="I1241" s="24">
        <v>0.51948052644729603</v>
      </c>
      <c r="J1241" s="24">
        <v>0.37662336230277998</v>
      </c>
      <c r="K1241" s="23">
        <v>3.2467532902956002E-2</v>
      </c>
      <c r="L1241" s="23">
        <v>1.2987012974917901E-2</v>
      </c>
      <c r="M1241" s="23">
        <v>3.2467532902956002E-2</v>
      </c>
      <c r="N1241" s="23">
        <v>6.4935064874589001E-3</v>
      </c>
      <c r="O1241" s="24">
        <v>0.32467532157897899</v>
      </c>
      <c r="P1241" s="23">
        <v>9.7402594983577701E-2</v>
      </c>
      <c r="Q1241" s="24">
        <v>0.96753245592117298</v>
      </c>
      <c r="R1241" s="25">
        <v>0.19480519480519481</v>
      </c>
      <c r="S1241" s="25">
        <v>0</v>
      </c>
      <c r="T1241" s="25">
        <v>0.16883116883116883</v>
      </c>
    </row>
    <row r="1242" spans="1:20" x14ac:dyDescent="0.25">
      <c r="A1242" s="8" t="s">
        <v>2575</v>
      </c>
      <c r="B1242" s="8" t="s">
        <v>2576</v>
      </c>
      <c r="C1242" s="8" t="s">
        <v>3540</v>
      </c>
      <c r="D1242" s="8">
        <v>1106</v>
      </c>
      <c r="E1242" s="24">
        <v>0.50271248817443803</v>
      </c>
      <c r="F1242" s="24">
        <v>0.49728751182556102</v>
      </c>
      <c r="G1242" s="23">
        <v>0</v>
      </c>
      <c r="H1242" s="23">
        <v>0.39602169394493097</v>
      </c>
      <c r="I1242" s="23">
        <v>5.9674501419067397E-2</v>
      </c>
      <c r="J1242" s="24">
        <v>0.41952982544898898</v>
      </c>
      <c r="K1242" s="23">
        <v>1.1754068545997099E-2</v>
      </c>
      <c r="L1242" s="23">
        <v>6.5099455416202504E-2</v>
      </c>
      <c r="M1242" s="23">
        <v>4.7016274183988599E-2</v>
      </c>
      <c r="N1242" s="23">
        <v>9.0415915474299996E-4</v>
      </c>
      <c r="O1242" s="24">
        <v>0.20253165066242201</v>
      </c>
      <c r="P1242" s="23">
        <v>7.2332732379436507E-2</v>
      </c>
      <c r="Q1242" s="24">
        <v>0.93942135572433405</v>
      </c>
      <c r="R1242" s="25">
        <v>9.0415913200723327E-2</v>
      </c>
      <c r="S1242" s="25">
        <v>3.616636528028933E-3</v>
      </c>
      <c r="T1242" s="25">
        <v>0.11030741410488246</v>
      </c>
    </row>
    <row r="1243" spans="1:20" x14ac:dyDescent="0.25">
      <c r="A1243" s="8" t="s">
        <v>2577</v>
      </c>
      <c r="B1243" s="8" t="s">
        <v>2578</v>
      </c>
      <c r="C1243" s="8" t="s">
        <v>3540</v>
      </c>
      <c r="D1243" s="8">
        <v>639</v>
      </c>
      <c r="E1243" s="24">
        <v>0.45383411645889199</v>
      </c>
      <c r="F1243" s="24">
        <v>0.54616588354110696</v>
      </c>
      <c r="G1243" s="23">
        <v>0</v>
      </c>
      <c r="H1243" s="23">
        <v>2.19092331826687E-2</v>
      </c>
      <c r="I1243" s="23">
        <v>3.5993739962577799E-2</v>
      </c>
      <c r="J1243" s="24">
        <v>0.17057903110980899</v>
      </c>
      <c r="K1243" s="23">
        <v>2.6604069396853398E-2</v>
      </c>
      <c r="L1243" s="23">
        <v>1.5649452107027E-3</v>
      </c>
      <c r="M1243" s="24">
        <v>0.74334895610809304</v>
      </c>
      <c r="N1243" s="23">
        <v>0</v>
      </c>
      <c r="O1243" s="24">
        <v>0.28169015049934298</v>
      </c>
      <c r="P1243" s="23">
        <v>3.1298905611038201E-2</v>
      </c>
      <c r="Q1243" s="24">
        <v>0.30516430735588002</v>
      </c>
      <c r="R1243" s="25">
        <v>3.5993740219092331E-2</v>
      </c>
      <c r="S1243" s="25">
        <v>3.1298904538341159E-3</v>
      </c>
      <c r="T1243" s="25">
        <v>0.23317683881064163</v>
      </c>
    </row>
    <row r="1244" spans="1:20" x14ac:dyDescent="0.25">
      <c r="A1244" s="8" t="s">
        <v>2579</v>
      </c>
      <c r="B1244" s="8" t="s">
        <v>2580</v>
      </c>
      <c r="C1244" s="8" t="s">
        <v>3540</v>
      </c>
      <c r="D1244" s="8">
        <v>618</v>
      </c>
      <c r="E1244" s="24">
        <v>0.48867315053939803</v>
      </c>
      <c r="F1244" s="24">
        <v>0.51132684946060103</v>
      </c>
      <c r="G1244" s="23">
        <v>0</v>
      </c>
      <c r="H1244" s="24">
        <v>0.17799352109432201</v>
      </c>
      <c r="I1244" s="24">
        <v>0.464401304721832</v>
      </c>
      <c r="J1244" s="24">
        <v>0.20388349890708901</v>
      </c>
      <c r="K1244" s="23">
        <v>4.04530726373196E-2</v>
      </c>
      <c r="L1244" s="23">
        <v>8.8996760547161102E-2</v>
      </c>
      <c r="M1244" s="23">
        <v>2.42718439549208E-2</v>
      </c>
      <c r="N1244" s="23">
        <v>0</v>
      </c>
      <c r="O1244" s="24">
        <v>0.21844659745693201</v>
      </c>
      <c r="P1244" s="24">
        <v>0.11974109709262799</v>
      </c>
      <c r="Q1244" s="24">
        <v>0.82524269819259599</v>
      </c>
      <c r="R1244" s="25">
        <v>9.2233009708737865E-2</v>
      </c>
      <c r="S1244" s="25">
        <v>0</v>
      </c>
      <c r="T1244" s="25">
        <v>0.13268608414239483</v>
      </c>
    </row>
    <row r="1245" spans="1:20" x14ac:dyDescent="0.25">
      <c r="A1245" s="8" t="s">
        <v>2581</v>
      </c>
      <c r="B1245" s="8" t="s">
        <v>2582</v>
      </c>
      <c r="C1245" s="8" t="s">
        <v>3540</v>
      </c>
      <c r="D1245" s="8">
        <v>1017</v>
      </c>
      <c r="E1245" s="24">
        <v>0.50442475080490101</v>
      </c>
      <c r="F1245" s="24">
        <v>0.49557521939277599</v>
      </c>
      <c r="G1245" s="23">
        <v>0</v>
      </c>
      <c r="H1245" s="24">
        <v>0.42576205730438199</v>
      </c>
      <c r="I1245" s="24">
        <v>0.16322517395019501</v>
      </c>
      <c r="J1245" s="24">
        <v>0.21730579435825301</v>
      </c>
      <c r="K1245" s="23">
        <v>2.2615535184740999E-2</v>
      </c>
      <c r="L1245" s="24">
        <v>0.12881022691726601</v>
      </c>
      <c r="M1245" s="23">
        <v>4.2281217873096501E-2</v>
      </c>
      <c r="N1245" s="23">
        <v>0</v>
      </c>
      <c r="O1245" s="24">
        <v>0.120943956077098</v>
      </c>
      <c r="P1245" s="24">
        <v>0.14454276859760201</v>
      </c>
      <c r="Q1245" s="24">
        <v>0.84562438726425104</v>
      </c>
      <c r="R1245" s="25">
        <v>3.8348082595870206E-2</v>
      </c>
      <c r="S1245" s="25">
        <v>0</v>
      </c>
      <c r="T1245" s="25">
        <v>8.1612586037364793E-2</v>
      </c>
    </row>
    <row r="1246" spans="1:20" x14ac:dyDescent="0.25">
      <c r="A1246" s="8" t="s">
        <v>2583</v>
      </c>
      <c r="B1246" s="8" t="s">
        <v>2584</v>
      </c>
      <c r="C1246" s="8" t="s">
        <v>3540</v>
      </c>
      <c r="D1246" s="8">
        <v>1611</v>
      </c>
      <c r="E1246" s="24">
        <v>0.469894468784332</v>
      </c>
      <c r="F1246" s="24">
        <v>0.53010553121566695</v>
      </c>
      <c r="G1246" s="23">
        <v>0</v>
      </c>
      <c r="H1246" s="24">
        <v>0.36809435486793501</v>
      </c>
      <c r="I1246" s="23">
        <v>4.9037866294384003E-2</v>
      </c>
      <c r="J1246" s="24">
        <v>0.46368715167045499</v>
      </c>
      <c r="K1246" s="23">
        <v>6.8280571140348998E-3</v>
      </c>
      <c r="L1246" s="23">
        <v>8.0074489116668701E-2</v>
      </c>
      <c r="M1246" s="23">
        <v>3.2278086990117999E-2</v>
      </c>
      <c r="N1246" s="23">
        <v>0</v>
      </c>
      <c r="O1246" s="24">
        <v>0.166977033019065</v>
      </c>
      <c r="P1246" s="24">
        <v>0.13531967997550901</v>
      </c>
      <c r="Q1246" s="24">
        <v>0.79764121770858698</v>
      </c>
      <c r="R1246" s="25">
        <v>6.3314711359404099E-2</v>
      </c>
      <c r="S1246" s="25">
        <v>6.207324643078833E-4</v>
      </c>
      <c r="T1246" s="25">
        <v>0.10242085661080075</v>
      </c>
    </row>
    <row r="1247" spans="1:20" x14ac:dyDescent="0.25">
      <c r="A1247" s="8" t="s">
        <v>2585</v>
      </c>
      <c r="B1247" s="8" t="s">
        <v>2586</v>
      </c>
      <c r="C1247" s="8" t="s">
        <v>3540</v>
      </c>
      <c r="D1247" s="8">
        <v>546</v>
      </c>
      <c r="E1247" s="24">
        <v>0.50366300344467096</v>
      </c>
      <c r="F1247" s="24">
        <v>0.49633699655532798</v>
      </c>
      <c r="G1247" s="23">
        <v>0</v>
      </c>
      <c r="H1247" s="24">
        <v>0.14835165441036199</v>
      </c>
      <c r="I1247" s="23">
        <v>2.19780225306749E-2</v>
      </c>
      <c r="J1247" s="24">
        <v>0.454212456941604</v>
      </c>
      <c r="K1247" s="23">
        <v>1.83150190860033E-2</v>
      </c>
      <c r="L1247" s="23">
        <v>9.1575095430017003E-3</v>
      </c>
      <c r="M1247" s="24">
        <v>0.34798535704612699</v>
      </c>
      <c r="N1247" s="23">
        <v>0</v>
      </c>
      <c r="O1247" s="24">
        <v>0.24908424913883201</v>
      </c>
      <c r="P1247" s="24">
        <v>0.10439560562372199</v>
      </c>
      <c r="Q1247" s="24">
        <v>0.63369965553283603</v>
      </c>
      <c r="R1247" s="25">
        <v>5.128205128205128E-2</v>
      </c>
      <c r="S1247" s="25">
        <v>0</v>
      </c>
      <c r="T1247" s="25">
        <v>0.19413919413919414</v>
      </c>
    </row>
    <row r="1248" spans="1:20" x14ac:dyDescent="0.25">
      <c r="A1248" s="8" t="s">
        <v>2587</v>
      </c>
      <c r="B1248" s="8" t="s">
        <v>2588</v>
      </c>
      <c r="C1248" s="8" t="s">
        <v>3540</v>
      </c>
      <c r="D1248" s="8">
        <v>502</v>
      </c>
      <c r="E1248" s="24">
        <v>0.460159361362457</v>
      </c>
      <c r="F1248" s="24">
        <v>0.53984063863754195</v>
      </c>
      <c r="G1248" s="23">
        <v>0</v>
      </c>
      <c r="H1248" s="24">
        <v>0.52191233634948697</v>
      </c>
      <c r="I1248" s="24">
        <v>0.167330682277679</v>
      </c>
      <c r="J1248" s="24">
        <v>0.17330677807330999</v>
      </c>
      <c r="K1248" s="23">
        <v>1.19521915912628E-2</v>
      </c>
      <c r="L1248" s="24">
        <v>0.10956175625324199</v>
      </c>
      <c r="M1248" s="23">
        <v>1.59362554550171E-2</v>
      </c>
      <c r="N1248" s="23">
        <v>0</v>
      </c>
      <c r="O1248" s="24">
        <v>0.147410362958908</v>
      </c>
      <c r="P1248" s="23">
        <v>9.5617532730102497E-2</v>
      </c>
      <c r="Q1248" s="24">
        <v>0.79681277275085405</v>
      </c>
      <c r="R1248" s="25">
        <v>3.5856573705179286E-2</v>
      </c>
      <c r="S1248" s="25">
        <v>1.5936254980079681E-2</v>
      </c>
      <c r="T1248" s="25">
        <v>9.5617529880478086E-2</v>
      </c>
    </row>
    <row r="1249" spans="1:20" x14ac:dyDescent="0.25">
      <c r="A1249" s="8" t="s">
        <v>2589</v>
      </c>
      <c r="B1249" s="8" t="s">
        <v>2590</v>
      </c>
      <c r="C1249" s="8" t="s">
        <v>3540</v>
      </c>
      <c r="D1249" s="8">
        <v>409</v>
      </c>
      <c r="E1249" s="24">
        <v>0.50855743885040205</v>
      </c>
      <c r="F1249" s="24">
        <v>0.491442531347274</v>
      </c>
      <c r="G1249" s="23">
        <v>0</v>
      </c>
      <c r="H1249" s="23">
        <v>5.3789731115102803E-2</v>
      </c>
      <c r="I1249" s="24">
        <v>0.58190709352493197</v>
      </c>
      <c r="J1249" s="24">
        <v>0.29095354676246599</v>
      </c>
      <c r="K1249" s="23">
        <v>9.7799515351652995E-3</v>
      </c>
      <c r="L1249" s="23">
        <v>2.20048893243074E-2</v>
      </c>
      <c r="M1249" s="23">
        <v>4.1564792394638103E-2</v>
      </c>
      <c r="N1249" s="23">
        <v>0</v>
      </c>
      <c r="O1249" s="23">
        <v>0.33496332168579102</v>
      </c>
      <c r="P1249" s="23">
        <v>5.3789731115102803E-2</v>
      </c>
      <c r="Q1249" s="24">
        <v>0.94621026515960605</v>
      </c>
      <c r="R1249" s="25">
        <v>0.11980440097799511</v>
      </c>
      <c r="S1249" s="25">
        <v>0</v>
      </c>
      <c r="T1249" s="25">
        <v>0.18826405867970661</v>
      </c>
    </row>
    <row r="1250" spans="1:20" x14ac:dyDescent="0.25">
      <c r="A1250" s="8" t="s">
        <v>2591</v>
      </c>
      <c r="B1250" s="8" t="s">
        <v>2592</v>
      </c>
      <c r="C1250" s="8" t="s">
        <v>3540</v>
      </c>
      <c r="D1250" s="8">
        <v>426</v>
      </c>
      <c r="E1250" s="23">
        <v>0.49295774102210999</v>
      </c>
      <c r="F1250" s="24">
        <v>0.50704222917556696</v>
      </c>
      <c r="G1250" s="23">
        <v>0</v>
      </c>
      <c r="H1250" s="23">
        <v>1.17370896041393E-2</v>
      </c>
      <c r="I1250" s="24">
        <v>0.42957746982574402</v>
      </c>
      <c r="J1250" s="24">
        <v>0.50704222917556696</v>
      </c>
      <c r="K1250" s="23">
        <v>4.6948357485234998E-3</v>
      </c>
      <c r="L1250" s="23">
        <v>2.3474179208278701E-2</v>
      </c>
      <c r="M1250" s="23">
        <v>2.3474179208278701E-2</v>
      </c>
      <c r="N1250" s="23">
        <v>0</v>
      </c>
      <c r="O1250" s="24">
        <v>0.29107981920242298</v>
      </c>
      <c r="P1250" s="24">
        <v>0.13615024089813199</v>
      </c>
      <c r="Q1250" s="24">
        <v>0.90140843391418402</v>
      </c>
      <c r="R1250" s="25">
        <v>0.15962441314553991</v>
      </c>
      <c r="S1250" s="25">
        <v>4.6948356807511738E-3</v>
      </c>
      <c r="T1250" s="25">
        <v>0.12441314553990611</v>
      </c>
    </row>
    <row r="1251" spans="1:20" x14ac:dyDescent="0.25">
      <c r="A1251" s="8" t="s">
        <v>2593</v>
      </c>
      <c r="B1251" s="8" t="s">
        <v>2594</v>
      </c>
      <c r="C1251" s="8" t="s">
        <v>3540</v>
      </c>
      <c r="D1251" s="8">
        <v>906</v>
      </c>
      <c r="E1251" s="24">
        <v>0.47792494297027499</v>
      </c>
      <c r="F1251" s="24">
        <v>0.52207505702972401</v>
      </c>
      <c r="G1251" s="23">
        <v>0</v>
      </c>
      <c r="H1251" s="23">
        <v>0.37196469306945801</v>
      </c>
      <c r="I1251" s="23">
        <v>5.5187638849019997E-2</v>
      </c>
      <c r="J1251" s="24">
        <v>0.471302419900894</v>
      </c>
      <c r="K1251" s="23">
        <v>1.32450331002474E-2</v>
      </c>
      <c r="L1251" s="23">
        <v>4.6357616782188402E-2</v>
      </c>
      <c r="M1251" s="23">
        <v>4.19426038861275E-2</v>
      </c>
      <c r="N1251" s="23">
        <v>0</v>
      </c>
      <c r="O1251" s="24">
        <v>0.17770420014858199</v>
      </c>
      <c r="P1251" s="24">
        <v>0.13355408608913399</v>
      </c>
      <c r="Q1251" s="24">
        <v>0.78256070613860995</v>
      </c>
      <c r="R1251" s="25">
        <v>6.1810154525386317E-2</v>
      </c>
      <c r="S1251" s="25">
        <v>2.2075055187637969E-3</v>
      </c>
      <c r="T1251" s="25">
        <v>0.11368653421633554</v>
      </c>
    </row>
    <row r="1252" spans="1:20" x14ac:dyDescent="0.25">
      <c r="A1252" s="8" t="s">
        <v>2595</v>
      </c>
      <c r="B1252" s="8" t="s">
        <v>2596</v>
      </c>
      <c r="C1252" s="8" t="s">
        <v>3540</v>
      </c>
      <c r="D1252" s="8">
        <v>669</v>
      </c>
      <c r="E1252" s="24">
        <v>0.46935725212097101</v>
      </c>
      <c r="F1252" s="24">
        <v>0.53064274787902799</v>
      </c>
      <c r="G1252" s="23">
        <v>0</v>
      </c>
      <c r="H1252" s="24">
        <v>0.12855006754398299</v>
      </c>
      <c r="I1252" s="23">
        <v>3.13901342451572E-2</v>
      </c>
      <c r="J1252" s="24">
        <v>0.26307922601699801</v>
      </c>
      <c r="K1252" s="23">
        <v>3.4379672259092303E-2</v>
      </c>
      <c r="L1252" s="23">
        <v>2.9895366169511999E-3</v>
      </c>
      <c r="M1252" s="24">
        <v>0.53512704372405995</v>
      </c>
      <c r="N1252" s="23">
        <v>4.4843051582575E-3</v>
      </c>
      <c r="O1252" s="24">
        <v>0.22122570872306799</v>
      </c>
      <c r="P1252" s="23">
        <v>3.7369206547737101E-2</v>
      </c>
      <c r="Q1252" s="24">
        <v>0.37369206547737099</v>
      </c>
      <c r="R1252" s="25">
        <v>0</v>
      </c>
      <c r="S1252" s="25">
        <v>6.1285500747384154E-2</v>
      </c>
      <c r="T1252" s="25">
        <v>0.14648729446935724</v>
      </c>
    </row>
    <row r="1253" spans="1:20" x14ac:dyDescent="0.25">
      <c r="A1253" s="8" t="s">
        <v>2597</v>
      </c>
      <c r="B1253" s="8" t="s">
        <v>2598</v>
      </c>
      <c r="C1253" s="8" t="s">
        <v>3540</v>
      </c>
      <c r="D1253" s="8">
        <v>1484</v>
      </c>
      <c r="E1253" s="24">
        <v>0.48719677329063399</v>
      </c>
      <c r="F1253" s="24">
        <v>0.51280325651168801</v>
      </c>
      <c r="G1253" s="23">
        <v>0</v>
      </c>
      <c r="H1253" s="23">
        <v>0.25</v>
      </c>
      <c r="I1253" s="23">
        <v>4.0431268513202702E-2</v>
      </c>
      <c r="J1253" s="24">
        <v>0.65026956796646096</v>
      </c>
      <c r="K1253" s="23">
        <v>1.01078171283007E-2</v>
      </c>
      <c r="L1253" s="23">
        <v>2.4258760735392602E-2</v>
      </c>
      <c r="M1253" s="23">
        <v>2.4932615458965302E-2</v>
      </c>
      <c r="N1253" s="23">
        <v>0</v>
      </c>
      <c r="O1253" s="24">
        <v>0.19609163701534199</v>
      </c>
      <c r="P1253" s="24">
        <v>0.283692717552185</v>
      </c>
      <c r="Q1253" s="24">
        <v>0.87061995267867998</v>
      </c>
      <c r="R1253" s="25">
        <v>7.4123989218328842E-2</v>
      </c>
      <c r="S1253" s="25">
        <v>0</v>
      </c>
      <c r="T1253" s="25">
        <v>0.11455525606469003</v>
      </c>
    </row>
    <row r="1254" spans="1:20" x14ac:dyDescent="0.25">
      <c r="A1254" s="8" t="s">
        <v>2599</v>
      </c>
      <c r="B1254" s="8" t="s">
        <v>2600</v>
      </c>
      <c r="C1254" s="8" t="s">
        <v>3540</v>
      </c>
      <c r="D1254" s="8">
        <v>570</v>
      </c>
      <c r="E1254" s="23">
        <v>0.44912281632423401</v>
      </c>
      <c r="F1254" s="24">
        <v>0.55087721347808805</v>
      </c>
      <c r="G1254" s="23">
        <v>0</v>
      </c>
      <c r="H1254" s="23">
        <v>9.6491225063800798E-2</v>
      </c>
      <c r="I1254" s="24">
        <v>0.38771930336952198</v>
      </c>
      <c r="J1254" s="24">
        <v>0.39473685622215199</v>
      </c>
      <c r="K1254" s="23">
        <v>1.7543859779834699E-2</v>
      </c>
      <c r="L1254" s="23">
        <v>7.7192984521388994E-2</v>
      </c>
      <c r="M1254" s="23">
        <v>2.63157896697521E-2</v>
      </c>
      <c r="N1254" s="23">
        <v>0</v>
      </c>
      <c r="O1254" s="24">
        <v>0.22280701994895899</v>
      </c>
      <c r="P1254" s="24">
        <v>0.28771930932998602</v>
      </c>
      <c r="Q1254" s="24">
        <v>0.91578948497772195</v>
      </c>
      <c r="R1254" s="25">
        <v>9.1228070175438603E-2</v>
      </c>
      <c r="S1254" s="25">
        <v>5.263157894736842E-3</v>
      </c>
      <c r="T1254" s="25">
        <v>0.10350877192982456</v>
      </c>
    </row>
    <row r="1255" spans="1:20" x14ac:dyDescent="0.25">
      <c r="A1255" s="8" t="s">
        <v>2601</v>
      </c>
      <c r="B1255" s="8" t="s">
        <v>2602</v>
      </c>
      <c r="C1255" s="8" t="s">
        <v>3540</v>
      </c>
      <c r="D1255" s="8">
        <v>830</v>
      </c>
      <c r="E1255" s="24">
        <v>0.45542168617248502</v>
      </c>
      <c r="F1255" s="24">
        <v>0.54457831382751398</v>
      </c>
      <c r="G1255" s="23">
        <v>0</v>
      </c>
      <c r="H1255" s="23">
        <v>0.24819277226924899</v>
      </c>
      <c r="I1255" s="23">
        <v>0.27108433842659002</v>
      </c>
      <c r="J1255" s="24">
        <v>0.27228915691375699</v>
      </c>
      <c r="K1255" s="23">
        <v>1.32530117407441E-2</v>
      </c>
      <c r="L1255" s="24">
        <v>0.17590361833572299</v>
      </c>
      <c r="M1255" s="23">
        <v>1.6867469996213899E-2</v>
      </c>
      <c r="N1255" s="23">
        <v>2.4096386041491998E-3</v>
      </c>
      <c r="O1255" s="23">
        <v>0.17951807379722601</v>
      </c>
      <c r="P1255" s="24">
        <v>0.17710843682289101</v>
      </c>
      <c r="Q1255" s="24">
        <v>0.903614461421966</v>
      </c>
      <c r="R1255" s="25">
        <v>7.2289156626506021E-2</v>
      </c>
      <c r="S1255" s="25">
        <v>0</v>
      </c>
      <c r="T1255" s="25">
        <v>0.10722891566265061</v>
      </c>
    </row>
    <row r="1256" spans="1:20" x14ac:dyDescent="0.25">
      <c r="A1256" s="8" t="s">
        <v>2603</v>
      </c>
      <c r="B1256" s="8" t="s">
        <v>2604</v>
      </c>
      <c r="C1256" s="8" t="s">
        <v>3540</v>
      </c>
      <c r="D1256" s="8">
        <v>833</v>
      </c>
      <c r="E1256" s="24">
        <v>0.49939975142478898</v>
      </c>
      <c r="F1256" s="24">
        <v>0.50060021877288796</v>
      </c>
      <c r="G1256" s="23">
        <v>0</v>
      </c>
      <c r="H1256" s="24">
        <v>0.117647059261798</v>
      </c>
      <c r="I1256" s="23">
        <v>7.4429772794246701E-2</v>
      </c>
      <c r="J1256" s="24">
        <v>0.54261702299117998</v>
      </c>
      <c r="K1256" s="23">
        <v>2.5210084393620501E-2</v>
      </c>
      <c r="L1256" s="23">
        <v>1.2004802003502801E-2</v>
      </c>
      <c r="M1256" s="24">
        <v>0.22448979318141901</v>
      </c>
      <c r="N1256" s="23">
        <v>3.6014404613525001E-3</v>
      </c>
      <c r="O1256" s="24">
        <v>0.24129651486873599</v>
      </c>
      <c r="P1256" s="23">
        <v>8.8835537433624295E-2</v>
      </c>
      <c r="Q1256" s="24">
        <v>0.67827129364013605</v>
      </c>
      <c r="R1256" s="25">
        <v>6.9627851140456179E-2</v>
      </c>
      <c r="S1256" s="25">
        <v>2.4009603841536613E-3</v>
      </c>
      <c r="T1256" s="25">
        <v>0.17166866746698681</v>
      </c>
    </row>
    <row r="1257" spans="1:20" x14ac:dyDescent="0.25">
      <c r="A1257" s="8" t="s">
        <v>2605</v>
      </c>
      <c r="B1257" s="8" t="s">
        <v>2606</v>
      </c>
      <c r="C1257" s="8" t="s">
        <v>3540</v>
      </c>
      <c r="D1257" s="8">
        <v>550</v>
      </c>
      <c r="E1257" s="24">
        <v>0.50181818008422796</v>
      </c>
      <c r="F1257" s="24">
        <v>0.49818181991577098</v>
      </c>
      <c r="G1257" s="23">
        <v>0</v>
      </c>
      <c r="H1257" s="23">
        <v>2.54545453935862E-2</v>
      </c>
      <c r="I1257" s="24">
        <v>0.30181819200515703</v>
      </c>
      <c r="J1257" s="24">
        <v>0.63818180561065596</v>
      </c>
      <c r="K1257" s="23">
        <v>9.0909088030456994E-3</v>
      </c>
      <c r="L1257" s="23">
        <v>1.63636356592178E-2</v>
      </c>
      <c r="M1257" s="23">
        <v>9.0909088030456994E-3</v>
      </c>
      <c r="N1257" s="23">
        <v>0</v>
      </c>
      <c r="O1257" s="24">
        <v>0.28909090161323497</v>
      </c>
      <c r="P1257" s="24">
        <v>0.21818181872367801</v>
      </c>
      <c r="Q1257" s="24">
        <v>0.96363633871078402</v>
      </c>
      <c r="R1257" s="25">
        <v>0.10909090909090909</v>
      </c>
      <c r="S1257" s="25">
        <v>5.454545454545455E-3</v>
      </c>
      <c r="T1257" s="25">
        <v>0.17636363636363636</v>
      </c>
    </row>
    <row r="1258" spans="1:20" x14ac:dyDescent="0.25">
      <c r="A1258" s="8" t="s">
        <v>2607</v>
      </c>
      <c r="B1258" s="8" t="s">
        <v>2608</v>
      </c>
      <c r="C1258" s="8" t="s">
        <v>3540</v>
      </c>
      <c r="D1258" s="8">
        <v>526</v>
      </c>
      <c r="E1258" s="24">
        <v>0.50380229949951105</v>
      </c>
      <c r="F1258" s="24">
        <v>0.49619773030281</v>
      </c>
      <c r="G1258" s="23">
        <v>0</v>
      </c>
      <c r="H1258" s="24">
        <v>0.13498099148273399</v>
      </c>
      <c r="I1258" s="23">
        <v>2.8517110273242E-2</v>
      </c>
      <c r="J1258" s="24">
        <v>0.77186310291290205</v>
      </c>
      <c r="K1258" s="23">
        <v>9.5057031139731008E-3</v>
      </c>
      <c r="L1258" s="23">
        <v>9.5057031139731008E-3</v>
      </c>
      <c r="M1258" s="23">
        <v>4.56273779273033E-2</v>
      </c>
      <c r="N1258" s="23">
        <v>0</v>
      </c>
      <c r="O1258" s="24">
        <v>0.18631178140640201</v>
      </c>
      <c r="P1258" s="24">
        <v>0.25665399432182301</v>
      </c>
      <c r="Q1258" s="24">
        <v>0.82889735698699896</v>
      </c>
      <c r="R1258" s="25">
        <v>6.6539923954372623E-2</v>
      </c>
      <c r="S1258" s="25">
        <v>1.9011406844106464E-3</v>
      </c>
      <c r="T1258" s="25">
        <v>0.11596958174904944</v>
      </c>
    </row>
    <row r="1259" spans="1:20" x14ac:dyDescent="0.25">
      <c r="A1259" s="8" t="s">
        <v>2609</v>
      </c>
      <c r="B1259" s="8" t="s">
        <v>2610</v>
      </c>
      <c r="C1259" s="8" t="s">
        <v>3540</v>
      </c>
      <c r="D1259" s="8">
        <v>319</v>
      </c>
      <c r="E1259" s="24">
        <v>0.44200626015663103</v>
      </c>
      <c r="F1259" s="24">
        <v>0.55799371004104603</v>
      </c>
      <c r="G1259" s="23">
        <v>0</v>
      </c>
      <c r="H1259" s="23">
        <v>1.5673981979489299E-2</v>
      </c>
      <c r="I1259" s="24">
        <v>0.454545468091964</v>
      </c>
      <c r="J1259" s="24">
        <v>0.46708464622497498</v>
      </c>
      <c r="K1259" s="23">
        <v>9.4043882563710005E-3</v>
      </c>
      <c r="L1259" s="23">
        <v>6.2695923261343999E-3</v>
      </c>
      <c r="M1259" s="23">
        <v>2.5078369304537801E-2</v>
      </c>
      <c r="N1259" s="23">
        <v>2.1943572908639901E-2</v>
      </c>
      <c r="O1259" s="24">
        <v>0.26332288980483998</v>
      </c>
      <c r="P1259" s="24">
        <v>0.250783711671829</v>
      </c>
      <c r="Q1259" s="24">
        <v>0.85579937696456898</v>
      </c>
      <c r="R1259" s="25">
        <v>0</v>
      </c>
      <c r="S1259" s="25">
        <v>6.269592476489028E-3</v>
      </c>
      <c r="T1259" s="25">
        <v>0.2476489028213166</v>
      </c>
    </row>
    <row r="1260" spans="1:20" x14ac:dyDescent="0.25">
      <c r="A1260" s="8" t="s">
        <v>2611</v>
      </c>
      <c r="B1260" s="8" t="s">
        <v>2612</v>
      </c>
      <c r="C1260" s="8" t="s">
        <v>3540</v>
      </c>
      <c r="D1260" s="8">
        <v>248</v>
      </c>
      <c r="E1260" s="24">
        <v>0.451612889766693</v>
      </c>
      <c r="F1260" s="24">
        <v>0.548387110233306</v>
      </c>
      <c r="G1260" s="23">
        <v>0</v>
      </c>
      <c r="H1260" s="24">
        <v>0.16532258689403501</v>
      </c>
      <c r="I1260" s="24">
        <v>0.43951612710952698</v>
      </c>
      <c r="J1260" s="24">
        <v>0.322580635547637</v>
      </c>
      <c r="K1260" s="23">
        <v>0</v>
      </c>
      <c r="L1260" s="23">
        <v>4.0322579443454701E-2</v>
      </c>
      <c r="M1260" s="23">
        <v>3.2258063554763801E-2</v>
      </c>
      <c r="N1260" s="23">
        <v>0</v>
      </c>
      <c r="O1260" s="24">
        <v>0.15322580933570801</v>
      </c>
      <c r="P1260" s="24">
        <v>0.17741934955120001</v>
      </c>
      <c r="Q1260" s="24">
        <v>0.81451612710952703</v>
      </c>
      <c r="R1260" s="25">
        <v>0</v>
      </c>
      <c r="S1260" s="25">
        <v>0</v>
      </c>
      <c r="T1260" s="25">
        <v>0.13306451612903225</v>
      </c>
    </row>
    <row r="1261" spans="1:20" x14ac:dyDescent="0.25">
      <c r="A1261" s="8" t="s">
        <v>2613</v>
      </c>
      <c r="B1261" s="8" t="s">
        <v>2614</v>
      </c>
      <c r="C1261" s="8" t="s">
        <v>3540</v>
      </c>
      <c r="D1261" s="8">
        <v>1178</v>
      </c>
      <c r="E1261" s="24">
        <v>0.45415958762168801</v>
      </c>
      <c r="F1261" s="24">
        <v>0.54499149322509699</v>
      </c>
      <c r="G1261" s="23">
        <v>8.4889645222569995E-4</v>
      </c>
      <c r="H1261" s="23">
        <v>5.4329372942447697E-2</v>
      </c>
      <c r="I1261" s="24">
        <v>0.41426146030425998</v>
      </c>
      <c r="J1261" s="24">
        <v>0.43123939633369401</v>
      </c>
      <c r="K1261" s="23">
        <v>1.52801359072328E-2</v>
      </c>
      <c r="L1261" s="23">
        <v>1.69779285788536E-2</v>
      </c>
      <c r="M1261" s="23">
        <v>6.6213920712470994E-2</v>
      </c>
      <c r="N1261" s="23">
        <v>1.6977929044515001E-3</v>
      </c>
      <c r="O1261" s="24">
        <v>0.151103571057319</v>
      </c>
      <c r="P1261" s="23">
        <v>5.8573853224515901E-2</v>
      </c>
      <c r="Q1261" s="24">
        <v>0.79626482725143399</v>
      </c>
      <c r="R1261" s="25">
        <v>8.4889643463497452E-4</v>
      </c>
      <c r="S1261" s="25">
        <v>1.9524617996604415E-2</v>
      </c>
      <c r="T1261" s="25">
        <v>0.12224108658743633</v>
      </c>
    </row>
    <row r="1262" spans="1:20" x14ac:dyDescent="0.25">
      <c r="A1262" s="8" t="s">
        <v>2615</v>
      </c>
      <c r="B1262" s="8" t="s">
        <v>2616</v>
      </c>
      <c r="C1262" s="8" t="s">
        <v>3540</v>
      </c>
      <c r="D1262" s="8">
        <v>335</v>
      </c>
      <c r="E1262" s="23">
        <v>0.48955222964286799</v>
      </c>
      <c r="F1262" s="24">
        <v>0.51044774055480902</v>
      </c>
      <c r="G1262" s="23">
        <v>0</v>
      </c>
      <c r="H1262" s="24">
        <v>0.13134329020977001</v>
      </c>
      <c r="I1262" s="23">
        <v>3.5820893943309798E-2</v>
      </c>
      <c r="J1262" s="24">
        <v>0.75820893049240101</v>
      </c>
      <c r="K1262" s="23">
        <v>1.1940298601985E-2</v>
      </c>
      <c r="L1262" s="23">
        <v>4.47761192917824E-2</v>
      </c>
      <c r="M1262" s="23">
        <v>1.7910446971654899E-2</v>
      </c>
      <c r="N1262" s="23">
        <v>0</v>
      </c>
      <c r="O1262" s="24">
        <v>0.17014925181865601</v>
      </c>
      <c r="P1262" s="24">
        <v>0.208955228328704</v>
      </c>
      <c r="Q1262" s="24">
        <v>0.87462687492370605</v>
      </c>
      <c r="R1262" s="25">
        <v>4.7761194029850747E-2</v>
      </c>
      <c r="S1262" s="25">
        <v>2.9850746268656717E-3</v>
      </c>
      <c r="T1262" s="25">
        <v>0.1044776119402985</v>
      </c>
    </row>
    <row r="1263" spans="1:20" x14ac:dyDescent="0.25">
      <c r="A1263" s="8" t="s">
        <v>2617</v>
      </c>
      <c r="B1263" s="8" t="s">
        <v>2618</v>
      </c>
      <c r="C1263" s="8" t="s">
        <v>3540</v>
      </c>
      <c r="D1263" s="8">
        <v>282</v>
      </c>
      <c r="E1263" s="23">
        <v>0.45744681358337402</v>
      </c>
      <c r="F1263" s="23">
        <v>0.54255318641662598</v>
      </c>
      <c r="G1263" s="23">
        <v>0</v>
      </c>
      <c r="H1263" s="23">
        <v>1.77304968237877E-2</v>
      </c>
      <c r="I1263" s="24">
        <v>0.35106381773948597</v>
      </c>
      <c r="J1263" s="24">
        <v>0.60638296604156405</v>
      </c>
      <c r="K1263" s="23">
        <v>3.5460991784929999E-3</v>
      </c>
      <c r="L1263" s="23">
        <v>7.0921983569859999E-3</v>
      </c>
      <c r="M1263" s="23">
        <v>1.41843967139721E-2</v>
      </c>
      <c r="N1263" s="23">
        <v>0</v>
      </c>
      <c r="O1263" s="24">
        <v>0.177304968237876</v>
      </c>
      <c r="P1263" s="23">
        <v>8.5106380283832606E-2</v>
      </c>
      <c r="Q1263" s="24">
        <v>0.904255330562591</v>
      </c>
      <c r="R1263" s="25">
        <v>6.0283687943262408E-2</v>
      </c>
      <c r="S1263" s="25">
        <v>3.5460992907801418E-3</v>
      </c>
      <c r="T1263" s="25">
        <v>0.10283687943262411</v>
      </c>
    </row>
    <row r="1264" spans="1:20" x14ac:dyDescent="0.25">
      <c r="A1264" s="8" t="s">
        <v>2619</v>
      </c>
      <c r="B1264" s="8" t="s">
        <v>2620</v>
      </c>
      <c r="C1264" s="8" t="s">
        <v>3540</v>
      </c>
      <c r="D1264" s="8">
        <v>390</v>
      </c>
      <c r="E1264" s="24">
        <v>0.50769233703613204</v>
      </c>
      <c r="F1264" s="24">
        <v>0.49230769276618902</v>
      </c>
      <c r="G1264" s="23">
        <v>0</v>
      </c>
      <c r="H1264" s="24">
        <v>0.238461539149284</v>
      </c>
      <c r="I1264" s="24">
        <v>0.24615384638309401</v>
      </c>
      <c r="J1264" s="24">
        <v>0.23076923191547299</v>
      </c>
      <c r="K1264" s="23">
        <v>1.53846153989434E-2</v>
      </c>
      <c r="L1264" s="24">
        <v>0.25128206610679599</v>
      </c>
      <c r="M1264" s="23">
        <v>1.7948718741536099E-2</v>
      </c>
      <c r="N1264" s="23">
        <v>0</v>
      </c>
      <c r="O1264" s="24">
        <v>0.184615388512611</v>
      </c>
      <c r="P1264" s="23">
        <v>5.1282051950693103E-2</v>
      </c>
      <c r="Q1264" s="24">
        <v>0.76923078298568703</v>
      </c>
      <c r="R1264" s="25">
        <v>6.9230769230769235E-2</v>
      </c>
      <c r="S1264" s="25">
        <v>2.5641025641025641E-3</v>
      </c>
      <c r="T1264" s="25">
        <v>0.11282051282051282</v>
      </c>
    </row>
    <row r="1265" spans="1:20" x14ac:dyDescent="0.25">
      <c r="A1265" s="8" t="s">
        <v>2621</v>
      </c>
      <c r="B1265" s="8" t="s">
        <v>2622</v>
      </c>
      <c r="C1265" s="8" t="s">
        <v>3540</v>
      </c>
      <c r="D1265" s="8">
        <v>507</v>
      </c>
      <c r="E1265" s="24">
        <v>0.431952655315399</v>
      </c>
      <c r="F1265" s="24">
        <v>0.56804734468460005</v>
      </c>
      <c r="G1265" s="23">
        <v>0</v>
      </c>
      <c r="H1265" s="23">
        <v>2.56410259753466E-2</v>
      </c>
      <c r="I1265" s="24">
        <v>0.34516766667366</v>
      </c>
      <c r="J1265" s="24">
        <v>0.59960550069808904</v>
      </c>
      <c r="K1265" s="23">
        <v>1.9723866134881999E-3</v>
      </c>
      <c r="L1265" s="23">
        <v>9.8619330674410005E-3</v>
      </c>
      <c r="M1265" s="23">
        <v>1.77514795213938E-2</v>
      </c>
      <c r="N1265" s="23">
        <v>0</v>
      </c>
      <c r="O1265" s="24">
        <v>0.20512820780277199</v>
      </c>
      <c r="P1265" s="24">
        <v>0.106508873403072</v>
      </c>
      <c r="Q1265" s="24">
        <v>0.84418147802352905</v>
      </c>
      <c r="R1265" s="25">
        <v>0</v>
      </c>
      <c r="S1265" s="25">
        <v>0</v>
      </c>
      <c r="T1265" s="25">
        <v>0.1932938856015779</v>
      </c>
    </row>
    <row r="1266" spans="1:20" x14ac:dyDescent="0.25">
      <c r="A1266" s="8" t="s">
        <v>2623</v>
      </c>
      <c r="B1266" s="8" t="s">
        <v>2624</v>
      </c>
      <c r="C1266" s="8" t="s">
        <v>3540</v>
      </c>
      <c r="D1266" s="8">
        <v>365</v>
      </c>
      <c r="E1266" s="24">
        <v>0.473972588777542</v>
      </c>
      <c r="F1266" s="24">
        <v>0.52602738142013505</v>
      </c>
      <c r="G1266" s="23">
        <v>0</v>
      </c>
      <c r="H1266" s="24">
        <v>0.15616437792778001</v>
      </c>
      <c r="I1266" s="23">
        <v>5.47945201396942E-2</v>
      </c>
      <c r="J1266" s="24">
        <v>0.68767124414443903</v>
      </c>
      <c r="K1266" s="23">
        <v>1.36986300349236E-2</v>
      </c>
      <c r="L1266" s="23">
        <v>3.5616438835859299E-2</v>
      </c>
      <c r="M1266" s="23">
        <v>4.9315068870782901E-2</v>
      </c>
      <c r="N1266" s="23">
        <v>2.7397261001169998E-3</v>
      </c>
      <c r="O1266" s="24">
        <v>0.19726027548313099</v>
      </c>
      <c r="P1266" s="24">
        <v>0.26575341820716802</v>
      </c>
      <c r="Q1266" s="24">
        <v>0.87397259473800604</v>
      </c>
      <c r="R1266" s="25">
        <v>8.7671232876712329E-2</v>
      </c>
      <c r="S1266" s="25">
        <v>0</v>
      </c>
      <c r="T1266" s="25">
        <v>0.11506849315068493</v>
      </c>
    </row>
    <row r="1267" spans="1:20" x14ac:dyDescent="0.25">
      <c r="A1267" s="8" t="s">
        <v>2625</v>
      </c>
      <c r="B1267" s="8" t="s">
        <v>2626</v>
      </c>
      <c r="C1267" s="8" t="s">
        <v>3540</v>
      </c>
      <c r="D1267" s="8">
        <v>610</v>
      </c>
      <c r="E1267" s="24">
        <v>0.45409837365150402</v>
      </c>
      <c r="F1267" s="24">
        <v>0.54590165615081698</v>
      </c>
      <c r="G1267" s="23">
        <v>0</v>
      </c>
      <c r="H1267" s="24">
        <v>0.226229503750801</v>
      </c>
      <c r="I1267" s="23">
        <v>9.5081970095634502E-2</v>
      </c>
      <c r="J1267" s="23">
        <v>0.51967215538024902</v>
      </c>
      <c r="K1267" s="23">
        <v>2.29508187621832E-2</v>
      </c>
      <c r="L1267" s="23">
        <v>3.9344262331724202E-2</v>
      </c>
      <c r="M1267" s="23">
        <v>9.0163931250572205E-2</v>
      </c>
      <c r="N1267" s="23">
        <v>6.5573770552874002E-3</v>
      </c>
      <c r="O1267" s="24">
        <v>0.173770487308502</v>
      </c>
      <c r="P1267" s="23">
        <v>4.4262293726205798E-2</v>
      </c>
      <c r="Q1267" s="24">
        <v>0.81311476230621305</v>
      </c>
      <c r="R1267" s="25">
        <v>0</v>
      </c>
      <c r="S1267" s="25">
        <v>1.8032786885245903E-2</v>
      </c>
      <c r="T1267" s="25">
        <v>0.15245901639344261</v>
      </c>
    </row>
    <row r="1268" spans="1:20" x14ac:dyDescent="0.25">
      <c r="A1268" s="8" t="s">
        <v>2627</v>
      </c>
      <c r="B1268" s="8" t="s">
        <v>2628</v>
      </c>
      <c r="C1268" s="8" t="s">
        <v>3540</v>
      </c>
      <c r="D1268" s="8">
        <v>611</v>
      </c>
      <c r="E1268" s="24">
        <v>0.49263501167297302</v>
      </c>
      <c r="F1268" s="24">
        <v>0.50736498832702603</v>
      </c>
      <c r="G1268" s="23">
        <v>0</v>
      </c>
      <c r="H1268" s="23">
        <v>2.9459901154041301E-2</v>
      </c>
      <c r="I1268" s="24">
        <v>0.35188215970992998</v>
      </c>
      <c r="J1268" s="24">
        <v>0.54500818252563399</v>
      </c>
      <c r="K1268" s="23">
        <v>8.1833060830831996E-3</v>
      </c>
      <c r="L1268" s="23">
        <v>2.1276595070958099E-2</v>
      </c>
      <c r="M1268" s="23">
        <v>3.2733224332332597E-2</v>
      </c>
      <c r="N1268" s="23">
        <v>1.1456628330051901E-2</v>
      </c>
      <c r="O1268" s="24">
        <v>0.20458264648914301</v>
      </c>
      <c r="P1268" s="24">
        <v>0.17021276056766499</v>
      </c>
      <c r="Q1268" s="24">
        <v>0.85106384754180897</v>
      </c>
      <c r="R1268" s="25">
        <v>0</v>
      </c>
      <c r="S1268" s="25">
        <v>0</v>
      </c>
      <c r="T1268" s="25">
        <v>0.19803600654664485</v>
      </c>
    </row>
    <row r="1269" spans="1:20" x14ac:dyDescent="0.25">
      <c r="A1269" s="8" t="s">
        <v>2629</v>
      </c>
      <c r="B1269" s="8" t="s">
        <v>2630</v>
      </c>
      <c r="C1269" s="8" t="s">
        <v>3540</v>
      </c>
      <c r="D1269" s="8">
        <v>436</v>
      </c>
      <c r="E1269" s="24">
        <v>0.44036698341369601</v>
      </c>
      <c r="F1269" s="24">
        <v>0.55963301658630304</v>
      </c>
      <c r="G1269" s="23">
        <v>0</v>
      </c>
      <c r="H1269" s="24">
        <v>0.314220190048217</v>
      </c>
      <c r="I1269" s="24">
        <v>0.266055047512054</v>
      </c>
      <c r="J1269" s="24">
        <v>0.32110092043876598</v>
      </c>
      <c r="K1269" s="23">
        <v>6.8807341158390002E-3</v>
      </c>
      <c r="L1269" s="23">
        <v>7.3394492268562303E-2</v>
      </c>
      <c r="M1269" s="23">
        <v>1.6055045649409301E-2</v>
      </c>
      <c r="N1269" s="23">
        <v>2.2935778833926002E-3</v>
      </c>
      <c r="O1269" s="24">
        <v>0.19036696851253501</v>
      </c>
      <c r="P1269" s="23">
        <v>8.7155960500240298E-2</v>
      </c>
      <c r="Q1269" s="24">
        <v>0.91743117570876997</v>
      </c>
      <c r="R1269" s="25">
        <v>0</v>
      </c>
      <c r="S1269" s="25">
        <v>5.0458715596330278E-2</v>
      </c>
      <c r="T1269" s="25">
        <v>0.13990825688073394</v>
      </c>
    </row>
    <row r="1270" spans="1:20" x14ac:dyDescent="0.25">
      <c r="A1270" s="8" t="s">
        <v>2631</v>
      </c>
      <c r="B1270" s="8" t="s">
        <v>2632</v>
      </c>
      <c r="C1270" s="8" t="s">
        <v>3540</v>
      </c>
      <c r="D1270" s="8">
        <v>376</v>
      </c>
      <c r="E1270" s="24">
        <v>0.50531917810439997</v>
      </c>
      <c r="F1270" s="24">
        <v>0.49468085169792098</v>
      </c>
      <c r="G1270" s="23">
        <v>0</v>
      </c>
      <c r="H1270" s="24">
        <v>0.32180851697921697</v>
      </c>
      <c r="I1270" s="23">
        <v>4.78723421692848E-2</v>
      </c>
      <c r="J1270" s="24">
        <v>0.51595747470855702</v>
      </c>
      <c r="K1270" s="23">
        <v>1.32978726178408E-2</v>
      </c>
      <c r="L1270" s="23">
        <v>4.2553190141916303E-2</v>
      </c>
      <c r="M1270" s="23">
        <v>5.5851064622402198E-2</v>
      </c>
      <c r="N1270" s="23">
        <v>2.6595743838698001E-3</v>
      </c>
      <c r="O1270" s="24">
        <v>0.196808516979217</v>
      </c>
      <c r="P1270" s="23">
        <v>9.3085102736949907E-2</v>
      </c>
      <c r="Q1270" s="24">
        <v>0.81914895772933904</v>
      </c>
      <c r="R1270" s="25">
        <v>5.8510638297872342E-2</v>
      </c>
      <c r="S1270" s="25">
        <v>2.6595744680851063E-3</v>
      </c>
      <c r="T1270" s="25">
        <v>0.13031914893617022</v>
      </c>
    </row>
    <row r="1271" spans="1:20" x14ac:dyDescent="0.25">
      <c r="A1271" s="8" t="s">
        <v>2633</v>
      </c>
      <c r="B1271" s="8" t="s">
        <v>2634</v>
      </c>
      <c r="C1271" s="8" t="s">
        <v>3540</v>
      </c>
      <c r="D1271" s="8">
        <v>436</v>
      </c>
      <c r="E1271" s="24">
        <v>0.48853209614753701</v>
      </c>
      <c r="F1271" s="24">
        <v>0.51146787405014005</v>
      </c>
      <c r="G1271" s="23">
        <v>0</v>
      </c>
      <c r="H1271" s="23">
        <v>4.5871559530496597E-2</v>
      </c>
      <c r="I1271" s="24">
        <v>0.24082568287849401</v>
      </c>
      <c r="J1271" s="24">
        <v>0.46559631824493403</v>
      </c>
      <c r="K1271" s="23">
        <v>4.8165138810872997E-2</v>
      </c>
      <c r="L1271" s="23">
        <v>9.1743115335703E-3</v>
      </c>
      <c r="M1271" s="24">
        <v>0.185779809951782</v>
      </c>
      <c r="N1271" s="23">
        <v>4.5871557667850997E-3</v>
      </c>
      <c r="O1271" s="24">
        <v>0.27522936463356001</v>
      </c>
      <c r="P1271" s="24">
        <v>0.100917428731918</v>
      </c>
      <c r="Q1271" s="24">
        <v>0.69266057014465299</v>
      </c>
      <c r="R1271" s="25">
        <v>6.1926605504587159E-2</v>
      </c>
      <c r="S1271" s="25">
        <v>0</v>
      </c>
      <c r="T1271" s="25">
        <v>0.23165137614678899</v>
      </c>
    </row>
    <row r="1272" spans="1:20" x14ac:dyDescent="0.25">
      <c r="A1272" s="8" t="s">
        <v>2635</v>
      </c>
      <c r="B1272" s="8" t="s">
        <v>2636</v>
      </c>
      <c r="C1272" s="8" t="s">
        <v>3540</v>
      </c>
      <c r="D1272" s="8">
        <v>150</v>
      </c>
      <c r="E1272" s="24">
        <v>0.46000000834464999</v>
      </c>
      <c r="F1272" s="24">
        <v>0.54000002145767201</v>
      </c>
      <c r="G1272" s="23">
        <v>0</v>
      </c>
      <c r="H1272" s="23">
        <v>1.9999999552965199E-2</v>
      </c>
      <c r="I1272" s="23">
        <v>0.5</v>
      </c>
      <c r="J1272" s="24">
        <v>0.40000000596046398</v>
      </c>
      <c r="K1272" s="23">
        <v>1.9999999552965199E-2</v>
      </c>
      <c r="L1272" s="23">
        <v>1.33333336561918E-2</v>
      </c>
      <c r="M1272" s="23">
        <v>4.6666666865348802E-2</v>
      </c>
      <c r="N1272" s="23">
        <v>0</v>
      </c>
      <c r="O1272" s="24">
        <v>0.31333333253860401</v>
      </c>
      <c r="P1272" s="23">
        <v>8.6666665971279103E-2</v>
      </c>
      <c r="Q1272" s="24">
        <v>0.83333331346511796</v>
      </c>
      <c r="R1272" s="25">
        <v>6.6666666666666671E-3</v>
      </c>
      <c r="S1272" s="25">
        <v>0.15333333333333332</v>
      </c>
      <c r="T1272" s="25">
        <v>0.12666666666666668</v>
      </c>
    </row>
    <row r="1273" spans="1:20" x14ac:dyDescent="0.25">
      <c r="A1273" s="8" t="s">
        <v>2637</v>
      </c>
      <c r="B1273" s="8" t="s">
        <v>2638</v>
      </c>
      <c r="C1273" s="8" t="s">
        <v>3540</v>
      </c>
      <c r="D1273" s="8">
        <v>312</v>
      </c>
      <c r="E1273" s="24">
        <v>0.471153855323791</v>
      </c>
      <c r="F1273" s="24">
        <v>0.52884614467620805</v>
      </c>
      <c r="G1273" s="23">
        <v>0</v>
      </c>
      <c r="H1273" s="23">
        <v>1.9230769947171201E-2</v>
      </c>
      <c r="I1273" s="24">
        <v>0.51282054185867298</v>
      </c>
      <c r="J1273" s="24">
        <v>0.43910256028175298</v>
      </c>
      <c r="K1273" s="23">
        <v>1.28205129876733E-2</v>
      </c>
      <c r="L1273" s="23">
        <v>6.4102564938365997E-3</v>
      </c>
      <c r="M1273" s="23">
        <v>9.6153849735856004E-3</v>
      </c>
      <c r="N1273" s="23">
        <v>0</v>
      </c>
      <c r="O1273" s="24">
        <v>0.346153855323791</v>
      </c>
      <c r="P1273" s="24">
        <v>0.14423076808452601</v>
      </c>
      <c r="Q1273" s="24">
        <v>0.92628204822540205</v>
      </c>
      <c r="R1273" s="25">
        <v>1.282051282051282E-2</v>
      </c>
      <c r="S1273" s="25">
        <v>0.14423076923076922</v>
      </c>
      <c r="T1273" s="25">
        <v>0.22435897435897437</v>
      </c>
    </row>
    <row r="1274" spans="1:20" x14ac:dyDescent="0.25">
      <c r="A1274" s="8" t="s">
        <v>2639</v>
      </c>
      <c r="B1274" s="8" t="s">
        <v>2640</v>
      </c>
      <c r="C1274" s="8" t="s">
        <v>3540</v>
      </c>
      <c r="D1274" s="8">
        <v>1183</v>
      </c>
      <c r="E1274" s="24">
        <v>0.51479291915893499</v>
      </c>
      <c r="F1274" s="24">
        <v>0.48520711064338601</v>
      </c>
      <c r="G1274" s="23">
        <v>0</v>
      </c>
      <c r="H1274" s="24">
        <v>0.18765848875045699</v>
      </c>
      <c r="I1274" s="24">
        <v>0.18681319057941401</v>
      </c>
      <c r="J1274" s="24">
        <v>0.27895182371139499</v>
      </c>
      <c r="K1274" s="23">
        <v>2.62045655399561E-2</v>
      </c>
      <c r="L1274" s="23">
        <v>2.45139468461275E-2</v>
      </c>
      <c r="M1274" s="24">
        <v>0.29416736960411</v>
      </c>
      <c r="N1274" s="23">
        <v>1.6906170640141E-3</v>
      </c>
      <c r="O1274" s="24">
        <v>0.16737109422683699</v>
      </c>
      <c r="P1274" s="23">
        <v>8.45308532007E-4</v>
      </c>
      <c r="Q1274" s="24">
        <v>0.51310229301452603</v>
      </c>
      <c r="R1274" s="25">
        <v>1.2679628064243449E-2</v>
      </c>
      <c r="S1274" s="25">
        <v>1.0143702451394759E-2</v>
      </c>
      <c r="T1274" s="25">
        <v>0.14032121724429417</v>
      </c>
    </row>
    <row r="1275" spans="1:20" x14ac:dyDescent="0.25">
      <c r="A1275" s="8" t="s">
        <v>2641</v>
      </c>
      <c r="B1275" s="8" t="s">
        <v>2642</v>
      </c>
      <c r="C1275" s="8" t="s">
        <v>3540</v>
      </c>
      <c r="D1275" s="8">
        <v>233</v>
      </c>
      <c r="E1275" s="24">
        <v>0.40343347191810602</v>
      </c>
      <c r="F1275" s="24">
        <v>0.59656649827957098</v>
      </c>
      <c r="G1275" s="23">
        <v>0</v>
      </c>
      <c r="H1275" s="23">
        <v>2.57510729134083E-2</v>
      </c>
      <c r="I1275" s="24">
        <v>0.47210299968719399</v>
      </c>
      <c r="J1275" s="23">
        <v>0.44635194540023798</v>
      </c>
      <c r="K1275" s="23">
        <v>4.2918454855679997E-3</v>
      </c>
      <c r="L1275" s="23">
        <v>8.5836909711361001E-3</v>
      </c>
      <c r="M1275" s="23">
        <v>4.29184548556805E-2</v>
      </c>
      <c r="N1275" s="23">
        <v>0</v>
      </c>
      <c r="O1275" s="24">
        <v>0.321888417005538</v>
      </c>
      <c r="P1275" s="24">
        <v>0.28326180577278098</v>
      </c>
      <c r="Q1275" s="24">
        <v>0.90987122058868397</v>
      </c>
      <c r="R1275" s="25">
        <v>0</v>
      </c>
      <c r="S1275" s="25">
        <v>0</v>
      </c>
      <c r="T1275" s="25">
        <v>0.3261802575107296</v>
      </c>
    </row>
    <row r="1276" spans="1:20" x14ac:dyDescent="0.25">
      <c r="A1276" s="8" t="s">
        <v>2643</v>
      </c>
      <c r="B1276" s="8" t="s">
        <v>2644</v>
      </c>
      <c r="C1276" s="8" t="s">
        <v>3540</v>
      </c>
      <c r="D1276" s="8">
        <v>308</v>
      </c>
      <c r="E1276" s="24">
        <v>0.46428570151329002</v>
      </c>
      <c r="F1276" s="24">
        <v>0.53571426868438698</v>
      </c>
      <c r="G1276" s="23">
        <v>0</v>
      </c>
      <c r="H1276" s="23">
        <v>1.9480518996715501E-2</v>
      </c>
      <c r="I1276" s="23">
        <v>0.69805192947387695</v>
      </c>
      <c r="J1276" s="24">
        <v>0.24025973677635101</v>
      </c>
      <c r="K1276" s="23">
        <v>1.6233766451478001E-2</v>
      </c>
      <c r="L1276" s="23">
        <v>9.7402594983578006E-3</v>
      </c>
      <c r="M1276" s="23">
        <v>1.6233766451478001E-2</v>
      </c>
      <c r="N1276" s="23">
        <v>0</v>
      </c>
      <c r="O1276" s="24">
        <v>0.272727280855178</v>
      </c>
      <c r="P1276" s="23">
        <v>3.8961037993431098E-2</v>
      </c>
      <c r="Q1276" s="24">
        <v>0.94155842065811102</v>
      </c>
      <c r="R1276" s="25">
        <v>0.12987012987012986</v>
      </c>
      <c r="S1276" s="25">
        <v>6.4935064935064939E-3</v>
      </c>
      <c r="T1276" s="25">
        <v>0.15259740259740259</v>
      </c>
    </row>
    <row r="1277" spans="1:20" x14ac:dyDescent="0.25">
      <c r="A1277" s="8" t="s">
        <v>2645</v>
      </c>
      <c r="B1277" s="8" t="s">
        <v>2646</v>
      </c>
      <c r="C1277" s="8" t="s">
        <v>3540</v>
      </c>
      <c r="D1277" s="8">
        <v>385</v>
      </c>
      <c r="E1277" s="24">
        <v>0.53506493568420399</v>
      </c>
      <c r="F1277" s="24">
        <v>0.46493506431579501</v>
      </c>
      <c r="G1277" s="23">
        <v>0</v>
      </c>
      <c r="H1277" s="24">
        <v>0.30909091234207098</v>
      </c>
      <c r="I1277" s="24">
        <v>0.12727272510528501</v>
      </c>
      <c r="J1277" s="24">
        <v>0.49350649118423401</v>
      </c>
      <c r="K1277" s="23">
        <v>5.1948050968348997E-3</v>
      </c>
      <c r="L1277" s="23">
        <v>2.5974025949835802E-2</v>
      </c>
      <c r="M1277" s="23">
        <v>2.8571428731083901E-2</v>
      </c>
      <c r="N1277" s="23">
        <v>1.0389610193669799E-2</v>
      </c>
      <c r="O1277" s="24">
        <v>0.15844155848026201</v>
      </c>
      <c r="P1277" s="24">
        <v>0.179220780730247</v>
      </c>
      <c r="Q1277" s="24">
        <v>0.78961038589477495</v>
      </c>
      <c r="R1277" s="25">
        <v>0</v>
      </c>
      <c r="S1277" s="25">
        <v>2.5974025974025974E-3</v>
      </c>
      <c r="T1277" s="25">
        <v>0.15064935064935064</v>
      </c>
    </row>
    <row r="1278" spans="1:20" x14ac:dyDescent="0.25">
      <c r="A1278" s="8" t="s">
        <v>2647</v>
      </c>
      <c r="B1278" s="8" t="s">
        <v>2648</v>
      </c>
      <c r="C1278" s="8" t="s">
        <v>3540</v>
      </c>
      <c r="D1278" s="8">
        <v>282</v>
      </c>
      <c r="E1278" s="24">
        <v>0.47517731785774198</v>
      </c>
      <c r="F1278" s="24">
        <v>0.52482271194457997</v>
      </c>
      <c r="G1278" s="23">
        <v>0</v>
      </c>
      <c r="H1278" s="23">
        <v>3.1914893537759802E-2</v>
      </c>
      <c r="I1278" s="24">
        <v>0.51418441534042303</v>
      </c>
      <c r="J1278" s="23">
        <v>0.39007091522216802</v>
      </c>
      <c r="K1278" s="23">
        <v>7.0921983569859999E-3</v>
      </c>
      <c r="L1278" s="23">
        <v>1.77304968237877E-2</v>
      </c>
      <c r="M1278" s="23">
        <v>3.1914893537759802E-2</v>
      </c>
      <c r="N1278" s="23">
        <v>7.0921983569859999E-3</v>
      </c>
      <c r="O1278" s="24">
        <v>0.35106381773948597</v>
      </c>
      <c r="P1278" s="24">
        <v>0.159574463963508</v>
      </c>
      <c r="Q1278" s="23">
        <v>0.84751772880554199</v>
      </c>
      <c r="R1278" s="25">
        <v>8.8652482269503549E-2</v>
      </c>
      <c r="S1278" s="25">
        <v>1.4184397163120567E-2</v>
      </c>
      <c r="T1278" s="25">
        <v>0.27659574468085107</v>
      </c>
    </row>
    <row r="1279" spans="1:20" x14ac:dyDescent="0.25">
      <c r="A1279" s="8" t="s">
        <v>2649</v>
      </c>
      <c r="B1279" s="8" t="s">
        <v>2650</v>
      </c>
      <c r="C1279" s="8" t="s">
        <v>3540</v>
      </c>
      <c r="D1279" s="8">
        <v>488</v>
      </c>
      <c r="E1279" s="24">
        <v>0.49795082211494401</v>
      </c>
      <c r="F1279" s="24">
        <v>0.50204920768737704</v>
      </c>
      <c r="G1279" s="23">
        <v>0</v>
      </c>
      <c r="H1279" s="23">
        <v>1.2295082211494401E-2</v>
      </c>
      <c r="I1279" s="24">
        <v>0.32377049326896601</v>
      </c>
      <c r="J1279" s="24">
        <v>0.63524591922759999</v>
      </c>
      <c r="K1279" s="23">
        <v>1.0245901532471201E-2</v>
      </c>
      <c r="L1279" s="23">
        <v>8.1967208534479002E-3</v>
      </c>
      <c r="M1279" s="23">
        <v>8.1967208534479002E-3</v>
      </c>
      <c r="N1279" s="23">
        <v>2.0491802133620002E-3</v>
      </c>
      <c r="O1279" s="23">
        <v>0.20696721971035001</v>
      </c>
      <c r="P1279" s="24">
        <v>0.274590164422988</v>
      </c>
      <c r="Q1279" s="24">
        <v>0.891393423080444</v>
      </c>
      <c r="R1279" s="25">
        <v>0.10040983606557377</v>
      </c>
      <c r="S1279" s="25">
        <v>0</v>
      </c>
      <c r="T1279" s="25">
        <v>9.6311475409836061E-2</v>
      </c>
    </row>
    <row r="1280" spans="1:20" x14ac:dyDescent="0.25">
      <c r="A1280" s="8" t="s">
        <v>2651</v>
      </c>
      <c r="B1280" s="8" t="s">
        <v>2652</v>
      </c>
      <c r="C1280" s="8" t="s">
        <v>3540</v>
      </c>
      <c r="D1280" s="8">
        <v>506</v>
      </c>
      <c r="E1280" s="24">
        <v>0.52569168806076005</v>
      </c>
      <c r="F1280" s="24">
        <v>0.474308311939239</v>
      </c>
      <c r="G1280" s="23">
        <v>0</v>
      </c>
      <c r="H1280" s="24">
        <v>0.26679840683937001</v>
      </c>
      <c r="I1280" s="23">
        <v>5.3359683603048297E-2</v>
      </c>
      <c r="J1280" s="24">
        <v>0.53952568769454901</v>
      </c>
      <c r="K1280" s="23">
        <v>2.3715414106845901E-2</v>
      </c>
      <c r="L1280" s="23">
        <v>2.56916992366314E-2</v>
      </c>
      <c r="M1280" s="23">
        <v>9.0909093618392903E-2</v>
      </c>
      <c r="N1280" s="23">
        <v>0</v>
      </c>
      <c r="O1280" s="24">
        <v>0.17786560952663399</v>
      </c>
      <c r="P1280" s="24">
        <v>0.12845849990844699</v>
      </c>
      <c r="Q1280" s="24">
        <v>0.72332018613815297</v>
      </c>
      <c r="R1280" s="25">
        <v>6.7193675889328064E-2</v>
      </c>
      <c r="S1280" s="25">
        <v>0</v>
      </c>
      <c r="T1280" s="25">
        <v>0.1067193675889328</v>
      </c>
    </row>
    <row r="1281" spans="1:20" x14ac:dyDescent="0.25">
      <c r="A1281" s="8" t="s">
        <v>2653</v>
      </c>
      <c r="B1281" s="8" t="s">
        <v>2654</v>
      </c>
      <c r="C1281" s="8" t="s">
        <v>3540</v>
      </c>
      <c r="D1281" s="8">
        <v>646</v>
      </c>
      <c r="E1281" s="23">
        <v>0.39318886399269098</v>
      </c>
      <c r="F1281" s="24">
        <v>0.60681116580963101</v>
      </c>
      <c r="G1281" s="23">
        <v>0</v>
      </c>
      <c r="H1281" s="24">
        <v>0.13157895207404999</v>
      </c>
      <c r="I1281" s="24">
        <v>0.50773996114730802</v>
      </c>
      <c r="J1281" s="24">
        <v>0.28482973575592002</v>
      </c>
      <c r="K1281" s="23">
        <v>6.1919502913952004E-3</v>
      </c>
      <c r="L1281" s="23">
        <v>4.7987617552280398E-2</v>
      </c>
      <c r="M1281" s="23">
        <v>1.7027864232659298E-2</v>
      </c>
      <c r="N1281" s="23">
        <v>4.6439627185464001E-3</v>
      </c>
      <c r="O1281" s="24">
        <v>0.20433436334133101</v>
      </c>
      <c r="P1281" s="24">
        <v>0.119195044040679</v>
      </c>
      <c r="Q1281" s="24">
        <v>0.77708977460861195</v>
      </c>
      <c r="R1281" s="25">
        <v>1.5479876160990712E-2</v>
      </c>
      <c r="S1281" s="25">
        <v>0</v>
      </c>
      <c r="T1281" s="25">
        <v>0.18885448916408668</v>
      </c>
    </row>
    <row r="1282" spans="1:20" x14ac:dyDescent="0.25">
      <c r="A1282" s="8" t="s">
        <v>2655</v>
      </c>
      <c r="B1282" s="8" t="s">
        <v>2656</v>
      </c>
      <c r="C1282" s="8" t="s">
        <v>3540</v>
      </c>
      <c r="D1282" s="8">
        <v>1843</v>
      </c>
      <c r="E1282" s="24">
        <v>0.48182311654090798</v>
      </c>
      <c r="F1282" s="24">
        <v>0.51817691326141302</v>
      </c>
      <c r="G1282" s="23">
        <v>0</v>
      </c>
      <c r="H1282" s="24">
        <v>0.275637537240982</v>
      </c>
      <c r="I1282" s="23">
        <v>9.2240914702415494E-2</v>
      </c>
      <c r="J1282" s="24">
        <v>0.54639172554016102</v>
      </c>
      <c r="K1282" s="23">
        <v>6.5111233852804002E-3</v>
      </c>
      <c r="L1282" s="23">
        <v>4.17797081172466E-2</v>
      </c>
      <c r="M1282" s="23">
        <v>2.7129679918289198E-2</v>
      </c>
      <c r="N1282" s="23">
        <v>1.03092780336738E-2</v>
      </c>
      <c r="O1282" s="24">
        <v>0.171459570527076</v>
      </c>
      <c r="P1282" s="24">
        <v>0.227889314293861</v>
      </c>
      <c r="Q1282" s="23">
        <v>0.87140530347824097</v>
      </c>
      <c r="R1282" s="25">
        <v>0</v>
      </c>
      <c r="S1282" s="25">
        <v>5.697232772653283E-2</v>
      </c>
      <c r="T1282" s="25">
        <v>0.1090613130765057</v>
      </c>
    </row>
    <row r="1283" spans="1:20" x14ac:dyDescent="0.25">
      <c r="A1283" s="8" t="s">
        <v>2658</v>
      </c>
      <c r="B1283" s="8" t="s">
        <v>2659</v>
      </c>
      <c r="C1283" s="8" t="s">
        <v>3540</v>
      </c>
      <c r="D1283" s="8">
        <v>2428</v>
      </c>
      <c r="E1283" s="24">
        <v>0.47775948047637901</v>
      </c>
      <c r="F1283" s="24">
        <v>0.52224051952362005</v>
      </c>
      <c r="G1283" s="23">
        <v>0</v>
      </c>
      <c r="H1283" s="24">
        <v>0.27924218773841802</v>
      </c>
      <c r="I1283" s="24">
        <v>0.24588137865066501</v>
      </c>
      <c r="J1283" s="23">
        <v>0.41474464535713201</v>
      </c>
      <c r="K1283" s="23">
        <v>7.0016472600399997E-3</v>
      </c>
      <c r="L1283" s="23">
        <v>2.1004943177104E-2</v>
      </c>
      <c r="M1283" s="23">
        <v>3.21252048015594E-2</v>
      </c>
      <c r="N1283" s="23">
        <v>0</v>
      </c>
      <c r="O1283" s="24">
        <v>0.15980230271816201</v>
      </c>
      <c r="P1283" s="24">
        <v>0.16268533468246399</v>
      </c>
      <c r="Q1283" s="24">
        <v>0.82578253746032704</v>
      </c>
      <c r="R1283" s="25">
        <v>0</v>
      </c>
      <c r="S1283" s="25">
        <v>5.4365733113673806E-2</v>
      </c>
      <c r="T1283" s="25">
        <v>0.10502471169686985</v>
      </c>
    </row>
    <row r="1284" spans="1:20" x14ac:dyDescent="0.25">
      <c r="A1284" s="8" t="s">
        <v>2660</v>
      </c>
      <c r="B1284" s="8" t="s">
        <v>2661</v>
      </c>
      <c r="C1284" s="8" t="s">
        <v>3540</v>
      </c>
      <c r="D1284" s="8">
        <v>1076</v>
      </c>
      <c r="E1284" s="24">
        <v>0.38754647970199502</v>
      </c>
      <c r="F1284" s="24">
        <v>0.61245352029800404</v>
      </c>
      <c r="G1284" s="23">
        <v>0</v>
      </c>
      <c r="H1284" s="24">
        <v>0.35966542363166798</v>
      </c>
      <c r="I1284" s="23">
        <v>8.4572494029998793E-2</v>
      </c>
      <c r="J1284" s="24">
        <v>0.40334573388099598</v>
      </c>
      <c r="K1284" s="23">
        <v>1.3011152856051899E-2</v>
      </c>
      <c r="L1284" s="23">
        <v>5.5762082338333102E-2</v>
      </c>
      <c r="M1284" s="23">
        <v>7.8066915273666396E-2</v>
      </c>
      <c r="N1284" s="23">
        <v>5.5762082338333E-3</v>
      </c>
      <c r="O1284" s="24">
        <v>0.147769510746002</v>
      </c>
      <c r="P1284" s="23">
        <v>1.2081784196198E-2</v>
      </c>
      <c r="Q1284" s="24">
        <v>0.752788126468658</v>
      </c>
      <c r="R1284" s="25">
        <v>0</v>
      </c>
      <c r="S1284" s="25">
        <v>9.2936802973977691E-4</v>
      </c>
      <c r="T1284" s="25">
        <v>0.14776951672862454</v>
      </c>
    </row>
    <row r="1285" spans="1:20" x14ac:dyDescent="0.25">
      <c r="A1285" s="8" t="s">
        <v>2662</v>
      </c>
      <c r="B1285" s="8" t="s">
        <v>2663</v>
      </c>
      <c r="C1285" s="8" t="s">
        <v>3540</v>
      </c>
      <c r="D1285" s="8">
        <v>351</v>
      </c>
      <c r="E1285" s="24">
        <v>0.50997149944305398</v>
      </c>
      <c r="F1285" s="24">
        <v>0.49002850055694502</v>
      </c>
      <c r="G1285" s="23">
        <v>0</v>
      </c>
      <c r="H1285" s="23">
        <v>0.25356125831603998</v>
      </c>
      <c r="I1285" s="24">
        <v>0.33903133869171098</v>
      </c>
      <c r="J1285" s="24">
        <v>0.28490027785301197</v>
      </c>
      <c r="K1285" s="23">
        <v>1.13960113376379E-2</v>
      </c>
      <c r="L1285" s="23">
        <v>9.9715098738670294E-2</v>
      </c>
      <c r="M1285" s="23">
        <v>1.13960113376379E-2</v>
      </c>
      <c r="N1285" s="23">
        <v>0</v>
      </c>
      <c r="O1285" s="24">
        <v>0.173789173364639</v>
      </c>
      <c r="P1285" s="24">
        <v>0.22222222387790599</v>
      </c>
      <c r="Q1285" s="24">
        <v>0.84330487251281705</v>
      </c>
      <c r="R1285" s="25">
        <v>8.8319088319088315E-2</v>
      </c>
      <c r="S1285" s="25">
        <v>5.6980056980056983E-3</v>
      </c>
      <c r="T1285" s="25">
        <v>9.686609686609686E-2</v>
      </c>
    </row>
    <row r="1286" spans="1:20" x14ac:dyDescent="0.25">
      <c r="A1286" s="8" t="s">
        <v>2665</v>
      </c>
      <c r="B1286" s="8" t="s">
        <v>2666</v>
      </c>
      <c r="C1286" s="8" t="s">
        <v>3540</v>
      </c>
      <c r="D1286" s="8">
        <v>396</v>
      </c>
      <c r="E1286" s="24">
        <v>0.52777779102325395</v>
      </c>
      <c r="F1286" s="24">
        <v>0.47222220897674499</v>
      </c>
      <c r="G1286" s="23">
        <v>0</v>
      </c>
      <c r="H1286" s="24">
        <v>0.204545453190803</v>
      </c>
      <c r="I1286" s="24">
        <v>0.34848484396934498</v>
      </c>
      <c r="J1286" s="23">
        <v>0.41161617636680597</v>
      </c>
      <c r="K1286" s="23">
        <v>7.5757578015327003E-3</v>
      </c>
      <c r="L1286" s="23">
        <v>1.7676766961813001E-2</v>
      </c>
      <c r="M1286" s="23">
        <v>1.0101010091602801E-2</v>
      </c>
      <c r="N1286" s="23">
        <v>0</v>
      </c>
      <c r="O1286" s="24">
        <v>0.21212121844291601</v>
      </c>
      <c r="P1286" s="24">
        <v>0.23484848439693401</v>
      </c>
      <c r="Q1286" s="24">
        <v>0.95959597826003995</v>
      </c>
      <c r="R1286" s="25">
        <v>0.11868686868686869</v>
      </c>
      <c r="S1286" s="25">
        <v>2.5252525252525255E-3</v>
      </c>
      <c r="T1286" s="25">
        <v>9.0909090909090912E-2</v>
      </c>
    </row>
    <row r="1287" spans="1:20" x14ac:dyDescent="0.25">
      <c r="A1287" s="8" t="s">
        <v>2667</v>
      </c>
      <c r="B1287" s="8" t="s">
        <v>2668</v>
      </c>
      <c r="C1287" s="8" t="s">
        <v>3540</v>
      </c>
      <c r="D1287" s="8">
        <v>456</v>
      </c>
      <c r="E1287" s="24">
        <v>0.49561402201652499</v>
      </c>
      <c r="F1287" s="24">
        <v>0.50438594818115201</v>
      </c>
      <c r="G1287" s="23">
        <v>0</v>
      </c>
      <c r="H1287" s="24">
        <v>0.34210526943206698</v>
      </c>
      <c r="I1287" s="24">
        <v>0.33771929144859297</v>
      </c>
      <c r="J1287" s="24">
        <v>0.26315790414810097</v>
      </c>
      <c r="K1287" s="23">
        <v>8.7719298899173997E-3</v>
      </c>
      <c r="L1287" s="23">
        <v>3.0701754614710801E-2</v>
      </c>
      <c r="M1287" s="23">
        <v>1.7543859779834699E-2</v>
      </c>
      <c r="N1287" s="23">
        <v>0</v>
      </c>
      <c r="O1287" s="24">
        <v>0.23245614767074499</v>
      </c>
      <c r="P1287" s="24">
        <v>0.175438597798347</v>
      </c>
      <c r="Q1287" s="24">
        <v>0.89692980051040605</v>
      </c>
      <c r="R1287" s="25">
        <v>0.1162280701754386</v>
      </c>
      <c r="S1287" s="25">
        <v>0</v>
      </c>
      <c r="T1287" s="25">
        <v>0.10307017543859649</v>
      </c>
    </row>
    <row r="1288" spans="1:20" x14ac:dyDescent="0.25">
      <c r="A1288" s="8" t="s">
        <v>2669</v>
      </c>
      <c r="B1288" s="8" t="s">
        <v>2670</v>
      </c>
      <c r="C1288" s="8" t="s">
        <v>3540</v>
      </c>
      <c r="D1288" s="8">
        <v>908</v>
      </c>
      <c r="E1288" s="24">
        <v>0.49779736995696999</v>
      </c>
      <c r="F1288" s="24">
        <v>0.50220263004302901</v>
      </c>
      <c r="G1288" s="23">
        <v>0</v>
      </c>
      <c r="H1288" s="24">
        <v>0.21585902571678101</v>
      </c>
      <c r="I1288" s="24">
        <v>0.16519823670387199</v>
      </c>
      <c r="J1288" s="24">
        <v>0.50440526008605902</v>
      </c>
      <c r="K1288" s="23">
        <v>1.21145378798246E-2</v>
      </c>
      <c r="L1288" s="23">
        <v>8.1497795879840906E-2</v>
      </c>
      <c r="M1288" s="23">
        <v>2.0925110206007999E-2</v>
      </c>
      <c r="N1288" s="23">
        <v>0</v>
      </c>
      <c r="O1288" s="24">
        <v>0.188325986266136</v>
      </c>
      <c r="P1288" s="24">
        <v>0.27533039450645402</v>
      </c>
      <c r="Q1288" s="24">
        <v>0.92070484161376898</v>
      </c>
      <c r="R1288" s="25">
        <v>6.3876651982378851E-2</v>
      </c>
      <c r="S1288" s="25">
        <v>0</v>
      </c>
      <c r="T1288" s="25">
        <v>0.11674008810572688</v>
      </c>
    </row>
    <row r="1289" spans="1:20" x14ac:dyDescent="0.25">
      <c r="A1289" s="8" t="s">
        <v>2671</v>
      </c>
      <c r="B1289" s="8" t="s">
        <v>2672</v>
      </c>
      <c r="C1289" s="8" t="s">
        <v>3540</v>
      </c>
      <c r="D1289" s="8">
        <v>462</v>
      </c>
      <c r="E1289" s="24">
        <v>0.48484849929809498</v>
      </c>
      <c r="F1289" s="24">
        <v>0.51515150070190396</v>
      </c>
      <c r="G1289" s="23">
        <v>0</v>
      </c>
      <c r="H1289" s="24">
        <v>0.23160172998905099</v>
      </c>
      <c r="I1289" s="23">
        <v>4.9783550202846499E-2</v>
      </c>
      <c r="J1289" s="24">
        <v>0.61038959026336603</v>
      </c>
      <c r="K1289" s="23">
        <v>1.0822511278092899E-2</v>
      </c>
      <c r="L1289" s="23">
        <v>3.8961037993431098E-2</v>
      </c>
      <c r="M1289" s="23">
        <v>5.4112553596496603E-2</v>
      </c>
      <c r="N1289" s="23">
        <v>4.3290043249726001E-3</v>
      </c>
      <c r="O1289" s="23">
        <v>0.17965367436408999</v>
      </c>
      <c r="P1289" s="24">
        <v>0.34848484396934498</v>
      </c>
      <c r="Q1289" s="24">
        <v>0.90259742736816395</v>
      </c>
      <c r="R1289" s="25">
        <v>6.9264069264069264E-2</v>
      </c>
      <c r="S1289" s="25">
        <v>0</v>
      </c>
      <c r="T1289" s="25">
        <v>0.11904761904761904</v>
      </c>
    </row>
    <row r="1290" spans="1:20" x14ac:dyDescent="0.25">
      <c r="A1290" s="8" t="s">
        <v>2673</v>
      </c>
      <c r="B1290" s="8" t="s">
        <v>2674</v>
      </c>
      <c r="C1290" s="8" t="s">
        <v>3540</v>
      </c>
      <c r="D1290" s="8">
        <v>476</v>
      </c>
      <c r="E1290" s="24">
        <v>0.52310925722122104</v>
      </c>
      <c r="F1290" s="24">
        <v>0.47689074277877802</v>
      </c>
      <c r="G1290" s="23">
        <v>0</v>
      </c>
      <c r="H1290" s="24">
        <v>0.29621848464012102</v>
      </c>
      <c r="I1290" s="23">
        <v>0.10084033757448201</v>
      </c>
      <c r="J1290" s="24">
        <v>0.27521008253097501</v>
      </c>
      <c r="K1290" s="23">
        <v>6.3025210984051002E-3</v>
      </c>
      <c r="L1290" s="24">
        <v>0.30882352590560902</v>
      </c>
      <c r="M1290" s="23">
        <v>1.26050421968102E-2</v>
      </c>
      <c r="N1290" s="23">
        <v>0</v>
      </c>
      <c r="O1290" s="24">
        <v>0.157563030719757</v>
      </c>
      <c r="P1290" s="24">
        <v>0.16806723177433</v>
      </c>
      <c r="Q1290" s="24">
        <v>0.82352942228317205</v>
      </c>
      <c r="R1290" s="25">
        <v>3.9915966386554619E-2</v>
      </c>
      <c r="S1290" s="25">
        <v>2.1008403361344537E-3</v>
      </c>
      <c r="T1290" s="25">
        <v>0.1092436974789916</v>
      </c>
    </row>
    <row r="1291" spans="1:20" x14ac:dyDescent="0.25">
      <c r="A1291" s="8" t="s">
        <v>2675</v>
      </c>
      <c r="B1291" s="8" t="s">
        <v>2676</v>
      </c>
      <c r="C1291" s="8" t="s">
        <v>3540</v>
      </c>
      <c r="D1291" s="8">
        <v>330</v>
      </c>
      <c r="E1291" s="24">
        <v>0.48787879943847601</v>
      </c>
      <c r="F1291" s="24">
        <v>0.51212120056152299</v>
      </c>
      <c r="G1291" s="23">
        <v>0</v>
      </c>
      <c r="H1291" s="23">
        <v>6.9696970283985096E-2</v>
      </c>
      <c r="I1291" s="24">
        <v>0.64545452594757002</v>
      </c>
      <c r="J1291" s="24">
        <v>0.21818181872367801</v>
      </c>
      <c r="K1291" s="23">
        <v>1.21212117373943E-2</v>
      </c>
      <c r="L1291" s="23">
        <v>4.54545468091965E-2</v>
      </c>
      <c r="M1291" s="23">
        <v>9.0909088030456994E-3</v>
      </c>
      <c r="N1291" s="23">
        <v>0</v>
      </c>
      <c r="O1291" s="24">
        <v>0.221212118864059</v>
      </c>
      <c r="P1291" s="23">
        <v>0.14848485589027399</v>
      </c>
      <c r="Q1291" s="24">
        <v>0.86060607433319003</v>
      </c>
      <c r="R1291" s="25">
        <v>9.3939393939393934E-2</v>
      </c>
      <c r="S1291" s="25">
        <v>0</v>
      </c>
      <c r="T1291" s="25">
        <v>0.12121212121212122</v>
      </c>
    </row>
    <row r="1292" spans="1:20" x14ac:dyDescent="0.25">
      <c r="A1292" s="8" t="s">
        <v>2677</v>
      </c>
      <c r="B1292" s="8" t="s">
        <v>2678</v>
      </c>
      <c r="C1292" s="8" t="s">
        <v>3540</v>
      </c>
      <c r="D1292" s="8">
        <v>361</v>
      </c>
      <c r="E1292" s="24">
        <v>0.45152354240417403</v>
      </c>
      <c r="F1292" s="24">
        <v>0.54847645759582497</v>
      </c>
      <c r="G1292" s="23">
        <v>0</v>
      </c>
      <c r="H1292" s="23">
        <v>3.0470913276076299E-2</v>
      </c>
      <c r="I1292" s="24">
        <v>0.72299170494079501</v>
      </c>
      <c r="J1292" s="24">
        <v>0.18559557199478099</v>
      </c>
      <c r="K1292" s="23">
        <v>1.9390581175684901E-2</v>
      </c>
      <c r="L1292" s="23">
        <v>2.7700830250978501E-2</v>
      </c>
      <c r="M1292" s="23">
        <v>1.38504151254892E-2</v>
      </c>
      <c r="N1292" s="23">
        <v>0</v>
      </c>
      <c r="O1292" s="24">
        <v>0.29085871577262801</v>
      </c>
      <c r="P1292" s="23">
        <v>9.1412745416164398E-2</v>
      </c>
      <c r="Q1292" s="23">
        <v>0.88642656803131104</v>
      </c>
      <c r="R1292" s="25">
        <v>0.13573407202216067</v>
      </c>
      <c r="S1292" s="25">
        <v>2.7700831024930748E-3</v>
      </c>
      <c r="T1292" s="25">
        <v>0.1329639889196676</v>
      </c>
    </row>
    <row r="1293" spans="1:20" x14ac:dyDescent="0.25">
      <c r="A1293" s="8" t="s">
        <v>2679</v>
      </c>
      <c r="B1293" s="8" t="s">
        <v>2680</v>
      </c>
      <c r="C1293" s="8" t="s">
        <v>3540</v>
      </c>
      <c r="D1293" s="8">
        <v>674</v>
      </c>
      <c r="E1293" s="24">
        <v>0.44955489039420998</v>
      </c>
      <c r="F1293" s="24">
        <v>0.55044507980346602</v>
      </c>
      <c r="G1293" s="23">
        <v>0</v>
      </c>
      <c r="H1293" s="24">
        <v>0.13501483201980499</v>
      </c>
      <c r="I1293" s="23">
        <v>7.4183978140354198E-2</v>
      </c>
      <c r="J1293" s="24">
        <v>0.73738873004913297</v>
      </c>
      <c r="K1293" s="23">
        <v>4.4510387815534999E-3</v>
      </c>
      <c r="L1293" s="23">
        <v>3.2640948891639703E-2</v>
      </c>
      <c r="M1293" s="23">
        <v>1.63204744458199E-2</v>
      </c>
      <c r="N1293" s="23">
        <v>0</v>
      </c>
      <c r="O1293" s="24">
        <v>0.1602373868227</v>
      </c>
      <c r="P1293" s="23">
        <v>0.46439167857170099</v>
      </c>
      <c r="Q1293" s="24">
        <v>0.88872402906417802</v>
      </c>
      <c r="R1293" s="25">
        <v>8.0118694362017809E-2</v>
      </c>
      <c r="S1293" s="25">
        <v>5.9347181008902079E-3</v>
      </c>
      <c r="T1293" s="25">
        <v>7.5667655786350152E-2</v>
      </c>
    </row>
    <row r="1294" spans="1:20" x14ac:dyDescent="0.25">
      <c r="A1294" s="8" t="s">
        <v>2681</v>
      </c>
      <c r="B1294" s="8" t="s">
        <v>2682</v>
      </c>
      <c r="C1294" s="8" t="s">
        <v>3540</v>
      </c>
      <c r="D1294" s="8">
        <v>681</v>
      </c>
      <c r="E1294" s="24">
        <v>0.51688694953918402</v>
      </c>
      <c r="F1294" s="24">
        <v>0.48311308026313698</v>
      </c>
      <c r="G1294" s="23">
        <v>0</v>
      </c>
      <c r="H1294" s="24">
        <v>0.55653452873229903</v>
      </c>
      <c r="I1294" s="23">
        <v>5.5800292640924502E-2</v>
      </c>
      <c r="J1294" s="24">
        <v>0.346549183130264</v>
      </c>
      <c r="K1294" s="23">
        <v>2.9368575196713001E-3</v>
      </c>
      <c r="L1294" s="23">
        <v>1.76211446523666E-2</v>
      </c>
      <c r="M1294" s="23">
        <v>2.0558003336191202E-2</v>
      </c>
      <c r="N1294" s="23">
        <v>0</v>
      </c>
      <c r="O1294" s="24">
        <v>0.12775330245494801</v>
      </c>
      <c r="P1294" s="24">
        <v>0.32599118351936301</v>
      </c>
      <c r="Q1294" s="24">
        <v>0.85168868303298895</v>
      </c>
      <c r="R1294" s="25">
        <v>3.9647577092511016E-2</v>
      </c>
      <c r="S1294" s="25">
        <v>0</v>
      </c>
      <c r="T1294" s="25">
        <v>8.0763582966226141E-2</v>
      </c>
    </row>
    <row r="1295" spans="1:20" x14ac:dyDescent="0.25">
      <c r="A1295" s="8" t="s">
        <v>2683</v>
      </c>
      <c r="B1295" s="8" t="s">
        <v>2684</v>
      </c>
      <c r="C1295" s="8" t="s">
        <v>3540</v>
      </c>
      <c r="D1295" s="8">
        <v>762</v>
      </c>
      <c r="E1295" s="24">
        <v>0.52493441104888905</v>
      </c>
      <c r="F1295" s="24">
        <v>0.47506561875343301</v>
      </c>
      <c r="G1295" s="23">
        <v>0</v>
      </c>
      <c r="H1295" s="24">
        <v>0.225721791386604</v>
      </c>
      <c r="I1295" s="23">
        <v>6.2992125749587999E-2</v>
      </c>
      <c r="J1295" s="24">
        <v>0.42125985026359503</v>
      </c>
      <c r="K1295" s="23">
        <v>6.2992125749587999E-2</v>
      </c>
      <c r="L1295" s="23">
        <v>1.5748031437397E-2</v>
      </c>
      <c r="M1295" s="24">
        <v>0.20997375249862599</v>
      </c>
      <c r="N1295" s="23">
        <v>1.3123359531164E-3</v>
      </c>
      <c r="O1295" s="24">
        <v>0.22309711575508101</v>
      </c>
      <c r="P1295" s="24">
        <v>0.123359583318233</v>
      </c>
      <c r="Q1295" s="24">
        <v>0.61417323350906305</v>
      </c>
      <c r="R1295" s="25">
        <v>5.774278215223097E-2</v>
      </c>
      <c r="S1295" s="25">
        <v>2.6246719160104987E-3</v>
      </c>
      <c r="T1295" s="25">
        <v>0.16535433070866143</v>
      </c>
    </row>
    <row r="1296" spans="1:20" x14ac:dyDescent="0.25">
      <c r="A1296" s="8" t="s">
        <v>2685</v>
      </c>
      <c r="B1296" s="8" t="s">
        <v>2686</v>
      </c>
      <c r="C1296" s="8" t="s">
        <v>3540</v>
      </c>
      <c r="D1296" s="8">
        <v>607</v>
      </c>
      <c r="E1296" s="24">
        <v>0.50741350650787298</v>
      </c>
      <c r="F1296" s="24">
        <v>0.49258649349212602</v>
      </c>
      <c r="G1296" s="23">
        <v>0</v>
      </c>
      <c r="H1296" s="24">
        <v>0.27347612380981401</v>
      </c>
      <c r="I1296" s="23">
        <v>2.14168038219213E-2</v>
      </c>
      <c r="J1296" s="24">
        <v>0.192751228809356</v>
      </c>
      <c r="K1296" s="23">
        <v>0.14003294706344599</v>
      </c>
      <c r="L1296" s="23">
        <v>0</v>
      </c>
      <c r="M1296" s="24">
        <v>0.372322887182235</v>
      </c>
      <c r="N1296" s="23">
        <v>0</v>
      </c>
      <c r="O1296" s="24">
        <v>0.21416804194450301</v>
      </c>
      <c r="P1296" s="23">
        <v>5.9308070689439801E-2</v>
      </c>
      <c r="Q1296" s="24">
        <v>0.26029655337333601</v>
      </c>
      <c r="R1296" s="25">
        <v>4.118616144975288E-2</v>
      </c>
      <c r="S1296" s="25">
        <v>3.2948929159802307E-3</v>
      </c>
      <c r="T1296" s="25">
        <v>0.16639209225700163</v>
      </c>
    </row>
    <row r="1297" spans="1:20" x14ac:dyDescent="0.25">
      <c r="A1297" s="8" t="s">
        <v>2687</v>
      </c>
      <c r="B1297" s="8" t="s">
        <v>2688</v>
      </c>
      <c r="C1297" s="8" t="s">
        <v>3540</v>
      </c>
      <c r="D1297" s="8">
        <v>764</v>
      </c>
      <c r="E1297" s="23">
        <v>0.50392669439315796</v>
      </c>
      <c r="F1297" s="23">
        <v>0.49607330560684199</v>
      </c>
      <c r="G1297" s="23">
        <v>0</v>
      </c>
      <c r="H1297" s="24">
        <v>0.31937173008918701</v>
      </c>
      <c r="I1297" s="24">
        <v>0.102094240486621</v>
      </c>
      <c r="J1297" s="24">
        <v>0.43979057669639499</v>
      </c>
      <c r="K1297" s="23">
        <v>1.30890049040318E-2</v>
      </c>
      <c r="L1297" s="23">
        <v>1.7015706747770299E-2</v>
      </c>
      <c r="M1297" s="24">
        <v>0.108638741075992</v>
      </c>
      <c r="N1297" s="23">
        <v>0</v>
      </c>
      <c r="O1297" s="24">
        <v>0.16753926873207001</v>
      </c>
      <c r="P1297" s="24">
        <v>0.21989528834819699</v>
      </c>
      <c r="Q1297" s="24">
        <v>0.82198953628539995</v>
      </c>
      <c r="R1297" s="25">
        <v>6.5445026178010471E-2</v>
      </c>
      <c r="S1297" s="25">
        <v>2.617801047120419E-3</v>
      </c>
      <c r="T1297" s="25">
        <v>9.8167539267015713E-2</v>
      </c>
    </row>
    <row r="1298" spans="1:20" x14ac:dyDescent="0.25">
      <c r="A1298" s="8" t="s">
        <v>2689</v>
      </c>
      <c r="B1298" s="8" t="s">
        <v>2690</v>
      </c>
      <c r="C1298" s="8" t="s">
        <v>3540</v>
      </c>
      <c r="D1298" s="8">
        <v>751</v>
      </c>
      <c r="E1298" s="24">
        <v>0.52063912153243996</v>
      </c>
      <c r="F1298" s="24">
        <v>0.47936084866523698</v>
      </c>
      <c r="G1298" s="23">
        <v>0</v>
      </c>
      <c r="H1298" s="24">
        <v>0.46471372246742199</v>
      </c>
      <c r="I1298" s="24">
        <v>0.12916111946105899</v>
      </c>
      <c r="J1298" s="24">
        <v>0.163781628012657</v>
      </c>
      <c r="K1298" s="23">
        <v>2.26364843547344E-2</v>
      </c>
      <c r="L1298" s="24">
        <v>0.20639148354530301</v>
      </c>
      <c r="M1298" s="23">
        <v>1.33155789226294E-2</v>
      </c>
      <c r="N1298" s="23">
        <v>0</v>
      </c>
      <c r="O1298" s="24">
        <v>0.15446071326732599</v>
      </c>
      <c r="P1298" s="23">
        <v>7.3235683143138899E-2</v>
      </c>
      <c r="Q1298" s="24">
        <v>0.75366181135177601</v>
      </c>
      <c r="R1298" s="25">
        <v>6.1251664447403459E-2</v>
      </c>
      <c r="S1298" s="25">
        <v>0</v>
      </c>
      <c r="T1298" s="25">
        <v>7.8561917443408791E-2</v>
      </c>
    </row>
    <row r="1299" spans="1:20" x14ac:dyDescent="0.25">
      <c r="A1299" s="8" t="s">
        <v>2691</v>
      </c>
      <c r="B1299" s="8" t="s">
        <v>2692</v>
      </c>
      <c r="C1299" s="8" t="s">
        <v>3540</v>
      </c>
      <c r="D1299" s="8">
        <v>580</v>
      </c>
      <c r="E1299" s="24">
        <v>0.48275861144065801</v>
      </c>
      <c r="F1299" s="23">
        <v>0.51724135875701904</v>
      </c>
      <c r="G1299" s="23">
        <v>0</v>
      </c>
      <c r="H1299" s="24">
        <v>0.270689666271209</v>
      </c>
      <c r="I1299" s="23">
        <v>4.31034490466118E-2</v>
      </c>
      <c r="J1299" s="24">
        <v>0.31034481525421098</v>
      </c>
      <c r="K1299" s="23">
        <v>1.89655181020498E-2</v>
      </c>
      <c r="L1299" s="23">
        <v>8.6206896230578006E-3</v>
      </c>
      <c r="M1299" s="24">
        <v>0.34482759237289401</v>
      </c>
      <c r="N1299" s="23">
        <v>3.4482758492231E-3</v>
      </c>
      <c r="O1299" s="23">
        <v>0.170689657330513</v>
      </c>
      <c r="P1299" s="24">
        <v>0.25344827771186801</v>
      </c>
      <c r="Q1299" s="24">
        <v>0.71206897497177102</v>
      </c>
      <c r="R1299" s="25">
        <v>6.7241379310344823E-2</v>
      </c>
      <c r="S1299" s="25">
        <v>0</v>
      </c>
      <c r="T1299" s="25">
        <v>9.8275862068965519E-2</v>
      </c>
    </row>
    <row r="1300" spans="1:20" x14ac:dyDescent="0.25">
      <c r="A1300" s="8" t="s">
        <v>2693</v>
      </c>
      <c r="B1300" s="8" t="s">
        <v>2694</v>
      </c>
      <c r="C1300" s="8" t="s">
        <v>3540</v>
      </c>
      <c r="D1300" s="8">
        <v>271</v>
      </c>
      <c r="E1300" s="24">
        <v>0.501845002174377</v>
      </c>
      <c r="F1300" s="24">
        <v>0.4981549680233</v>
      </c>
      <c r="G1300" s="23">
        <v>0</v>
      </c>
      <c r="H1300" s="24">
        <v>0.154981553554534</v>
      </c>
      <c r="I1300" s="24">
        <v>0.52029520273208596</v>
      </c>
      <c r="J1300" s="23">
        <v>0.276752769947052</v>
      </c>
      <c r="K1300" s="23">
        <v>0</v>
      </c>
      <c r="L1300" s="23">
        <v>4.0590405464172398E-2</v>
      </c>
      <c r="M1300" s="23">
        <v>7.38007389009E-3</v>
      </c>
      <c r="N1300" s="23">
        <v>0</v>
      </c>
      <c r="O1300" s="24">
        <v>0.15867158770561199</v>
      </c>
      <c r="P1300" s="23">
        <v>0.16974169015884399</v>
      </c>
      <c r="Q1300" s="24">
        <v>0.89667898416519098</v>
      </c>
      <c r="R1300" s="25">
        <v>5.1660516605166053E-2</v>
      </c>
      <c r="S1300" s="25">
        <v>1.4760147601476014E-2</v>
      </c>
      <c r="T1300" s="25">
        <v>8.4870848708487087E-2</v>
      </c>
    </row>
    <row r="1301" spans="1:20" x14ac:dyDescent="0.25">
      <c r="A1301" s="8" t="s">
        <v>2695</v>
      </c>
      <c r="B1301" s="8" t="s">
        <v>2696</v>
      </c>
      <c r="C1301" s="8" t="s">
        <v>3540</v>
      </c>
      <c r="D1301" s="8">
        <v>766</v>
      </c>
      <c r="E1301" s="24">
        <v>0.50130546092987005</v>
      </c>
      <c r="F1301" s="23">
        <v>0.49869450926780701</v>
      </c>
      <c r="G1301" s="23">
        <v>0</v>
      </c>
      <c r="H1301" s="24">
        <v>0.34073108434677102</v>
      </c>
      <c r="I1301" s="23">
        <v>2.7415143325924901E-2</v>
      </c>
      <c r="J1301" s="24">
        <v>0.227154046297073</v>
      </c>
      <c r="K1301" s="24">
        <v>0.103133156895637</v>
      </c>
      <c r="L1301" s="23">
        <v>3.9164489135146002E-3</v>
      </c>
      <c r="M1301" s="24">
        <v>0.29765012860298101</v>
      </c>
      <c r="N1301" s="23">
        <v>0</v>
      </c>
      <c r="O1301" s="24">
        <v>0.177545696496963</v>
      </c>
      <c r="P1301" s="23">
        <v>5.2219320088625003E-2</v>
      </c>
      <c r="Q1301" s="24">
        <v>0.25326371192932101</v>
      </c>
      <c r="R1301" s="25">
        <v>2.0887728459530026E-2</v>
      </c>
      <c r="S1301" s="25">
        <v>3.9164490861618795E-3</v>
      </c>
      <c r="T1301" s="25">
        <v>0.13707571801566579</v>
      </c>
    </row>
    <row r="1302" spans="1:20" x14ac:dyDescent="0.25">
      <c r="A1302" s="8" t="s">
        <v>2697</v>
      </c>
      <c r="B1302" s="8" t="s">
        <v>2698</v>
      </c>
      <c r="C1302" s="8" t="s">
        <v>3540</v>
      </c>
      <c r="D1302" s="8">
        <v>1631</v>
      </c>
      <c r="E1302" s="24">
        <v>0.50030654668807895</v>
      </c>
      <c r="F1302" s="24">
        <v>0.499080330133438</v>
      </c>
      <c r="G1302" s="23">
        <v>6.1312079196799995E-4</v>
      </c>
      <c r="H1302" s="24">
        <v>0.318822801113128</v>
      </c>
      <c r="I1302" s="23">
        <v>5.0275903195142697E-2</v>
      </c>
      <c r="J1302" s="24">
        <v>0.239730224013328</v>
      </c>
      <c r="K1302" s="23">
        <v>5.5793993175029803E-2</v>
      </c>
      <c r="L1302" s="23">
        <v>3.6787246353924001E-3</v>
      </c>
      <c r="M1302" s="24">
        <v>0.331698358058929</v>
      </c>
      <c r="N1302" s="23">
        <v>0</v>
      </c>
      <c r="O1302" s="24">
        <v>0.14163090288638999</v>
      </c>
      <c r="P1302" s="23">
        <v>9.5646843314170796E-2</v>
      </c>
      <c r="Q1302" s="24">
        <v>0.51011651754379195</v>
      </c>
      <c r="R1302" s="25">
        <v>4.6597179644389947E-2</v>
      </c>
      <c r="S1302" s="25">
        <v>2.452483139178418E-3</v>
      </c>
      <c r="T1302" s="25">
        <v>8.8902513795217658E-2</v>
      </c>
    </row>
    <row r="1303" spans="1:20" x14ac:dyDescent="0.25">
      <c r="A1303" s="8" t="s">
        <v>2699</v>
      </c>
      <c r="B1303" s="8" t="s">
        <v>2700</v>
      </c>
      <c r="C1303" s="8" t="s">
        <v>3540</v>
      </c>
      <c r="D1303" s="8">
        <v>668</v>
      </c>
      <c r="E1303" s="24">
        <v>0.51197606325149503</v>
      </c>
      <c r="F1303" s="23">
        <v>0.48802396655082703</v>
      </c>
      <c r="G1303" s="23">
        <v>0</v>
      </c>
      <c r="H1303" s="24">
        <v>0.226047903299331</v>
      </c>
      <c r="I1303" s="24">
        <v>0.30389222502708402</v>
      </c>
      <c r="J1303" s="23">
        <v>0.33682635426521301</v>
      </c>
      <c r="K1303" s="23">
        <v>2.8443112969398499E-2</v>
      </c>
      <c r="L1303" s="23">
        <v>9.4311378896236406E-2</v>
      </c>
      <c r="M1303" s="23">
        <v>1.04790423065424E-2</v>
      </c>
      <c r="N1303" s="23">
        <v>0</v>
      </c>
      <c r="O1303" s="24">
        <v>0.20658682286739299</v>
      </c>
      <c r="P1303" s="24">
        <v>0.217065870761871</v>
      </c>
      <c r="Q1303" s="24">
        <v>0.85778445005416804</v>
      </c>
      <c r="R1303" s="25">
        <v>9.4311377245508976E-2</v>
      </c>
      <c r="S1303" s="25">
        <v>0</v>
      </c>
      <c r="T1303" s="25">
        <v>0.11976047904191617</v>
      </c>
    </row>
    <row r="1304" spans="1:20" x14ac:dyDescent="0.25">
      <c r="A1304" s="8" t="s">
        <v>2701</v>
      </c>
      <c r="B1304" s="8" t="s">
        <v>2702</v>
      </c>
      <c r="C1304" s="8" t="s">
        <v>3540</v>
      </c>
      <c r="D1304" s="8">
        <v>559</v>
      </c>
      <c r="E1304" s="24">
        <v>0.46153846383094699</v>
      </c>
      <c r="F1304" s="24">
        <v>0.53846156597137396</v>
      </c>
      <c r="G1304" s="23">
        <v>0</v>
      </c>
      <c r="H1304" s="24">
        <v>0.60644006729125899</v>
      </c>
      <c r="I1304" s="23">
        <v>3.39892655611038E-2</v>
      </c>
      <c r="J1304" s="24">
        <v>0.191413238644599</v>
      </c>
      <c r="K1304" s="23">
        <v>1.0733452625572701E-2</v>
      </c>
      <c r="L1304" s="24">
        <v>0.137745976448059</v>
      </c>
      <c r="M1304" s="23">
        <v>1.6100179404020299E-2</v>
      </c>
      <c r="N1304" s="23">
        <v>3.5778174642473E-3</v>
      </c>
      <c r="O1304" s="24">
        <v>0.175313055515289</v>
      </c>
      <c r="P1304" s="24">
        <v>0.17173524200916199</v>
      </c>
      <c r="Q1304" s="24">
        <v>0.83005368709564198</v>
      </c>
      <c r="R1304" s="25">
        <v>6.0822898032200361E-2</v>
      </c>
      <c r="S1304" s="25">
        <v>0</v>
      </c>
      <c r="T1304" s="25">
        <v>0.1073345259391771</v>
      </c>
    </row>
    <row r="1305" spans="1:20" x14ac:dyDescent="0.25">
      <c r="A1305" s="8" t="s">
        <v>2703</v>
      </c>
      <c r="B1305" s="8" t="s">
        <v>2704</v>
      </c>
      <c r="C1305" s="8" t="s">
        <v>3540</v>
      </c>
      <c r="D1305" s="8">
        <v>837</v>
      </c>
      <c r="E1305" s="24">
        <v>0.443249702453613</v>
      </c>
      <c r="F1305" s="24">
        <v>0.55675029754638605</v>
      </c>
      <c r="G1305" s="23">
        <v>0</v>
      </c>
      <c r="H1305" s="24">
        <v>0.21624851226806599</v>
      </c>
      <c r="I1305" s="23">
        <v>8.2437276840210003E-2</v>
      </c>
      <c r="J1305" s="24">
        <v>0.49820789694786</v>
      </c>
      <c r="K1305" s="23">
        <v>3.4647550433874102E-2</v>
      </c>
      <c r="L1305" s="23">
        <v>5.8542411774396903E-2</v>
      </c>
      <c r="M1305" s="24">
        <v>0.10513739287853199</v>
      </c>
      <c r="N1305" s="23">
        <v>4.7789723612368003E-3</v>
      </c>
      <c r="O1305" s="24">
        <v>0.194743126630783</v>
      </c>
      <c r="P1305" s="23">
        <v>5.2568696439266198E-2</v>
      </c>
      <c r="Q1305" s="24">
        <v>0.67622458934783902</v>
      </c>
      <c r="R1305" s="25">
        <v>2.2700119474313024E-2</v>
      </c>
      <c r="S1305" s="25">
        <v>1.1947431302270011E-3</v>
      </c>
      <c r="T1305" s="25">
        <v>0.16367980884109917</v>
      </c>
    </row>
    <row r="1306" spans="1:20" x14ac:dyDescent="0.25">
      <c r="A1306" s="8" t="s">
        <v>2705</v>
      </c>
      <c r="B1306" s="8" t="s">
        <v>2706</v>
      </c>
      <c r="C1306" s="8" t="s">
        <v>3540</v>
      </c>
      <c r="D1306" s="8">
        <v>547</v>
      </c>
      <c r="E1306" s="24">
        <v>0.52650821208953802</v>
      </c>
      <c r="F1306" s="24">
        <v>0.47349178791046098</v>
      </c>
      <c r="G1306" s="23">
        <v>0</v>
      </c>
      <c r="H1306" s="24">
        <v>0.40219378471374501</v>
      </c>
      <c r="I1306" s="23">
        <v>4.0219377726316501E-2</v>
      </c>
      <c r="J1306" s="24">
        <v>0.208409503102302</v>
      </c>
      <c r="K1306" s="23">
        <v>6.7641682922840105E-2</v>
      </c>
      <c r="L1306" s="23">
        <v>9.1407680884004004E-3</v>
      </c>
      <c r="M1306" s="24">
        <v>0.27239489555358798</v>
      </c>
      <c r="N1306" s="23">
        <v>0</v>
      </c>
      <c r="O1306" s="24">
        <v>0.14442412555217701</v>
      </c>
      <c r="P1306" s="24">
        <v>0.109689213335514</v>
      </c>
      <c r="Q1306" s="24">
        <v>0.49177330732345498</v>
      </c>
      <c r="R1306" s="25">
        <v>2.376599634369287E-2</v>
      </c>
      <c r="S1306" s="25">
        <v>0</v>
      </c>
      <c r="T1306" s="25">
        <v>0.12797074954296161</v>
      </c>
    </row>
    <row r="1307" spans="1:20" x14ac:dyDescent="0.25">
      <c r="A1307" s="8" t="s">
        <v>2707</v>
      </c>
      <c r="B1307" s="8" t="s">
        <v>2708</v>
      </c>
      <c r="C1307" s="8" t="s">
        <v>3540</v>
      </c>
      <c r="D1307" s="8">
        <v>713</v>
      </c>
      <c r="E1307" s="24">
        <v>0.45301541686058</v>
      </c>
      <c r="F1307" s="24">
        <v>0.54698455333709695</v>
      </c>
      <c r="G1307" s="23">
        <v>0</v>
      </c>
      <c r="H1307" s="24">
        <v>0.301542788743972</v>
      </c>
      <c r="I1307" s="23">
        <v>1.8232818692922599E-2</v>
      </c>
      <c r="J1307" s="24">
        <v>0.19214586913585599</v>
      </c>
      <c r="K1307" s="23">
        <v>4.9088358879089397E-2</v>
      </c>
      <c r="L1307" s="23">
        <v>1.4025245327501999E-3</v>
      </c>
      <c r="M1307" s="24">
        <v>0.43758764863014199</v>
      </c>
      <c r="N1307" s="23">
        <v>0</v>
      </c>
      <c r="O1307" s="23">
        <v>0.16549789905548101</v>
      </c>
      <c r="P1307" s="24">
        <v>0.18232819437980599</v>
      </c>
      <c r="Q1307" s="24">
        <v>0.62833100557327204</v>
      </c>
      <c r="R1307" s="25">
        <v>0</v>
      </c>
      <c r="S1307" s="25">
        <v>4.3478260869565216E-2</v>
      </c>
      <c r="T1307" s="25">
        <v>0.10378681626928471</v>
      </c>
    </row>
    <row r="1308" spans="1:20" x14ac:dyDescent="0.25">
      <c r="A1308" s="8" t="s">
        <v>2709</v>
      </c>
      <c r="B1308" s="8" t="s">
        <v>2710</v>
      </c>
      <c r="C1308" s="8" t="s">
        <v>3540</v>
      </c>
      <c r="D1308" s="8">
        <v>800</v>
      </c>
      <c r="E1308" s="24">
        <v>0.49875000119209201</v>
      </c>
      <c r="F1308" s="24">
        <v>0.50125002861022905</v>
      </c>
      <c r="G1308" s="23">
        <v>0</v>
      </c>
      <c r="H1308" s="24">
        <v>0.21125000715255701</v>
      </c>
      <c r="I1308" s="24">
        <v>0.12375000119209199</v>
      </c>
      <c r="J1308" s="24">
        <v>0.60750001668929998</v>
      </c>
      <c r="K1308" s="23">
        <v>1.6249999403953601E-2</v>
      </c>
      <c r="L1308" s="23">
        <v>2.9999999329447701E-2</v>
      </c>
      <c r="M1308" s="23">
        <v>1.1250000447034799E-2</v>
      </c>
      <c r="N1308" s="23">
        <v>0</v>
      </c>
      <c r="O1308" s="24">
        <v>0.167500004172325</v>
      </c>
      <c r="P1308" s="24">
        <v>0.48374998569488498</v>
      </c>
      <c r="Q1308" s="24">
        <v>0.94249999523162797</v>
      </c>
      <c r="R1308" s="25">
        <v>2.2499999999999999E-2</v>
      </c>
      <c r="S1308" s="25">
        <v>2.5000000000000001E-3</v>
      </c>
      <c r="T1308" s="25">
        <v>0.13875000000000001</v>
      </c>
    </row>
    <row r="1309" spans="1:20" x14ac:dyDescent="0.25">
      <c r="A1309" s="8" t="s">
        <v>2711</v>
      </c>
      <c r="B1309" s="8" t="s">
        <v>2712</v>
      </c>
      <c r="C1309" s="8" t="s">
        <v>3540</v>
      </c>
      <c r="D1309" s="8">
        <v>932</v>
      </c>
      <c r="E1309" s="23">
        <v>0.495708167552948</v>
      </c>
      <c r="F1309" s="24">
        <v>0.50321888923644997</v>
      </c>
      <c r="G1309" s="23">
        <v>1.0729613713919999E-3</v>
      </c>
      <c r="H1309" s="24">
        <v>0.31866952776908802</v>
      </c>
      <c r="I1309" s="23">
        <v>7.2961375117301899E-2</v>
      </c>
      <c r="J1309" s="24">
        <v>0.33369100093841497</v>
      </c>
      <c r="K1309" s="23">
        <v>4.0772531181573902E-2</v>
      </c>
      <c r="L1309" s="23">
        <v>8.5836909711361001E-3</v>
      </c>
      <c r="M1309" s="24">
        <v>0.22210299968719399</v>
      </c>
      <c r="N1309" s="23">
        <v>3.2188841141759998E-3</v>
      </c>
      <c r="O1309" s="24">
        <v>0.13841201364993999</v>
      </c>
      <c r="P1309" s="24">
        <v>0.163090124726295</v>
      </c>
      <c r="Q1309" s="24">
        <v>0.60193133354187001</v>
      </c>
      <c r="R1309" s="25">
        <v>0</v>
      </c>
      <c r="S1309" s="25">
        <v>3.6480686695278972E-2</v>
      </c>
      <c r="T1309" s="25">
        <v>9.7639484978540775E-2</v>
      </c>
    </row>
    <row r="1310" spans="1:20" x14ac:dyDescent="0.25">
      <c r="A1310" s="8" t="s">
        <v>2713</v>
      </c>
      <c r="B1310" s="8" t="s">
        <v>2714</v>
      </c>
      <c r="C1310" s="8" t="s">
        <v>3540</v>
      </c>
      <c r="D1310" s="8">
        <v>750</v>
      </c>
      <c r="E1310" s="24">
        <v>0.493333339691162</v>
      </c>
      <c r="F1310" s="24">
        <v>0.506666660308837</v>
      </c>
      <c r="G1310" s="23">
        <v>0</v>
      </c>
      <c r="H1310" s="24">
        <v>0.43466666340827897</v>
      </c>
      <c r="I1310" s="23">
        <v>1.60000007599592E-2</v>
      </c>
      <c r="J1310" s="23">
        <v>0.164000004529953</v>
      </c>
      <c r="K1310" s="23">
        <v>9.3333333730697604E-2</v>
      </c>
      <c r="L1310" s="23">
        <v>1.3333333190531E-3</v>
      </c>
      <c r="M1310" s="24">
        <v>0.29066666960716198</v>
      </c>
      <c r="N1310" s="23">
        <v>0</v>
      </c>
      <c r="O1310" s="24">
        <v>0.161333337426185</v>
      </c>
      <c r="P1310" s="23">
        <v>6.6666670143604306E-2</v>
      </c>
      <c r="Q1310" s="24">
        <v>0.21999999880790699</v>
      </c>
      <c r="R1310" s="25">
        <v>2.4E-2</v>
      </c>
      <c r="S1310" s="25">
        <v>0</v>
      </c>
      <c r="T1310" s="25">
        <v>0.13466666666666666</v>
      </c>
    </row>
    <row r="1311" spans="1:20" x14ac:dyDescent="0.25">
      <c r="A1311" s="8" t="s">
        <v>2715</v>
      </c>
      <c r="B1311" s="8" t="s">
        <v>2716</v>
      </c>
      <c r="C1311" s="8" t="s">
        <v>3540</v>
      </c>
      <c r="D1311" s="8">
        <v>522</v>
      </c>
      <c r="E1311" s="24">
        <v>0.48850575089454601</v>
      </c>
      <c r="F1311" s="24">
        <v>0.51149427890777499</v>
      </c>
      <c r="G1311" s="23">
        <v>0</v>
      </c>
      <c r="H1311" s="24">
        <v>0.26628351211547802</v>
      </c>
      <c r="I1311" s="23">
        <v>8.62068980932236E-2</v>
      </c>
      <c r="J1311" s="23">
        <v>0.27011492848396301</v>
      </c>
      <c r="K1311" s="23">
        <v>1.53256701305509E-2</v>
      </c>
      <c r="L1311" s="23">
        <v>9.5785437151789995E-3</v>
      </c>
      <c r="M1311" s="24">
        <v>0.352490425109863</v>
      </c>
      <c r="N1311" s="23">
        <v>0</v>
      </c>
      <c r="O1311" s="24">
        <v>0.174329504370689</v>
      </c>
      <c r="P1311" s="24">
        <v>0.281609207391738</v>
      </c>
      <c r="Q1311" s="24">
        <v>0.83141762018203702</v>
      </c>
      <c r="R1311" s="25">
        <v>9.7701149425287362E-2</v>
      </c>
      <c r="S1311" s="25">
        <v>0</v>
      </c>
      <c r="T1311" s="25">
        <v>8.2375478927203066E-2</v>
      </c>
    </row>
    <row r="1312" spans="1:20" x14ac:dyDescent="0.25">
      <c r="A1312" s="8" t="s">
        <v>2717</v>
      </c>
      <c r="B1312" s="8" t="s">
        <v>2718</v>
      </c>
      <c r="C1312" s="8" t="s">
        <v>3540</v>
      </c>
      <c r="D1312" s="8">
        <v>1273</v>
      </c>
      <c r="E1312" s="24">
        <v>0.45168891549110401</v>
      </c>
      <c r="F1312" s="24">
        <v>0.54831105470657304</v>
      </c>
      <c r="G1312" s="23">
        <v>0</v>
      </c>
      <c r="H1312" s="24">
        <v>0.26001569628715498</v>
      </c>
      <c r="I1312" s="24">
        <v>0.12647290527820501</v>
      </c>
      <c r="J1312" s="23">
        <v>0.52553021907806396</v>
      </c>
      <c r="K1312" s="23">
        <v>1.0997643694281601E-2</v>
      </c>
      <c r="L1312" s="23">
        <v>3.3778477460145999E-2</v>
      </c>
      <c r="M1312" s="23">
        <v>4.2419482022523901E-2</v>
      </c>
      <c r="N1312" s="23">
        <v>7.8554596984760003E-4</v>
      </c>
      <c r="O1312" s="24">
        <v>0.17439119517803101</v>
      </c>
      <c r="P1312" s="24">
        <v>0.26394343376159601</v>
      </c>
      <c r="Q1312" s="24">
        <v>0.87666928768157903</v>
      </c>
      <c r="R1312" s="25">
        <v>5.8915946582875099E-2</v>
      </c>
      <c r="S1312" s="25">
        <v>3.1421838177533388E-3</v>
      </c>
      <c r="T1312" s="25">
        <v>0.11390416339355852</v>
      </c>
    </row>
    <row r="1313" spans="1:20" x14ac:dyDescent="0.25">
      <c r="A1313" s="8" t="s">
        <v>2719</v>
      </c>
      <c r="B1313" s="8" t="s">
        <v>2720</v>
      </c>
      <c r="C1313" s="8" t="s">
        <v>3540</v>
      </c>
      <c r="D1313" s="8">
        <v>617</v>
      </c>
      <c r="E1313" s="24">
        <v>0.49270665645599299</v>
      </c>
      <c r="F1313" s="24">
        <v>0.50729334354400601</v>
      </c>
      <c r="G1313" s="23">
        <v>0</v>
      </c>
      <c r="H1313" s="24">
        <v>0.33063209056854198</v>
      </c>
      <c r="I1313" s="24">
        <v>0.10048622637987099</v>
      </c>
      <c r="J1313" s="24">
        <v>0.291734188795089</v>
      </c>
      <c r="K1313" s="23">
        <v>2.2690437734127E-2</v>
      </c>
      <c r="L1313" s="23">
        <v>1.6207455191760999E-3</v>
      </c>
      <c r="M1313" s="24">
        <v>0.25283631682395902</v>
      </c>
      <c r="N1313" s="23">
        <v>0</v>
      </c>
      <c r="O1313" s="24">
        <v>0.105348460376262</v>
      </c>
      <c r="P1313" s="24">
        <v>0.29821717739105202</v>
      </c>
      <c r="Q1313" s="24">
        <v>0.81361424922943104</v>
      </c>
      <c r="R1313" s="25">
        <v>1.6207455429497568E-3</v>
      </c>
      <c r="S1313" s="25">
        <v>0</v>
      </c>
      <c r="T1313" s="25">
        <v>0.10048622366288493</v>
      </c>
    </row>
    <row r="1314" spans="1:20" x14ac:dyDescent="0.25">
      <c r="A1314" s="8" t="s">
        <v>2721</v>
      </c>
      <c r="B1314" s="8" t="s">
        <v>2722</v>
      </c>
      <c r="C1314" s="8" t="s">
        <v>3540</v>
      </c>
      <c r="D1314" s="8">
        <v>601</v>
      </c>
      <c r="E1314" s="24">
        <v>0.50915139913558904</v>
      </c>
      <c r="F1314" s="23">
        <v>0.49084857106208801</v>
      </c>
      <c r="G1314" s="23">
        <v>0</v>
      </c>
      <c r="H1314" s="24">
        <v>0.28951746225357</v>
      </c>
      <c r="I1314" s="24">
        <v>0.46755406260490401</v>
      </c>
      <c r="J1314" s="24">
        <v>0.11148086190223599</v>
      </c>
      <c r="K1314" s="23">
        <v>9.9833607673645002E-3</v>
      </c>
      <c r="L1314" s="24">
        <v>0.10981696844100899</v>
      </c>
      <c r="M1314" s="23">
        <v>9.9833607673645002E-3</v>
      </c>
      <c r="N1314" s="23">
        <v>1.6638934612274001E-3</v>
      </c>
      <c r="O1314" s="24">
        <v>0.154742091894149</v>
      </c>
      <c r="P1314" s="23">
        <v>1.8302828073501601E-2</v>
      </c>
      <c r="Q1314" s="24">
        <v>0.74376040697097701</v>
      </c>
      <c r="R1314" s="25">
        <v>0</v>
      </c>
      <c r="S1314" s="25">
        <v>0</v>
      </c>
      <c r="T1314" s="25">
        <v>0.1464226289517471</v>
      </c>
    </row>
    <row r="1315" spans="1:20" x14ac:dyDescent="0.25">
      <c r="A1315" s="8" t="s">
        <v>2723</v>
      </c>
      <c r="B1315" s="8" t="s">
        <v>2724</v>
      </c>
      <c r="C1315" s="8" t="s">
        <v>3540</v>
      </c>
      <c r="D1315" s="8">
        <v>281</v>
      </c>
      <c r="E1315" s="24">
        <v>0.473309606313705</v>
      </c>
      <c r="F1315" s="24">
        <v>0.52669036388397195</v>
      </c>
      <c r="G1315" s="23">
        <v>0</v>
      </c>
      <c r="H1315" s="24">
        <v>0.13879004120826699</v>
      </c>
      <c r="I1315" s="24">
        <v>0.35587188601493802</v>
      </c>
      <c r="J1315" s="24">
        <v>0.40569394826888999</v>
      </c>
      <c r="K1315" s="23">
        <v>3.5587188322096998E-3</v>
      </c>
      <c r="L1315" s="23">
        <v>7.4733093380927998E-2</v>
      </c>
      <c r="M1315" s="23">
        <v>2.1352313458919501E-2</v>
      </c>
      <c r="N1315" s="23">
        <v>0</v>
      </c>
      <c r="O1315" s="24">
        <v>0.206405699253082</v>
      </c>
      <c r="P1315" s="24">
        <v>0.27046263217925998</v>
      </c>
      <c r="Q1315" s="24">
        <v>0.88612097501754705</v>
      </c>
      <c r="R1315" s="25">
        <v>0.10320284697508897</v>
      </c>
      <c r="S1315" s="25">
        <v>0</v>
      </c>
      <c r="T1315" s="25">
        <v>0.1103202846975089</v>
      </c>
    </row>
    <row r="1316" spans="1:20" x14ac:dyDescent="0.25">
      <c r="A1316" s="8" t="s">
        <v>2725</v>
      </c>
      <c r="B1316" s="8" t="s">
        <v>2726</v>
      </c>
      <c r="C1316" s="8" t="s">
        <v>3540</v>
      </c>
      <c r="D1316" s="8">
        <v>572</v>
      </c>
      <c r="E1316" s="24">
        <v>0.51223778724670399</v>
      </c>
      <c r="F1316" s="24">
        <v>0.48776224255561801</v>
      </c>
      <c r="G1316" s="23">
        <v>0</v>
      </c>
      <c r="H1316" s="24">
        <v>0.41958042979240401</v>
      </c>
      <c r="I1316" s="23">
        <v>3.6713287234306301E-2</v>
      </c>
      <c r="J1316" s="24">
        <v>0.17482517659664101</v>
      </c>
      <c r="K1316" s="23">
        <v>9.4405591487884494E-2</v>
      </c>
      <c r="L1316" s="23">
        <v>1.7482517287135001E-3</v>
      </c>
      <c r="M1316" s="24">
        <v>0.272727280855178</v>
      </c>
      <c r="N1316" s="23">
        <v>0</v>
      </c>
      <c r="O1316" s="24">
        <v>0.13461539149284299</v>
      </c>
      <c r="P1316" s="23">
        <v>2.4475524201989202E-2</v>
      </c>
      <c r="Q1316" s="24">
        <v>0.23776224255561801</v>
      </c>
      <c r="R1316" s="25">
        <v>0</v>
      </c>
      <c r="S1316" s="25">
        <v>0</v>
      </c>
      <c r="T1316" s="25">
        <v>0.11538461538461539</v>
      </c>
    </row>
    <row r="1317" spans="1:20" x14ac:dyDescent="0.25">
      <c r="A1317" s="8" t="s">
        <v>2727</v>
      </c>
      <c r="B1317" s="8" t="s">
        <v>2728</v>
      </c>
      <c r="C1317" s="8" t="s">
        <v>3540</v>
      </c>
      <c r="D1317" s="8">
        <v>710</v>
      </c>
      <c r="E1317" s="24">
        <v>0.49436619877815202</v>
      </c>
      <c r="F1317" s="24">
        <v>0.50563383102416903</v>
      </c>
      <c r="G1317" s="23">
        <v>0</v>
      </c>
      <c r="H1317" s="24">
        <v>0.24507042765617301</v>
      </c>
      <c r="I1317" s="24">
        <v>0.280281692743301</v>
      </c>
      <c r="J1317" s="24">
        <v>0.349295765161514</v>
      </c>
      <c r="K1317" s="23">
        <v>1.2676056474447301E-2</v>
      </c>
      <c r="L1317" s="23">
        <v>6.0563381761312499E-2</v>
      </c>
      <c r="M1317" s="23">
        <v>2.6760563254356402E-2</v>
      </c>
      <c r="N1317" s="23">
        <v>2.5352112948894501E-2</v>
      </c>
      <c r="O1317" s="24">
        <v>0.13380281627178101</v>
      </c>
      <c r="P1317" s="24">
        <v>0.18450704216957001</v>
      </c>
      <c r="Q1317" s="24">
        <v>0.82535213232040405</v>
      </c>
      <c r="R1317" s="25">
        <v>8.4507042253521118E-3</v>
      </c>
      <c r="S1317" s="25">
        <v>3.0985915492957747E-2</v>
      </c>
      <c r="T1317" s="25">
        <v>8.7323943661971826E-2</v>
      </c>
    </row>
    <row r="1318" spans="1:20" x14ac:dyDescent="0.25">
      <c r="A1318" s="8" t="s">
        <v>2729</v>
      </c>
      <c r="B1318" s="8" t="s">
        <v>2730</v>
      </c>
      <c r="C1318" s="8" t="s">
        <v>3540</v>
      </c>
      <c r="D1318" s="8">
        <v>264</v>
      </c>
      <c r="E1318" s="24">
        <v>0.54166668653488104</v>
      </c>
      <c r="F1318" s="24">
        <v>0.45833334326744002</v>
      </c>
      <c r="G1318" s="23">
        <v>0</v>
      </c>
      <c r="H1318" s="24">
        <v>0.113636367022991</v>
      </c>
      <c r="I1318" s="24">
        <v>0.443181812763214</v>
      </c>
      <c r="J1318" s="24">
        <v>0.38257575035095198</v>
      </c>
      <c r="K1318" s="23">
        <v>1.8939394503831902E-2</v>
      </c>
      <c r="L1318" s="23">
        <v>3.0303031206130999E-2</v>
      </c>
      <c r="M1318" s="23">
        <v>1.1363636702299101E-2</v>
      </c>
      <c r="N1318" s="23">
        <v>0</v>
      </c>
      <c r="O1318" s="23">
        <v>0.21969696879386899</v>
      </c>
      <c r="P1318" s="24">
        <v>0.33712121844291598</v>
      </c>
      <c r="Q1318" s="24">
        <v>0.863636374473571</v>
      </c>
      <c r="R1318" s="25">
        <v>2.2727272727272728E-2</v>
      </c>
      <c r="S1318" s="25">
        <v>8.7121212121212127E-2</v>
      </c>
      <c r="T1318" s="25">
        <v>0.125</v>
      </c>
    </row>
    <row r="1319" spans="1:20" x14ac:dyDescent="0.25">
      <c r="A1319" s="8" t="s">
        <v>2731</v>
      </c>
      <c r="B1319" s="8" t="s">
        <v>2732</v>
      </c>
      <c r="C1319" s="8" t="s">
        <v>3540</v>
      </c>
      <c r="D1319" s="8">
        <v>405</v>
      </c>
      <c r="E1319" s="24">
        <v>0.506172835826873</v>
      </c>
      <c r="F1319" s="24">
        <v>0.493827164173126</v>
      </c>
      <c r="G1319" s="23">
        <v>0</v>
      </c>
      <c r="H1319" s="24">
        <v>0.241975307464599</v>
      </c>
      <c r="I1319" s="24">
        <v>0.30617284774780201</v>
      </c>
      <c r="J1319" s="24">
        <v>0.38024690747260997</v>
      </c>
      <c r="K1319" s="23">
        <v>4.9382718279957997E-3</v>
      </c>
      <c r="L1319" s="23">
        <v>3.9506174623966203E-2</v>
      </c>
      <c r="M1319" s="23">
        <v>1.72839500010014E-2</v>
      </c>
      <c r="N1319" s="23">
        <v>9.8765436559915994E-3</v>
      </c>
      <c r="O1319" s="24">
        <v>0.125925928354263</v>
      </c>
      <c r="P1319" s="24">
        <v>0.237037032842636</v>
      </c>
      <c r="Q1319" s="24">
        <v>0.74567902088165205</v>
      </c>
      <c r="R1319" s="25">
        <v>0</v>
      </c>
      <c r="S1319" s="25">
        <v>2.4691358024691358E-3</v>
      </c>
      <c r="T1319" s="25">
        <v>0.11851851851851852</v>
      </c>
    </row>
    <row r="1320" spans="1:20" x14ac:dyDescent="0.25">
      <c r="A1320" s="8" t="s">
        <v>2733</v>
      </c>
      <c r="B1320" s="8" t="s">
        <v>2734</v>
      </c>
      <c r="C1320" s="8" t="s">
        <v>3540</v>
      </c>
      <c r="D1320" s="8">
        <v>492</v>
      </c>
      <c r="E1320" s="24">
        <v>0.45934960246086098</v>
      </c>
      <c r="F1320" s="24">
        <v>0.54065042734146096</v>
      </c>
      <c r="G1320" s="23">
        <v>0</v>
      </c>
      <c r="H1320" s="23">
        <v>0.28861787915229797</v>
      </c>
      <c r="I1320" s="24">
        <v>0.26219511032104398</v>
      </c>
      <c r="J1320" s="24">
        <v>0.36382114887237499</v>
      </c>
      <c r="K1320" s="23">
        <v>6.0975607484579E-3</v>
      </c>
      <c r="L1320" s="23">
        <v>4.2682927101850503E-2</v>
      </c>
      <c r="M1320" s="23">
        <v>2.8455285355448699E-2</v>
      </c>
      <c r="N1320" s="23">
        <v>8.1300809979439007E-3</v>
      </c>
      <c r="O1320" s="24">
        <v>0.150406509637832</v>
      </c>
      <c r="P1320" s="24">
        <v>0.16056910157203599</v>
      </c>
      <c r="Q1320" s="24">
        <v>0.75203251838684004</v>
      </c>
      <c r="R1320" s="25">
        <v>0</v>
      </c>
      <c r="S1320" s="25">
        <v>0</v>
      </c>
      <c r="T1320" s="25">
        <v>0.14634146341463414</v>
      </c>
    </row>
    <row r="1321" spans="1:20" x14ac:dyDescent="0.25">
      <c r="A1321" s="8" t="s">
        <v>2735</v>
      </c>
      <c r="B1321" s="8" t="s">
        <v>2736</v>
      </c>
      <c r="C1321" s="8" t="s">
        <v>3540</v>
      </c>
      <c r="D1321" s="8">
        <v>276</v>
      </c>
      <c r="E1321" s="23">
        <v>0.45652174949646002</v>
      </c>
      <c r="F1321" s="23">
        <v>0.54347825050354004</v>
      </c>
      <c r="G1321" s="23">
        <v>0</v>
      </c>
      <c r="H1321" s="23">
        <v>9.4202898442745195E-2</v>
      </c>
      <c r="I1321" s="24">
        <v>0.53985506296157804</v>
      </c>
      <c r="J1321" s="23">
        <v>0.27173912525177002</v>
      </c>
      <c r="K1321" s="23">
        <v>1.8115941435098599E-2</v>
      </c>
      <c r="L1321" s="23">
        <v>5.0724636763334302E-2</v>
      </c>
      <c r="M1321" s="23">
        <v>1.4492753893137001E-2</v>
      </c>
      <c r="N1321" s="23">
        <v>1.0869565419852701E-2</v>
      </c>
      <c r="O1321" s="24">
        <v>0.17753623425960499</v>
      </c>
      <c r="P1321" s="24">
        <v>0.16304348409175801</v>
      </c>
      <c r="Q1321" s="24">
        <v>0.84057968854904097</v>
      </c>
      <c r="R1321" s="25">
        <v>0</v>
      </c>
      <c r="S1321" s="25">
        <v>7.2463768115942032E-2</v>
      </c>
      <c r="T1321" s="25">
        <v>9.0579710144927536E-2</v>
      </c>
    </row>
    <row r="1322" spans="1:20" x14ac:dyDescent="0.25">
      <c r="A1322" s="8" t="s">
        <v>2737</v>
      </c>
      <c r="B1322" s="8" t="s">
        <v>2738</v>
      </c>
      <c r="C1322" s="8" t="s">
        <v>3540</v>
      </c>
      <c r="D1322" s="8">
        <v>195</v>
      </c>
      <c r="E1322" s="24">
        <v>0.35384616255760099</v>
      </c>
      <c r="F1322" s="24">
        <v>0.64615386724472001</v>
      </c>
      <c r="G1322" s="23">
        <v>0</v>
      </c>
      <c r="H1322" s="24">
        <v>0.22051282227039301</v>
      </c>
      <c r="I1322" s="24">
        <v>0.261538475751876</v>
      </c>
      <c r="J1322" s="24">
        <v>0.45641025900840698</v>
      </c>
      <c r="K1322" s="23">
        <v>0</v>
      </c>
      <c r="L1322" s="23">
        <v>3.5897437483072302E-2</v>
      </c>
      <c r="M1322" s="23">
        <v>2.56410259753466E-2</v>
      </c>
      <c r="N1322" s="23">
        <v>0</v>
      </c>
      <c r="O1322" s="23">
        <v>4.1025642305612599E-2</v>
      </c>
      <c r="P1322" s="24">
        <v>0.58974361419677701</v>
      </c>
      <c r="Q1322" s="24">
        <v>0.75897437334060602</v>
      </c>
      <c r="R1322" s="25">
        <v>0</v>
      </c>
      <c r="S1322" s="25">
        <v>0</v>
      </c>
      <c r="T1322" s="25">
        <v>2.564102564102564E-2</v>
      </c>
    </row>
    <row r="1323" spans="1:20" x14ac:dyDescent="0.25">
      <c r="A1323" s="8" t="s">
        <v>2739</v>
      </c>
      <c r="B1323" s="8" t="s">
        <v>3545</v>
      </c>
      <c r="C1323" s="8" t="s">
        <v>3540</v>
      </c>
      <c r="D1323" s="8">
        <v>593</v>
      </c>
      <c r="E1323" s="24">
        <v>0.49915683269500699</v>
      </c>
      <c r="F1323" s="24">
        <v>0.50084316730499201</v>
      </c>
      <c r="G1323" s="23">
        <v>0</v>
      </c>
      <c r="H1323" s="24">
        <v>0.416526138782501</v>
      </c>
      <c r="I1323" s="24">
        <v>0.107925802469253</v>
      </c>
      <c r="J1323" s="23">
        <v>0.42327150702476501</v>
      </c>
      <c r="K1323" s="23">
        <v>3.3726813271642E-3</v>
      </c>
      <c r="L1323" s="23">
        <v>3.2040473073720897E-2</v>
      </c>
      <c r="M1323" s="23">
        <v>1.6863405704498301E-2</v>
      </c>
      <c r="N1323" s="23">
        <v>0</v>
      </c>
      <c r="O1323" s="23">
        <v>0.14502529799938199</v>
      </c>
      <c r="P1323" s="24">
        <v>0.23608769476413699</v>
      </c>
      <c r="Q1323" s="24">
        <v>0.895446896553039</v>
      </c>
      <c r="R1323" s="25">
        <v>5.5649241146711638E-2</v>
      </c>
      <c r="S1323" s="25">
        <v>0</v>
      </c>
      <c r="T1323" s="25">
        <v>9.274873524451939E-2</v>
      </c>
    </row>
    <row r="1324" spans="1:20" x14ac:dyDescent="0.25">
      <c r="A1324" s="8" t="s">
        <v>2741</v>
      </c>
      <c r="B1324" s="8" t="s">
        <v>2742</v>
      </c>
      <c r="C1324" s="8" t="s">
        <v>3540</v>
      </c>
      <c r="D1324" s="8">
        <v>525</v>
      </c>
      <c r="E1324" s="24">
        <v>0.51809525489807096</v>
      </c>
      <c r="F1324" s="24">
        <v>0.48190477490425099</v>
      </c>
      <c r="G1324" s="23">
        <v>0</v>
      </c>
      <c r="H1324" s="24">
        <v>0.43809524178504899</v>
      </c>
      <c r="I1324" s="24">
        <v>0.232380956411361</v>
      </c>
      <c r="J1324" s="24">
        <v>0.23047618567943501</v>
      </c>
      <c r="K1324" s="23">
        <v>1.71428564935923E-2</v>
      </c>
      <c r="L1324" s="23">
        <v>5.52380941808224E-2</v>
      </c>
      <c r="M1324" s="23">
        <v>1.5238095074892001E-2</v>
      </c>
      <c r="N1324" s="23">
        <v>1.1428571306169E-2</v>
      </c>
      <c r="O1324" s="24">
        <v>0.11428571492433499</v>
      </c>
      <c r="P1324" s="23">
        <v>0.16380952298641199</v>
      </c>
      <c r="Q1324" s="24">
        <v>0.82476192712783802</v>
      </c>
      <c r="R1324" s="25">
        <v>0</v>
      </c>
      <c r="S1324" s="25">
        <v>3.8095238095238095E-3</v>
      </c>
      <c r="T1324" s="25">
        <v>0.10476190476190476</v>
      </c>
    </row>
    <row r="1325" spans="1:20" x14ac:dyDescent="0.25">
      <c r="A1325" s="8" t="s">
        <v>2743</v>
      </c>
      <c r="B1325" s="8" t="s">
        <v>2744</v>
      </c>
      <c r="C1325" s="8" t="s">
        <v>3540</v>
      </c>
      <c r="D1325" s="8">
        <v>523</v>
      </c>
      <c r="E1325" s="23">
        <v>0.51434034109115601</v>
      </c>
      <c r="F1325" s="23">
        <v>0.48565965890884399</v>
      </c>
      <c r="G1325" s="23">
        <v>0</v>
      </c>
      <c r="H1325" s="23">
        <v>3.2504778355360003E-2</v>
      </c>
      <c r="I1325" s="24">
        <v>0.69980877637863104</v>
      </c>
      <c r="J1325" s="24">
        <v>0.19885277748107899</v>
      </c>
      <c r="K1325" s="23">
        <v>3.2504778355360003E-2</v>
      </c>
      <c r="L1325" s="23">
        <v>1.9120458513498299E-2</v>
      </c>
      <c r="M1325" s="23">
        <v>1.7208412289619401E-2</v>
      </c>
      <c r="N1325" s="23">
        <v>0</v>
      </c>
      <c r="O1325" s="24">
        <v>0.21414913237094799</v>
      </c>
      <c r="P1325" s="23">
        <v>7.4569791555404705E-2</v>
      </c>
      <c r="Q1325" s="24">
        <v>0.81261950731277399</v>
      </c>
      <c r="R1325" s="25">
        <v>7.2657743785850867E-2</v>
      </c>
      <c r="S1325" s="25">
        <v>5.7361376673040155E-3</v>
      </c>
      <c r="T1325" s="25">
        <v>0.11854684512428298</v>
      </c>
    </row>
    <row r="1326" spans="1:20" x14ac:dyDescent="0.25">
      <c r="A1326" s="8" t="s">
        <v>2745</v>
      </c>
      <c r="B1326" s="8" t="s">
        <v>2746</v>
      </c>
      <c r="C1326" s="8" t="s">
        <v>3540</v>
      </c>
      <c r="D1326" s="8">
        <v>345</v>
      </c>
      <c r="E1326" s="23">
        <v>0.46956521272659302</v>
      </c>
      <c r="F1326" s="23">
        <v>0.53043478727340698</v>
      </c>
      <c r="G1326" s="23">
        <v>0</v>
      </c>
      <c r="H1326" s="23">
        <v>0.30434781312942499</v>
      </c>
      <c r="I1326" s="24">
        <v>0.165217384696006</v>
      </c>
      <c r="J1326" s="24">
        <v>0.486956506967544</v>
      </c>
      <c r="K1326" s="23">
        <v>2.8985508251935001E-3</v>
      </c>
      <c r="L1326" s="23">
        <v>2.3188406601548198E-2</v>
      </c>
      <c r="M1326" s="23">
        <v>1.7391303554177302E-2</v>
      </c>
      <c r="N1326" s="23">
        <v>0</v>
      </c>
      <c r="O1326" s="24">
        <v>0.185507252812385</v>
      </c>
      <c r="P1326" s="24">
        <v>0.194202899932861</v>
      </c>
      <c r="Q1326" s="24">
        <v>0.91304349899291903</v>
      </c>
      <c r="R1326" s="25">
        <v>4.9275362318840582E-2</v>
      </c>
      <c r="S1326" s="25">
        <v>5.7971014492753624E-3</v>
      </c>
      <c r="T1326" s="25">
        <v>0.13043478260869565</v>
      </c>
    </row>
    <row r="1327" spans="1:20" x14ac:dyDescent="0.25">
      <c r="A1327" s="8" t="s">
        <v>2747</v>
      </c>
      <c r="B1327" s="8" t="s">
        <v>2748</v>
      </c>
      <c r="C1327" s="8" t="s">
        <v>3540</v>
      </c>
      <c r="D1327" s="8">
        <v>3415</v>
      </c>
      <c r="E1327" s="24">
        <v>0.50043922662734897</v>
      </c>
      <c r="F1327" s="24">
        <v>0.49897509813308699</v>
      </c>
      <c r="G1327" s="23">
        <v>5.8565154904499997E-4</v>
      </c>
      <c r="H1327" s="24">
        <v>0.25563690066337502</v>
      </c>
      <c r="I1327" s="23">
        <v>7.2620794177055401E-2</v>
      </c>
      <c r="J1327" s="24">
        <v>0.40644216537475503</v>
      </c>
      <c r="K1327" s="23">
        <v>1.52269396930933E-2</v>
      </c>
      <c r="L1327" s="23">
        <v>7.3206443339585998E-3</v>
      </c>
      <c r="M1327" s="24">
        <v>0.235431924462318</v>
      </c>
      <c r="N1327" s="23">
        <v>7.3206443339585998E-3</v>
      </c>
      <c r="O1327" s="24">
        <v>0.14436310529708801</v>
      </c>
      <c r="P1327" s="24">
        <v>0.11508052796125399</v>
      </c>
      <c r="Q1327" s="24">
        <v>0.71508049964904696</v>
      </c>
      <c r="R1327" s="25">
        <v>0</v>
      </c>
      <c r="S1327" s="25">
        <v>4.7144948755490482E-2</v>
      </c>
      <c r="T1327" s="25">
        <v>8.9897510980966322E-2</v>
      </c>
    </row>
    <row r="1328" spans="1:20" x14ac:dyDescent="0.25">
      <c r="A1328" s="8" t="s">
        <v>2749</v>
      </c>
      <c r="B1328" s="8" t="s">
        <v>2750</v>
      </c>
      <c r="C1328" s="8" t="s">
        <v>3540</v>
      </c>
      <c r="D1328" s="8">
        <v>2352</v>
      </c>
      <c r="E1328" s="24">
        <v>0.510204076766967</v>
      </c>
      <c r="F1328" s="24">
        <v>0.48894557356834401</v>
      </c>
      <c r="G1328" s="23">
        <v>8.5034011863170005E-4</v>
      </c>
      <c r="H1328" s="24">
        <v>0.27380952239036499</v>
      </c>
      <c r="I1328" s="24">
        <v>0.240646257996559</v>
      </c>
      <c r="J1328" s="24">
        <v>0.39200681447982699</v>
      </c>
      <c r="K1328" s="23">
        <v>4.2517008259892004E-3</v>
      </c>
      <c r="L1328" s="23">
        <v>5.7823128998279599E-2</v>
      </c>
      <c r="M1328" s="23">
        <v>2.9761904850602101E-2</v>
      </c>
      <c r="N1328" s="23">
        <v>1.7006802372634001E-3</v>
      </c>
      <c r="O1328" s="24">
        <v>0.11692176759243</v>
      </c>
      <c r="P1328" s="24">
        <v>0.257653057575225</v>
      </c>
      <c r="Q1328" s="23">
        <v>0.85119044780731201</v>
      </c>
      <c r="R1328" s="25">
        <v>4.6768707482993197E-3</v>
      </c>
      <c r="S1328" s="25">
        <v>3.826530612244898E-2</v>
      </c>
      <c r="T1328" s="25">
        <v>6.5476190476190479E-2</v>
      </c>
    </row>
    <row r="1329" spans="1:20" x14ac:dyDescent="0.25">
      <c r="A1329" s="8" t="s">
        <v>2751</v>
      </c>
      <c r="B1329" s="8" t="s">
        <v>2752</v>
      </c>
      <c r="C1329" s="8" t="s">
        <v>3540</v>
      </c>
      <c r="D1329" s="8">
        <v>2138</v>
      </c>
      <c r="E1329" s="23">
        <v>0.39943873882293701</v>
      </c>
      <c r="F1329" s="23">
        <v>0.60056126117706299</v>
      </c>
      <c r="G1329" s="23">
        <v>0</v>
      </c>
      <c r="H1329" s="24">
        <v>0.47053322196006703</v>
      </c>
      <c r="I1329" s="24">
        <v>0.16697847843170099</v>
      </c>
      <c r="J1329" s="24">
        <v>0.261459320783615</v>
      </c>
      <c r="K1329" s="23">
        <v>1.26286251470447E-2</v>
      </c>
      <c r="L1329" s="23">
        <v>5.2853133529424702E-2</v>
      </c>
      <c r="M1329" s="23">
        <v>3.2273150980472599E-2</v>
      </c>
      <c r="N1329" s="23">
        <v>3.2740880269556999E-3</v>
      </c>
      <c r="O1329" s="24">
        <v>0.15341441333293901</v>
      </c>
      <c r="P1329" s="23">
        <v>2.52572502940893E-2</v>
      </c>
      <c r="Q1329" s="24">
        <v>0.76145929098129195</v>
      </c>
      <c r="R1329" s="25">
        <v>9.3545369504209543E-4</v>
      </c>
      <c r="S1329" s="25">
        <v>5.4724041159962579E-2</v>
      </c>
      <c r="T1329" s="25">
        <v>9.073900841908325E-2</v>
      </c>
    </row>
    <row r="1330" spans="1:20" x14ac:dyDescent="0.25">
      <c r="A1330" s="8" t="s">
        <v>2753</v>
      </c>
      <c r="B1330" s="8" t="s">
        <v>2754</v>
      </c>
      <c r="C1330" s="8" t="s">
        <v>3540</v>
      </c>
      <c r="D1330" s="8">
        <v>679</v>
      </c>
      <c r="E1330" s="24">
        <v>0.52577316761016801</v>
      </c>
      <c r="F1330" s="24">
        <v>0.47422680258750899</v>
      </c>
      <c r="G1330" s="23">
        <v>0</v>
      </c>
      <c r="H1330" s="24">
        <v>0.56995582580566395</v>
      </c>
      <c r="I1330" s="24">
        <v>0.18703976273536599</v>
      </c>
      <c r="J1330" s="24">
        <v>0.145802646875381</v>
      </c>
      <c r="K1330" s="23">
        <v>1.47275403141975E-2</v>
      </c>
      <c r="L1330" s="23">
        <v>6.1855670064687701E-2</v>
      </c>
      <c r="M1330" s="23">
        <v>2.0618556067347499E-2</v>
      </c>
      <c r="N1330" s="23">
        <v>0</v>
      </c>
      <c r="O1330" s="24">
        <v>0.15022091567516299</v>
      </c>
      <c r="P1330" s="23">
        <v>2.20913104712963E-2</v>
      </c>
      <c r="Q1330" s="24">
        <v>0.68483060598373402</v>
      </c>
      <c r="R1330" s="25">
        <v>0</v>
      </c>
      <c r="S1330" s="25">
        <v>2.9455081001472753E-2</v>
      </c>
      <c r="T1330" s="25">
        <v>0.11634756995581738</v>
      </c>
    </row>
    <row r="1331" spans="1:20" x14ac:dyDescent="0.25">
      <c r="A1331" s="8" t="s">
        <v>2755</v>
      </c>
      <c r="B1331" s="8" t="s">
        <v>2756</v>
      </c>
      <c r="C1331" s="8" t="s">
        <v>3540</v>
      </c>
      <c r="D1331" s="8">
        <v>1068</v>
      </c>
      <c r="E1331" s="24">
        <v>0.477528095245361</v>
      </c>
      <c r="F1331" s="24">
        <v>0.52247190475463801</v>
      </c>
      <c r="G1331" s="23">
        <v>0</v>
      </c>
      <c r="H1331" s="24">
        <v>0.105805240571498</v>
      </c>
      <c r="I1331" s="23">
        <v>3.55805233120918E-2</v>
      </c>
      <c r="J1331" s="24">
        <v>0.487827718257904</v>
      </c>
      <c r="K1331" s="23">
        <v>1.4981273561716101E-2</v>
      </c>
      <c r="L1331" s="23">
        <v>8.4269661456346998E-3</v>
      </c>
      <c r="M1331" s="23">
        <v>0.34737828373909002</v>
      </c>
      <c r="N1331" s="23">
        <v>0</v>
      </c>
      <c r="O1331" s="24">
        <v>0.16104869544506001</v>
      </c>
      <c r="P1331" s="23">
        <v>8.0524347722530407E-2</v>
      </c>
      <c r="Q1331" s="24">
        <v>0.66104871034622104</v>
      </c>
      <c r="R1331" s="25">
        <v>9.3632958801498128E-4</v>
      </c>
      <c r="S1331" s="25">
        <v>3.5580524344569285E-2</v>
      </c>
      <c r="T1331" s="25">
        <v>0.11329588014981273</v>
      </c>
    </row>
    <row r="1332" spans="1:20" x14ac:dyDescent="0.25">
      <c r="A1332" s="8" t="s">
        <v>2757</v>
      </c>
      <c r="B1332" s="8" t="s">
        <v>2758</v>
      </c>
      <c r="C1332" s="8" t="s">
        <v>3540</v>
      </c>
      <c r="D1332" s="8">
        <v>494</v>
      </c>
      <c r="E1332" s="24">
        <v>0.40080970525741499</v>
      </c>
      <c r="F1332" s="24">
        <v>0.59919029474258401</v>
      </c>
      <c r="G1332" s="23">
        <v>0</v>
      </c>
      <c r="H1332" s="24">
        <v>0.78947371244430498</v>
      </c>
      <c r="I1332" s="23">
        <v>4.6558704227209098E-2</v>
      </c>
      <c r="J1332" s="23">
        <v>8.50202441215515E-2</v>
      </c>
      <c r="K1332" s="23">
        <v>2.0242914557457001E-2</v>
      </c>
      <c r="L1332" s="23">
        <v>1.4170040376484399E-2</v>
      </c>
      <c r="M1332" s="23">
        <v>4.4534411281347303E-2</v>
      </c>
      <c r="N1332" s="23">
        <v>0</v>
      </c>
      <c r="O1332" s="23">
        <v>1.82186234742403E-2</v>
      </c>
      <c r="P1332" s="23">
        <v>2.024291548878E-3</v>
      </c>
      <c r="Q1332" s="24">
        <v>0.64372467994689897</v>
      </c>
      <c r="R1332" s="25">
        <v>0</v>
      </c>
      <c r="S1332" s="25">
        <v>0</v>
      </c>
      <c r="T1332" s="25">
        <v>1.8218623481781375E-2</v>
      </c>
    </row>
    <row r="1333" spans="1:20" x14ac:dyDescent="0.25">
      <c r="A1333" s="8" t="s">
        <v>2759</v>
      </c>
      <c r="B1333" s="8" t="s">
        <v>2760</v>
      </c>
      <c r="C1333" s="8" t="s">
        <v>3540</v>
      </c>
      <c r="D1333" s="8">
        <v>552</v>
      </c>
      <c r="E1333" s="23">
        <v>0.47826087474822998</v>
      </c>
      <c r="F1333" s="23">
        <v>0.52173912525177002</v>
      </c>
      <c r="G1333" s="23">
        <v>0</v>
      </c>
      <c r="H1333" s="24">
        <v>0.150362312793731</v>
      </c>
      <c r="I1333" s="24">
        <v>0.47644928097724898</v>
      </c>
      <c r="J1333" s="24">
        <v>0.315217405557632</v>
      </c>
      <c r="K1333" s="23">
        <v>1.0869565419852701E-2</v>
      </c>
      <c r="L1333" s="23">
        <v>3.0797101557254802E-2</v>
      </c>
      <c r="M1333" s="23">
        <v>1.26811591908336E-2</v>
      </c>
      <c r="N1333" s="23">
        <v>3.6231884732841999E-3</v>
      </c>
      <c r="O1333" s="24">
        <v>0.23007246851921001</v>
      </c>
      <c r="P1333" s="24">
        <v>0.192028984427452</v>
      </c>
      <c r="Q1333" s="23">
        <v>0.80434781312942505</v>
      </c>
      <c r="R1333" s="25">
        <v>0</v>
      </c>
      <c r="S1333" s="25">
        <v>9.7826086956521743E-2</v>
      </c>
      <c r="T1333" s="25">
        <v>0.11231884057971014</v>
      </c>
    </row>
    <row r="1334" spans="1:20" x14ac:dyDescent="0.25">
      <c r="A1334" s="8" t="s">
        <v>2761</v>
      </c>
      <c r="B1334" s="8" t="s">
        <v>2762</v>
      </c>
      <c r="C1334" s="8" t="s">
        <v>3540</v>
      </c>
      <c r="D1334" s="8">
        <v>546</v>
      </c>
      <c r="E1334" s="23">
        <v>1</v>
      </c>
      <c r="F1334" s="23">
        <v>0</v>
      </c>
      <c r="G1334" s="23">
        <v>0</v>
      </c>
      <c r="H1334" s="24">
        <v>0.45604395866393999</v>
      </c>
      <c r="I1334" s="24">
        <v>0.267399281263351</v>
      </c>
      <c r="J1334" s="24">
        <v>0.21428571641445099</v>
      </c>
      <c r="K1334" s="23">
        <v>9.1575095430017003E-3</v>
      </c>
      <c r="L1334" s="23">
        <v>2.19780225306749E-2</v>
      </c>
      <c r="M1334" s="23">
        <v>2.56410259753466E-2</v>
      </c>
      <c r="N1334" s="23">
        <v>5.4945056326686998E-3</v>
      </c>
      <c r="O1334" s="24">
        <v>0.18315018713474199</v>
      </c>
      <c r="P1334" s="24">
        <v>0.106227107346057</v>
      </c>
      <c r="Q1334" s="24">
        <v>0.80586081743240301</v>
      </c>
      <c r="R1334" s="25">
        <v>1.8315018315018315E-3</v>
      </c>
      <c r="S1334" s="25">
        <v>4.0293040293040296E-2</v>
      </c>
      <c r="T1334" s="25">
        <v>0.12820512820512819</v>
      </c>
    </row>
    <row r="1335" spans="1:20" x14ac:dyDescent="0.25">
      <c r="A1335" s="8" t="s">
        <v>2763</v>
      </c>
      <c r="B1335" s="8" t="s">
        <v>2764</v>
      </c>
      <c r="C1335" s="8" t="s">
        <v>3540</v>
      </c>
      <c r="D1335" s="8">
        <v>300</v>
      </c>
      <c r="E1335" s="24">
        <v>0.479999989271163</v>
      </c>
      <c r="F1335" s="24">
        <v>0.51999998092651301</v>
      </c>
      <c r="G1335" s="23">
        <v>0</v>
      </c>
      <c r="H1335" s="23">
        <v>2.66666673123837E-2</v>
      </c>
      <c r="I1335" s="24">
        <v>0.79333335161209095</v>
      </c>
      <c r="J1335" s="24">
        <v>0.126666665077209</v>
      </c>
      <c r="K1335" s="23">
        <v>2.3333333432674401E-2</v>
      </c>
      <c r="L1335" s="23">
        <v>2.3333333432674401E-2</v>
      </c>
      <c r="M1335" s="23">
        <v>6.6666668280958999E-3</v>
      </c>
      <c r="N1335" s="23">
        <v>0</v>
      </c>
      <c r="O1335" s="24">
        <v>0.30666667222976601</v>
      </c>
      <c r="P1335" s="24">
        <v>0.113333337008953</v>
      </c>
      <c r="Q1335" s="24">
        <v>0.78333336114883401</v>
      </c>
      <c r="R1335" s="25">
        <v>0.14333333333333334</v>
      </c>
      <c r="S1335" s="25">
        <v>0</v>
      </c>
      <c r="T1335" s="25">
        <v>0.15</v>
      </c>
    </row>
    <row r="1336" spans="1:20" x14ac:dyDescent="0.25">
      <c r="A1336" s="8" t="s">
        <v>2765</v>
      </c>
      <c r="B1336" s="8" t="s">
        <v>2766</v>
      </c>
      <c r="C1336" s="8" t="s">
        <v>3540</v>
      </c>
      <c r="D1336" s="8">
        <v>743</v>
      </c>
      <c r="E1336" s="23">
        <v>0.48855990171432501</v>
      </c>
      <c r="F1336" s="23">
        <v>0.51144009828567505</v>
      </c>
      <c r="G1336" s="23">
        <v>0</v>
      </c>
      <c r="H1336" s="24">
        <v>0.48452219367027199</v>
      </c>
      <c r="I1336" s="24">
        <v>0.13728129863739</v>
      </c>
      <c r="J1336" s="24">
        <v>0.263795435428619</v>
      </c>
      <c r="K1336" s="23">
        <v>3.9030954241752597E-2</v>
      </c>
      <c r="L1336" s="23">
        <v>5.6527592241764103E-2</v>
      </c>
      <c r="M1336" s="23">
        <v>1.8842529505491298E-2</v>
      </c>
      <c r="N1336" s="23">
        <v>0</v>
      </c>
      <c r="O1336" s="24">
        <v>0.16285330057144101</v>
      </c>
      <c r="P1336" s="24">
        <v>0.16285330057144101</v>
      </c>
      <c r="Q1336" s="24">
        <v>0.698519527912139</v>
      </c>
      <c r="R1336" s="25">
        <v>5.9219380888290714E-2</v>
      </c>
      <c r="S1336" s="25">
        <v>8.0753701211305519E-3</v>
      </c>
      <c r="T1336" s="25">
        <v>9.2866756393001348E-2</v>
      </c>
    </row>
    <row r="1337" spans="1:20" x14ac:dyDescent="0.25">
      <c r="A1337" s="8" t="s">
        <v>2767</v>
      </c>
      <c r="B1337" s="8" t="s">
        <v>2768</v>
      </c>
      <c r="C1337" s="8" t="s">
        <v>3540</v>
      </c>
      <c r="D1337" s="8">
        <v>442</v>
      </c>
      <c r="E1337" s="24">
        <v>0.509049773216247</v>
      </c>
      <c r="F1337" s="24">
        <v>0.490950226783752</v>
      </c>
      <c r="G1337" s="23">
        <v>0</v>
      </c>
      <c r="H1337" s="23">
        <v>0.20814479887485501</v>
      </c>
      <c r="I1337" s="24">
        <v>0.484162896871566</v>
      </c>
      <c r="J1337" s="24">
        <v>0.22624434530734999</v>
      </c>
      <c r="K1337" s="23">
        <v>1.8099548295140301E-2</v>
      </c>
      <c r="L1337" s="23">
        <v>4.9773756414651898E-2</v>
      </c>
      <c r="M1337" s="23">
        <v>1.35746607556939E-2</v>
      </c>
      <c r="N1337" s="23">
        <v>0</v>
      </c>
      <c r="O1337" s="24">
        <v>0.17873303592205</v>
      </c>
      <c r="P1337" s="24">
        <v>0.18325792253017401</v>
      </c>
      <c r="Q1337" s="24">
        <v>0.83710408210754295</v>
      </c>
      <c r="R1337" s="25">
        <v>8.1447963800904979E-2</v>
      </c>
      <c r="S1337" s="25">
        <v>4.5248868778280547E-3</v>
      </c>
      <c r="T1337" s="25">
        <v>0.10407239819004525</v>
      </c>
    </row>
    <row r="1338" spans="1:20" x14ac:dyDescent="0.25">
      <c r="A1338" s="8" t="s">
        <v>2769</v>
      </c>
      <c r="B1338" s="8" t="s">
        <v>2770</v>
      </c>
      <c r="C1338" s="8" t="s">
        <v>3540</v>
      </c>
      <c r="D1338" s="8">
        <v>642</v>
      </c>
      <c r="E1338" s="24">
        <v>0.51090341806411699</v>
      </c>
      <c r="F1338" s="24">
        <v>0.48909658193588201</v>
      </c>
      <c r="G1338" s="23">
        <v>0</v>
      </c>
      <c r="H1338" s="24">
        <v>0.36760124564170799</v>
      </c>
      <c r="I1338" s="24">
        <v>0.27881619334220797</v>
      </c>
      <c r="J1338" s="23">
        <v>0.257009357213974</v>
      </c>
      <c r="K1338" s="23">
        <v>1.5576324425637699E-2</v>
      </c>
      <c r="L1338" s="23">
        <v>6.5420560538768796E-2</v>
      </c>
      <c r="M1338" s="23">
        <v>1.5576324425637699E-2</v>
      </c>
      <c r="N1338" s="23">
        <v>0</v>
      </c>
      <c r="O1338" s="24">
        <v>0.18224298954009999</v>
      </c>
      <c r="P1338" s="24">
        <v>0.20560747385024999</v>
      </c>
      <c r="Q1338" s="24">
        <v>0.81931465864181496</v>
      </c>
      <c r="R1338" s="25">
        <v>8.2554517133956382E-2</v>
      </c>
      <c r="S1338" s="25">
        <v>1.557632398753894E-3</v>
      </c>
      <c r="T1338" s="25">
        <v>9.0342679127725853E-2</v>
      </c>
    </row>
    <row r="1339" spans="1:20" x14ac:dyDescent="0.25">
      <c r="A1339" s="8" t="s">
        <v>2771</v>
      </c>
      <c r="B1339" s="8" t="s">
        <v>2772</v>
      </c>
      <c r="C1339" s="8" t="s">
        <v>3540</v>
      </c>
      <c r="D1339" s="8">
        <v>280</v>
      </c>
      <c r="E1339" s="24">
        <v>0.403571426868438</v>
      </c>
      <c r="F1339" s="24">
        <v>0.59642857313156095</v>
      </c>
      <c r="G1339" s="23">
        <v>0</v>
      </c>
      <c r="H1339" s="23">
        <v>9.2857144773006398E-2</v>
      </c>
      <c r="I1339" s="24">
        <v>0.65714287757873502</v>
      </c>
      <c r="J1339" s="24">
        <v>0.17142857611179299</v>
      </c>
      <c r="K1339" s="23">
        <v>1.07142860069871E-2</v>
      </c>
      <c r="L1339" s="23">
        <v>3.5714287310838699E-2</v>
      </c>
      <c r="M1339" s="23">
        <v>3.2142858952283901E-2</v>
      </c>
      <c r="N1339" s="23">
        <v>0</v>
      </c>
      <c r="O1339" s="24">
        <v>0.23928570747375399</v>
      </c>
      <c r="P1339" s="24">
        <v>0.11071428656578</v>
      </c>
      <c r="Q1339" s="24">
        <v>0.85357141494750899</v>
      </c>
      <c r="R1339" s="25">
        <v>0.10714285714285714</v>
      </c>
      <c r="S1339" s="25">
        <v>0</v>
      </c>
      <c r="T1339" s="25">
        <v>0.14642857142857144</v>
      </c>
    </row>
    <row r="1340" spans="1:20" x14ac:dyDescent="0.25">
      <c r="A1340" s="8" t="s">
        <v>2773</v>
      </c>
      <c r="B1340" s="8" t="s">
        <v>2774</v>
      </c>
      <c r="C1340" s="8" t="s">
        <v>3540</v>
      </c>
      <c r="D1340" s="8">
        <v>291</v>
      </c>
      <c r="E1340" s="24">
        <v>0.49140894412994301</v>
      </c>
      <c r="F1340" s="24">
        <v>0.50859105587005604</v>
      </c>
      <c r="G1340" s="23">
        <v>0</v>
      </c>
      <c r="H1340" s="23">
        <v>2.0618556067347499E-2</v>
      </c>
      <c r="I1340" s="24">
        <v>0.76288658380508401</v>
      </c>
      <c r="J1340" s="24">
        <v>0.151202753186225</v>
      </c>
      <c r="K1340" s="23">
        <v>1.71821303665638E-2</v>
      </c>
      <c r="L1340" s="23">
        <v>2.74914093315601E-2</v>
      </c>
      <c r="M1340" s="23">
        <v>2.0618556067347499E-2</v>
      </c>
      <c r="N1340" s="23">
        <v>0</v>
      </c>
      <c r="O1340" s="24">
        <v>0.23711340129375399</v>
      </c>
      <c r="P1340" s="23">
        <v>9.9656358361244202E-2</v>
      </c>
      <c r="Q1340" s="24">
        <v>0.79037803411483698</v>
      </c>
      <c r="R1340" s="25">
        <v>0.10652920962199312</v>
      </c>
      <c r="S1340" s="25">
        <v>0</v>
      </c>
      <c r="T1340" s="25">
        <v>0.13745704467353953</v>
      </c>
    </row>
    <row r="1341" spans="1:20" x14ac:dyDescent="0.25">
      <c r="A1341" s="8" t="s">
        <v>2775</v>
      </c>
      <c r="B1341" s="8" t="s">
        <v>2776</v>
      </c>
      <c r="C1341" s="8" t="s">
        <v>3540</v>
      </c>
      <c r="D1341" s="8">
        <v>223</v>
      </c>
      <c r="E1341" s="24">
        <v>0.44843047857284501</v>
      </c>
      <c r="F1341" s="24">
        <v>0.55156952142715399</v>
      </c>
      <c r="G1341" s="23">
        <v>0</v>
      </c>
      <c r="H1341" s="23">
        <v>6.2780268490314498E-2</v>
      </c>
      <c r="I1341" s="24">
        <v>0.74887889623641901</v>
      </c>
      <c r="J1341" s="23">
        <v>0.125560536980629</v>
      </c>
      <c r="K1341" s="23">
        <v>3.5874441266059903E-2</v>
      </c>
      <c r="L1341" s="23">
        <v>1.79372206330299E-2</v>
      </c>
      <c r="M1341" s="23">
        <v>8.9686103165150001E-3</v>
      </c>
      <c r="N1341" s="23">
        <v>0</v>
      </c>
      <c r="O1341" s="24">
        <v>0.23318386077880801</v>
      </c>
      <c r="P1341" s="23">
        <v>6.7264571785926805E-2</v>
      </c>
      <c r="Q1341" s="24">
        <v>0.65919280052185003</v>
      </c>
      <c r="R1341" s="25">
        <v>9.417040358744394E-2</v>
      </c>
      <c r="S1341" s="25">
        <v>4.4843049327354259E-3</v>
      </c>
      <c r="T1341" s="25">
        <v>0.16143497757847533</v>
      </c>
    </row>
    <row r="1342" spans="1:20" x14ac:dyDescent="0.25">
      <c r="A1342" s="8" t="s">
        <v>2777</v>
      </c>
      <c r="B1342" s="8" t="s">
        <v>2778</v>
      </c>
      <c r="C1342" s="8" t="s">
        <v>3540</v>
      </c>
      <c r="D1342" s="8">
        <v>280</v>
      </c>
      <c r="E1342" s="24">
        <v>0.51428574323654097</v>
      </c>
      <c r="F1342" s="24">
        <v>0.48571428656577997</v>
      </c>
      <c r="G1342" s="23">
        <v>0</v>
      </c>
      <c r="H1342" s="23">
        <v>4.28571440279484E-2</v>
      </c>
      <c r="I1342" s="24">
        <v>0.51071429252624501</v>
      </c>
      <c r="J1342" s="24">
        <v>0.36428570747375399</v>
      </c>
      <c r="K1342" s="23">
        <v>1.42857143655419E-2</v>
      </c>
      <c r="L1342" s="23">
        <v>2.8571428731083901E-2</v>
      </c>
      <c r="M1342" s="23">
        <v>3.9285715669393498E-2</v>
      </c>
      <c r="N1342" s="23">
        <v>0</v>
      </c>
      <c r="O1342" s="24">
        <v>0.23928570747375399</v>
      </c>
      <c r="P1342" s="24">
        <v>0.26428571343421903</v>
      </c>
      <c r="Q1342" s="24">
        <v>0.942857146263122</v>
      </c>
      <c r="R1342" s="25">
        <v>0.13214285714285715</v>
      </c>
      <c r="S1342" s="25">
        <v>0</v>
      </c>
      <c r="T1342" s="25">
        <v>9.6428571428571433E-2</v>
      </c>
    </row>
    <row r="1343" spans="1:20" x14ac:dyDescent="0.25">
      <c r="A1343" s="8" t="s">
        <v>2780</v>
      </c>
      <c r="B1343" s="8" t="s">
        <v>2781</v>
      </c>
      <c r="C1343" s="8" t="s">
        <v>3540</v>
      </c>
      <c r="D1343" s="8">
        <v>407</v>
      </c>
      <c r="E1343" s="24">
        <v>0.48402947187423701</v>
      </c>
      <c r="F1343" s="24">
        <v>0.51597052812576205</v>
      </c>
      <c r="G1343" s="23">
        <v>0</v>
      </c>
      <c r="H1343" s="23">
        <v>3.6855038255453103E-2</v>
      </c>
      <c r="I1343" s="23">
        <v>0.76412779092788696</v>
      </c>
      <c r="J1343" s="24">
        <v>0.14250613749027199</v>
      </c>
      <c r="K1343" s="23">
        <v>1.2285011820495099E-2</v>
      </c>
      <c r="L1343" s="23">
        <v>3.6855038255453103E-2</v>
      </c>
      <c r="M1343" s="23">
        <v>7.3710074648261001E-3</v>
      </c>
      <c r="N1343" s="23">
        <v>0</v>
      </c>
      <c r="O1343" s="24">
        <v>0.18918919563293399</v>
      </c>
      <c r="P1343" s="23">
        <v>8.8452085852623E-2</v>
      </c>
      <c r="Q1343" s="24">
        <v>0.707616686820983</v>
      </c>
      <c r="R1343" s="25">
        <v>8.3538083538083535E-2</v>
      </c>
      <c r="S1343" s="25">
        <v>0</v>
      </c>
      <c r="T1343" s="25">
        <v>0.12039312039312039</v>
      </c>
    </row>
    <row r="1344" spans="1:20" x14ac:dyDescent="0.25">
      <c r="A1344" s="8" t="s">
        <v>2782</v>
      </c>
      <c r="B1344" s="8" t="s">
        <v>2783</v>
      </c>
      <c r="C1344" s="8" t="s">
        <v>3540</v>
      </c>
      <c r="D1344" s="8">
        <v>1112</v>
      </c>
      <c r="E1344" s="23">
        <v>0.5</v>
      </c>
      <c r="F1344" s="23">
        <v>0.5</v>
      </c>
      <c r="G1344" s="23">
        <v>0</v>
      </c>
      <c r="H1344" s="24">
        <v>0.42446044087409901</v>
      </c>
      <c r="I1344" s="23">
        <v>8.0935254693031297E-2</v>
      </c>
      <c r="J1344" s="24">
        <v>0.41726619005203203</v>
      </c>
      <c r="K1344" s="23">
        <v>1.2589927762746801E-2</v>
      </c>
      <c r="L1344" s="23">
        <v>5.7553958147764199E-2</v>
      </c>
      <c r="M1344" s="23">
        <v>7.1942447684704997E-3</v>
      </c>
      <c r="N1344" s="23">
        <v>0</v>
      </c>
      <c r="O1344" s="24">
        <v>0.126798555254936</v>
      </c>
      <c r="P1344" s="24">
        <v>0.321942448616027</v>
      </c>
      <c r="Q1344" s="23">
        <v>0.81025177240371704</v>
      </c>
      <c r="R1344" s="25">
        <v>3.5971223021582732E-2</v>
      </c>
      <c r="S1344" s="25">
        <v>0</v>
      </c>
      <c r="T1344" s="25">
        <v>9.6223021582733811E-2</v>
      </c>
    </row>
    <row r="1345" spans="1:20" x14ac:dyDescent="0.25">
      <c r="A1345" s="8" t="s">
        <v>2784</v>
      </c>
      <c r="B1345" s="8" t="s">
        <v>2785</v>
      </c>
      <c r="C1345" s="8" t="s">
        <v>3540</v>
      </c>
      <c r="D1345" s="8">
        <v>889</v>
      </c>
      <c r="E1345" s="23">
        <v>0.49043869972228998</v>
      </c>
      <c r="F1345" s="23">
        <v>0.50956130027770996</v>
      </c>
      <c r="G1345" s="23">
        <v>0</v>
      </c>
      <c r="H1345" s="24">
        <v>0.349831283092498</v>
      </c>
      <c r="I1345" s="24">
        <v>0.27559053897857599</v>
      </c>
      <c r="J1345" s="24">
        <v>0.24409449100494299</v>
      </c>
      <c r="K1345" s="23">
        <v>1.46231716498733E-2</v>
      </c>
      <c r="L1345" s="23">
        <v>8.8863894343376201E-2</v>
      </c>
      <c r="M1345" s="23">
        <v>2.5871766731143001E-2</v>
      </c>
      <c r="N1345" s="23">
        <v>1.1248594382778001E-3</v>
      </c>
      <c r="O1345" s="24">
        <v>0.17772778868675199</v>
      </c>
      <c r="P1345" s="24">
        <v>0.16647918522357899</v>
      </c>
      <c r="Q1345" s="24">
        <v>0.771653532981872</v>
      </c>
      <c r="R1345" s="25">
        <v>5.3993250843644543E-2</v>
      </c>
      <c r="S1345" s="25">
        <v>3.3745781777277839E-3</v>
      </c>
      <c r="T1345" s="25">
        <v>0.1203599550056243</v>
      </c>
    </row>
    <row r="1346" spans="1:20" x14ac:dyDescent="0.25">
      <c r="A1346" s="8" t="s">
        <v>2786</v>
      </c>
      <c r="B1346" s="8" t="s">
        <v>2787</v>
      </c>
      <c r="C1346" s="8" t="s">
        <v>3540</v>
      </c>
      <c r="D1346" s="8">
        <v>816</v>
      </c>
      <c r="E1346" s="24">
        <v>0.48774510622024497</v>
      </c>
      <c r="F1346" s="24">
        <v>0.51225489377975397</v>
      </c>
      <c r="G1346" s="23">
        <v>0</v>
      </c>
      <c r="H1346" s="24">
        <v>0.175245091319084</v>
      </c>
      <c r="I1346" s="24">
        <v>0.36519607901573098</v>
      </c>
      <c r="J1346" s="24">
        <v>0.40931373834609902</v>
      </c>
      <c r="K1346" s="23">
        <v>4.9019609577953998E-3</v>
      </c>
      <c r="L1346" s="23">
        <v>3.7990197539329501E-2</v>
      </c>
      <c r="M1346" s="23">
        <v>7.3529412038624E-3</v>
      </c>
      <c r="N1346" s="23">
        <v>0</v>
      </c>
      <c r="O1346" s="24">
        <v>0.20588235557079301</v>
      </c>
      <c r="P1346" s="23">
        <v>0.25</v>
      </c>
      <c r="Q1346" s="24">
        <v>0.82843136787414495</v>
      </c>
      <c r="R1346" s="25">
        <v>8.8235294117647065E-2</v>
      </c>
      <c r="S1346" s="25">
        <v>2.4509803921568627E-3</v>
      </c>
      <c r="T1346" s="25">
        <v>0.10049019607843138</v>
      </c>
    </row>
    <row r="1347" spans="1:20" x14ac:dyDescent="0.25">
      <c r="A1347" s="8" t="s">
        <v>2788</v>
      </c>
      <c r="B1347" s="8" t="s">
        <v>2789</v>
      </c>
      <c r="C1347" s="8" t="s">
        <v>3540</v>
      </c>
      <c r="D1347" s="8">
        <v>414</v>
      </c>
      <c r="E1347" s="24">
        <v>0.53864735364913896</v>
      </c>
      <c r="F1347" s="24">
        <v>0.46135264635085999</v>
      </c>
      <c r="G1347" s="23">
        <v>0</v>
      </c>
      <c r="H1347" s="24">
        <v>0.21980676054954501</v>
      </c>
      <c r="I1347" s="24">
        <v>0.54830920696258501</v>
      </c>
      <c r="J1347" s="24">
        <v>0.18840579688549</v>
      </c>
      <c r="K1347" s="23">
        <v>4.8309178091586E-3</v>
      </c>
      <c r="L1347" s="23">
        <v>3.8647342473268502E-2</v>
      </c>
      <c r="M1347" s="23">
        <v>0</v>
      </c>
      <c r="N1347" s="23">
        <v>0</v>
      </c>
      <c r="O1347" s="24">
        <v>0.193236708641052</v>
      </c>
      <c r="P1347" s="24">
        <v>0.118357487022876</v>
      </c>
      <c r="Q1347" s="24">
        <v>0.77777779102325395</v>
      </c>
      <c r="R1347" s="25">
        <v>8.4541062801932368E-2</v>
      </c>
      <c r="S1347" s="25">
        <v>0</v>
      </c>
      <c r="T1347" s="25">
        <v>9.1787439613526575E-2</v>
      </c>
    </row>
    <row r="1348" spans="1:20" x14ac:dyDescent="0.25">
      <c r="A1348" s="8" t="s">
        <v>2790</v>
      </c>
      <c r="B1348" s="8" t="s">
        <v>2791</v>
      </c>
      <c r="C1348" s="8" t="s">
        <v>3540</v>
      </c>
      <c r="D1348" s="8">
        <v>763</v>
      </c>
      <c r="E1348" s="24">
        <v>0.46920052170753401</v>
      </c>
      <c r="F1348" s="24">
        <v>0.53079944849014205</v>
      </c>
      <c r="G1348" s="23">
        <v>0</v>
      </c>
      <c r="H1348" s="24">
        <v>0.75622540712356501</v>
      </c>
      <c r="I1348" s="23">
        <v>4.9803406000137301E-2</v>
      </c>
      <c r="J1348" s="24">
        <v>0.13499344885349199</v>
      </c>
      <c r="K1348" s="23">
        <v>1.17955440655351E-2</v>
      </c>
      <c r="L1348" s="23">
        <v>1.70380081981421E-2</v>
      </c>
      <c r="M1348" s="23">
        <v>3.0144168063998202E-2</v>
      </c>
      <c r="N1348" s="23">
        <v>0</v>
      </c>
      <c r="O1348" s="24">
        <v>0.187418088316917</v>
      </c>
      <c r="P1348" s="24">
        <v>0.187418088316917</v>
      </c>
      <c r="Q1348" s="24">
        <v>0.88073396682739202</v>
      </c>
      <c r="R1348" s="25">
        <v>6.5530799475753604E-2</v>
      </c>
      <c r="S1348" s="25">
        <v>0</v>
      </c>
      <c r="T1348" s="25">
        <v>0.12450851900393185</v>
      </c>
    </row>
    <row r="1349" spans="1:20" x14ac:dyDescent="0.25">
      <c r="A1349" s="8" t="s">
        <v>2792</v>
      </c>
      <c r="B1349" s="8" t="s">
        <v>2793</v>
      </c>
      <c r="C1349" s="8" t="s">
        <v>3540</v>
      </c>
      <c r="D1349" s="8">
        <v>293</v>
      </c>
      <c r="E1349" s="24">
        <v>0.48805460333824102</v>
      </c>
      <c r="F1349" s="23">
        <v>0.51194536685943604</v>
      </c>
      <c r="G1349" s="23">
        <v>0</v>
      </c>
      <c r="H1349" s="23">
        <v>2.0477816462516799E-2</v>
      </c>
      <c r="I1349" s="24">
        <v>0.77133107185363703</v>
      </c>
      <c r="J1349" s="24">
        <v>0.133105799555778</v>
      </c>
      <c r="K1349" s="23">
        <v>1.0238908231258399E-2</v>
      </c>
      <c r="L1349" s="23">
        <v>5.46075068414211E-2</v>
      </c>
      <c r="M1349" s="23">
        <v>1.0238908231258399E-2</v>
      </c>
      <c r="N1349" s="23">
        <v>0</v>
      </c>
      <c r="O1349" s="24">
        <v>0.25255972146987898</v>
      </c>
      <c r="P1349" s="23">
        <v>5.1194537431001698E-2</v>
      </c>
      <c r="Q1349" s="24">
        <v>0.70989763736724798</v>
      </c>
      <c r="R1349" s="25">
        <v>9.8976109215017066E-2</v>
      </c>
      <c r="S1349" s="25">
        <v>0</v>
      </c>
      <c r="T1349" s="25">
        <v>0.15358361774744028</v>
      </c>
    </row>
    <row r="1350" spans="1:20" x14ac:dyDescent="0.25">
      <c r="A1350" s="8" t="s">
        <v>2794</v>
      </c>
      <c r="B1350" s="8" t="s">
        <v>2795</v>
      </c>
      <c r="C1350" s="8" t="s">
        <v>3540</v>
      </c>
      <c r="D1350" s="8">
        <v>325</v>
      </c>
      <c r="E1350" s="24">
        <v>0.51692306995391801</v>
      </c>
      <c r="F1350" s="24">
        <v>0.48307693004608099</v>
      </c>
      <c r="G1350" s="23">
        <v>0</v>
      </c>
      <c r="H1350" s="24">
        <v>0.227692306041717</v>
      </c>
      <c r="I1350" s="24">
        <v>0.44923076033592202</v>
      </c>
      <c r="J1350" s="23">
        <v>0.26461538672447199</v>
      </c>
      <c r="K1350" s="23">
        <v>3.0769230797887E-3</v>
      </c>
      <c r="L1350" s="23">
        <v>4.6153847128152799E-2</v>
      </c>
      <c r="M1350" s="23">
        <v>6.1538461595774E-3</v>
      </c>
      <c r="N1350" s="23">
        <v>3.0769230797887E-3</v>
      </c>
      <c r="O1350" s="24">
        <v>0.184615388512611</v>
      </c>
      <c r="P1350" s="24">
        <v>0.25230768322944602</v>
      </c>
      <c r="Q1350" s="24">
        <v>0.86461538076400701</v>
      </c>
      <c r="R1350" s="25">
        <v>8.3076923076923076E-2</v>
      </c>
      <c r="S1350" s="25">
        <v>0</v>
      </c>
      <c r="T1350" s="25">
        <v>0.11076923076923077</v>
      </c>
    </row>
    <row r="1351" spans="1:20" x14ac:dyDescent="0.25">
      <c r="A1351" s="8" t="s">
        <v>2796</v>
      </c>
      <c r="B1351" s="8" t="s">
        <v>2797</v>
      </c>
      <c r="C1351" s="8" t="s">
        <v>3540</v>
      </c>
      <c r="D1351" s="8">
        <v>707</v>
      </c>
      <c r="E1351" s="24">
        <v>0.47949081659317</v>
      </c>
      <c r="F1351" s="24">
        <v>0.52050918340682895</v>
      </c>
      <c r="G1351" s="23">
        <v>0</v>
      </c>
      <c r="H1351" s="24">
        <v>0.39886847138404802</v>
      </c>
      <c r="I1351" s="24">
        <v>0.20226308703422499</v>
      </c>
      <c r="J1351" s="24">
        <v>0.227722778916358</v>
      </c>
      <c r="K1351" s="23">
        <v>3.39462533593178E-2</v>
      </c>
      <c r="L1351" s="24">
        <v>0.10183875262737201</v>
      </c>
      <c r="M1351" s="23">
        <v>3.5360679030418403E-2</v>
      </c>
      <c r="N1351" s="23">
        <v>0</v>
      </c>
      <c r="O1351" s="24">
        <v>0.182461097836494</v>
      </c>
      <c r="P1351" s="24">
        <v>0.21782177686691201</v>
      </c>
      <c r="Q1351" s="24">
        <v>0.76096183061599698</v>
      </c>
      <c r="R1351" s="25">
        <v>6.3649222065063654E-2</v>
      </c>
      <c r="S1351" s="25">
        <v>4.2432814710042432E-3</v>
      </c>
      <c r="T1351" s="25">
        <v>0.1074964639321075</v>
      </c>
    </row>
    <row r="1352" spans="1:20" x14ac:dyDescent="0.25">
      <c r="A1352" s="8" t="s">
        <v>2798</v>
      </c>
      <c r="B1352" s="8" t="s">
        <v>2799</v>
      </c>
      <c r="C1352" s="8" t="s">
        <v>3540</v>
      </c>
      <c r="D1352" s="8">
        <v>338</v>
      </c>
      <c r="E1352" s="24">
        <v>0.47337278723716703</v>
      </c>
      <c r="F1352" s="23">
        <v>0.52662724256515503</v>
      </c>
      <c r="G1352" s="23">
        <v>0</v>
      </c>
      <c r="H1352" s="24">
        <v>0.10946745425462701</v>
      </c>
      <c r="I1352" s="24">
        <v>0.757396459579467</v>
      </c>
      <c r="J1352" s="24">
        <v>0.11834319680929101</v>
      </c>
      <c r="K1352" s="23">
        <v>5.9171598404645998E-3</v>
      </c>
      <c r="L1352" s="23">
        <v>8.8757397606969001E-3</v>
      </c>
      <c r="M1352" s="23">
        <v>0</v>
      </c>
      <c r="N1352" s="23">
        <v>0</v>
      </c>
      <c r="O1352" s="24">
        <v>0.18343195319175701</v>
      </c>
      <c r="P1352" s="24">
        <v>0.13313609361648501</v>
      </c>
      <c r="Q1352" s="24">
        <v>0.93491125106811501</v>
      </c>
      <c r="R1352" s="25">
        <v>0.10059171597633136</v>
      </c>
      <c r="S1352" s="25">
        <v>5.9171597633136093E-3</v>
      </c>
      <c r="T1352" s="25">
        <v>9.4674556213017749E-2</v>
      </c>
    </row>
    <row r="1353" spans="1:20" x14ac:dyDescent="0.25">
      <c r="A1353" s="8" t="s">
        <v>2800</v>
      </c>
      <c r="B1353" s="8" t="s">
        <v>2801</v>
      </c>
      <c r="C1353" s="8" t="s">
        <v>3540</v>
      </c>
      <c r="D1353" s="8">
        <v>568</v>
      </c>
      <c r="E1353" s="24">
        <v>0.48767605423927302</v>
      </c>
      <c r="F1353" s="24">
        <v>0.51232391595840399</v>
      </c>
      <c r="G1353" s="23">
        <v>0</v>
      </c>
      <c r="H1353" s="23">
        <v>5.2816901355981799E-2</v>
      </c>
      <c r="I1353" s="24">
        <v>0.66197180747985795</v>
      </c>
      <c r="J1353" s="24">
        <v>0.17957746982574399</v>
      </c>
      <c r="K1353" s="23">
        <v>2.9929578304290799E-2</v>
      </c>
      <c r="L1353" s="23">
        <v>3.6971829831600203E-2</v>
      </c>
      <c r="M1353" s="23">
        <v>3.87323945760727E-2</v>
      </c>
      <c r="N1353" s="23">
        <v>0</v>
      </c>
      <c r="O1353" s="24">
        <v>0.16725352406501701</v>
      </c>
      <c r="P1353" s="24">
        <v>0.130281686782836</v>
      </c>
      <c r="Q1353" s="24">
        <v>0.79225349426269498</v>
      </c>
      <c r="R1353" s="25">
        <v>4.401408450704225E-2</v>
      </c>
      <c r="S1353" s="25">
        <v>4.7535211267605633E-2</v>
      </c>
      <c r="T1353" s="25">
        <v>6.8661971830985921E-2</v>
      </c>
    </row>
    <row r="1354" spans="1:20" x14ac:dyDescent="0.25">
      <c r="A1354" s="8" t="s">
        <v>2802</v>
      </c>
      <c r="B1354" s="8" t="s">
        <v>2803</v>
      </c>
      <c r="C1354" s="8" t="s">
        <v>3540</v>
      </c>
      <c r="D1354" s="8">
        <v>428</v>
      </c>
      <c r="E1354" s="24">
        <v>0.46261683106422402</v>
      </c>
      <c r="F1354" s="24">
        <v>0.53738319873809803</v>
      </c>
      <c r="G1354" s="23">
        <v>0</v>
      </c>
      <c r="H1354" s="23">
        <v>3.0373832210898399E-2</v>
      </c>
      <c r="I1354" s="23">
        <v>0.75</v>
      </c>
      <c r="J1354" s="24">
        <v>0.16822430491447399</v>
      </c>
      <c r="K1354" s="23">
        <v>9.3457940965891006E-3</v>
      </c>
      <c r="L1354" s="23">
        <v>2.80373822897673E-2</v>
      </c>
      <c r="M1354" s="23">
        <v>1.1682243086397599E-2</v>
      </c>
      <c r="N1354" s="23">
        <v>2.3364485241472999E-3</v>
      </c>
      <c r="O1354" s="24">
        <v>0.24065420031547499</v>
      </c>
      <c r="P1354" s="24">
        <v>0.109813086688518</v>
      </c>
      <c r="Q1354" s="23">
        <v>0.735981285572052</v>
      </c>
      <c r="R1354" s="25">
        <v>9.11214953271028E-2</v>
      </c>
      <c r="S1354" s="25">
        <v>2.3364485981308409E-3</v>
      </c>
      <c r="T1354" s="25">
        <v>0.14719626168224298</v>
      </c>
    </row>
    <row r="1355" spans="1:20" x14ac:dyDescent="0.25">
      <c r="A1355" s="8" t="s">
        <v>2804</v>
      </c>
      <c r="B1355" s="8" t="s">
        <v>2805</v>
      </c>
      <c r="C1355" s="8" t="s">
        <v>3540</v>
      </c>
      <c r="D1355" s="8">
        <v>172</v>
      </c>
      <c r="E1355" s="24">
        <v>0.50581395626068104</v>
      </c>
      <c r="F1355" s="24">
        <v>0.49418604373931801</v>
      </c>
      <c r="G1355" s="23">
        <v>0</v>
      </c>
      <c r="H1355" s="23">
        <v>3.4883722662925699E-2</v>
      </c>
      <c r="I1355" s="24">
        <v>0.72674417495727495</v>
      </c>
      <c r="J1355" s="24">
        <v>0.19186046719551</v>
      </c>
      <c r="K1355" s="23">
        <v>5.8139534667133999E-3</v>
      </c>
      <c r="L1355" s="23">
        <v>5.8139534667133999E-3</v>
      </c>
      <c r="M1355" s="23">
        <v>3.4883722662925699E-2</v>
      </c>
      <c r="N1355" s="23">
        <v>0</v>
      </c>
      <c r="O1355" s="23">
        <v>0.19767442345619199</v>
      </c>
      <c r="P1355" s="23">
        <v>8.7209299206733704E-2</v>
      </c>
      <c r="Q1355" s="24">
        <v>0.843023240566253</v>
      </c>
      <c r="R1355" s="25">
        <v>1.7441860465116279E-2</v>
      </c>
      <c r="S1355" s="25">
        <v>0.11627906976744186</v>
      </c>
      <c r="T1355" s="25">
        <v>5.8139534883720929E-2</v>
      </c>
    </row>
    <row r="1356" spans="1:20" x14ac:dyDescent="0.25">
      <c r="A1356" s="8" t="s">
        <v>2806</v>
      </c>
      <c r="B1356" s="8" t="s">
        <v>2807</v>
      </c>
      <c r="C1356" s="8" t="s">
        <v>3540</v>
      </c>
      <c r="D1356" s="8">
        <v>565</v>
      </c>
      <c r="E1356" s="24">
        <v>0.51504427194595304</v>
      </c>
      <c r="F1356" s="23">
        <v>0.48495575785636902</v>
      </c>
      <c r="G1356" s="23">
        <v>0</v>
      </c>
      <c r="H1356" s="23">
        <v>4.0707964450120898E-2</v>
      </c>
      <c r="I1356" s="23">
        <v>0.84778761863708496</v>
      </c>
      <c r="J1356" s="23">
        <v>7.0796459913253798E-2</v>
      </c>
      <c r="K1356" s="23">
        <v>1.5929203480482101E-2</v>
      </c>
      <c r="L1356" s="23">
        <v>1.9469026476144801E-2</v>
      </c>
      <c r="M1356" s="23">
        <v>5.309734493494E-3</v>
      </c>
      <c r="N1356" s="23">
        <v>0</v>
      </c>
      <c r="O1356" s="24">
        <v>0.18407079577445901</v>
      </c>
      <c r="P1356" s="23">
        <v>4.0707964450120898E-2</v>
      </c>
      <c r="Q1356" s="23">
        <v>0.76991152763366699</v>
      </c>
      <c r="R1356" s="25">
        <v>5.663716814159292E-2</v>
      </c>
      <c r="S1356" s="25">
        <v>0</v>
      </c>
      <c r="T1356" s="25">
        <v>0.11327433628318584</v>
      </c>
    </row>
    <row r="1357" spans="1:20" x14ac:dyDescent="0.25">
      <c r="A1357" s="8" t="s">
        <v>2808</v>
      </c>
      <c r="B1357" s="8" t="s">
        <v>2809</v>
      </c>
      <c r="C1357" s="8" t="s">
        <v>3540</v>
      </c>
      <c r="D1357" s="8">
        <v>342</v>
      </c>
      <c r="E1357" s="24">
        <v>0.48830410838127097</v>
      </c>
      <c r="F1357" s="23">
        <v>0.51169592142105103</v>
      </c>
      <c r="G1357" s="23">
        <v>0</v>
      </c>
      <c r="H1357" s="23">
        <v>8.7719298899173695E-2</v>
      </c>
      <c r="I1357" s="24">
        <v>0.63157892227172796</v>
      </c>
      <c r="J1357" s="24">
        <v>0.19590643048286399</v>
      </c>
      <c r="K1357" s="23">
        <v>3.5087719559669502E-2</v>
      </c>
      <c r="L1357" s="23">
        <v>3.5087719559669502E-2</v>
      </c>
      <c r="M1357" s="23">
        <v>1.46198831498623E-2</v>
      </c>
      <c r="N1357" s="23">
        <v>0</v>
      </c>
      <c r="O1357" s="24">
        <v>0.32748538255691501</v>
      </c>
      <c r="P1357" s="23">
        <v>7.8947365283966106E-2</v>
      </c>
      <c r="Q1357" s="24">
        <v>0.88011693954467696</v>
      </c>
      <c r="R1357" s="25">
        <v>0.21637426900584794</v>
      </c>
      <c r="S1357" s="25">
        <v>2.9239766081871343E-3</v>
      </c>
      <c r="T1357" s="25">
        <v>9.0643274853801165E-2</v>
      </c>
    </row>
    <row r="1358" spans="1:20" x14ac:dyDescent="0.25">
      <c r="A1358" s="8" t="s">
        <v>2810</v>
      </c>
      <c r="B1358" s="8" t="s">
        <v>2811</v>
      </c>
      <c r="C1358" s="8" t="s">
        <v>3540</v>
      </c>
      <c r="D1358" s="8">
        <v>356</v>
      </c>
      <c r="E1358" s="24">
        <v>0.46910113096237099</v>
      </c>
      <c r="F1358" s="24">
        <v>0.53089886903762795</v>
      </c>
      <c r="G1358" s="23">
        <v>0</v>
      </c>
      <c r="H1358" s="24">
        <v>0.15168538689613301</v>
      </c>
      <c r="I1358" s="24">
        <v>0.60955053567886297</v>
      </c>
      <c r="J1358" s="24">
        <v>0.18820224702358199</v>
      </c>
      <c r="K1358" s="23">
        <v>1.6853932291269299E-2</v>
      </c>
      <c r="L1358" s="23">
        <v>3.0898876488208799E-2</v>
      </c>
      <c r="M1358" s="23">
        <v>2.8089887928218001E-3</v>
      </c>
      <c r="N1358" s="23">
        <v>0</v>
      </c>
      <c r="O1358" s="24">
        <v>0.19382022321224199</v>
      </c>
      <c r="P1358" s="23">
        <v>0.17977528274059301</v>
      </c>
      <c r="Q1358" s="24">
        <v>0.80337077379226596</v>
      </c>
      <c r="R1358" s="25">
        <v>0</v>
      </c>
      <c r="S1358" s="25">
        <v>8.7078651685393263E-2</v>
      </c>
      <c r="T1358" s="25">
        <v>0.12640449438202248</v>
      </c>
    </row>
    <row r="1359" spans="1:20" x14ac:dyDescent="0.25">
      <c r="A1359" s="8" t="s">
        <v>2812</v>
      </c>
      <c r="B1359" s="8" t="s">
        <v>2813</v>
      </c>
      <c r="C1359" s="8" t="s">
        <v>3540</v>
      </c>
      <c r="D1359" s="8">
        <v>322</v>
      </c>
      <c r="E1359" s="24">
        <v>0.48757764697074801</v>
      </c>
      <c r="F1359" s="24">
        <v>0.51242238283157304</v>
      </c>
      <c r="G1359" s="23">
        <v>0</v>
      </c>
      <c r="H1359" s="23">
        <v>3.7267081439495101E-2</v>
      </c>
      <c r="I1359" s="24">
        <v>0.77018636465072599</v>
      </c>
      <c r="J1359" s="24">
        <v>0.17080745100975001</v>
      </c>
      <c r="K1359" s="23">
        <v>1.2422360479831701E-2</v>
      </c>
      <c r="L1359" s="23">
        <v>0</v>
      </c>
      <c r="M1359" s="23">
        <v>9.3167703598737994E-3</v>
      </c>
      <c r="N1359" s="23">
        <v>0</v>
      </c>
      <c r="O1359" s="24">
        <v>0.22981366515159601</v>
      </c>
      <c r="P1359" s="23">
        <v>8.6956523358821897E-2</v>
      </c>
      <c r="Q1359" s="24">
        <v>0.73291927576064997</v>
      </c>
      <c r="R1359" s="25">
        <v>0.11490683229813664</v>
      </c>
      <c r="S1359" s="25">
        <v>3.105590062111801E-3</v>
      </c>
      <c r="T1359" s="25">
        <v>9.0062111801242239E-2</v>
      </c>
    </row>
    <row r="1360" spans="1:20" x14ac:dyDescent="0.25">
      <c r="A1360" s="8" t="s">
        <v>2814</v>
      </c>
      <c r="B1360" s="8" t="s">
        <v>2815</v>
      </c>
      <c r="C1360" s="8" t="s">
        <v>3540</v>
      </c>
      <c r="D1360" s="8">
        <v>616</v>
      </c>
      <c r="E1360" s="24">
        <v>0.50974023342132502</v>
      </c>
      <c r="F1360" s="24">
        <v>0.49025973677635099</v>
      </c>
      <c r="G1360" s="23">
        <v>0</v>
      </c>
      <c r="H1360" s="24">
        <v>0.13149350881576499</v>
      </c>
      <c r="I1360" s="24">
        <v>0.568181812763214</v>
      </c>
      <c r="J1360" s="24">
        <v>0.1509740203619</v>
      </c>
      <c r="K1360" s="23">
        <v>3.0844155699014698E-2</v>
      </c>
      <c r="L1360" s="24">
        <v>0.103896103799343</v>
      </c>
      <c r="M1360" s="23">
        <v>1.4610389247536699E-2</v>
      </c>
      <c r="N1360" s="23">
        <v>0</v>
      </c>
      <c r="O1360" s="24">
        <v>0.25324675440788202</v>
      </c>
      <c r="P1360" s="23">
        <v>2.5974025949835802E-2</v>
      </c>
      <c r="Q1360" s="24">
        <v>0.62012988328933705</v>
      </c>
      <c r="R1360" s="25">
        <v>0.1185064935064935</v>
      </c>
      <c r="S1360" s="25">
        <v>1.6233766233766235E-3</v>
      </c>
      <c r="T1360" s="25">
        <v>0.14772727272727273</v>
      </c>
    </row>
    <row r="1361" spans="1:20" x14ac:dyDescent="0.25">
      <c r="A1361" s="8" t="s">
        <v>2816</v>
      </c>
      <c r="B1361" s="8" t="s">
        <v>2817</v>
      </c>
      <c r="C1361" s="8" t="s">
        <v>3540</v>
      </c>
      <c r="D1361" s="8">
        <v>838</v>
      </c>
      <c r="E1361" s="24">
        <v>0.45584726333618097</v>
      </c>
      <c r="F1361" s="24">
        <v>0.54415273666381803</v>
      </c>
      <c r="G1361" s="23">
        <v>0</v>
      </c>
      <c r="H1361" s="24">
        <v>0.33412888646125699</v>
      </c>
      <c r="I1361" s="23">
        <v>0.21241049468517301</v>
      </c>
      <c r="J1361" s="24">
        <v>0.37589499354362399</v>
      </c>
      <c r="K1361" s="23">
        <v>8.3532221615313998E-3</v>
      </c>
      <c r="L1361" s="23">
        <v>5.7279236614704097E-2</v>
      </c>
      <c r="M1361" s="23">
        <v>1.1933173984289201E-2</v>
      </c>
      <c r="N1361" s="23">
        <v>0</v>
      </c>
      <c r="O1361" s="24">
        <v>0.14677804708480799</v>
      </c>
      <c r="P1361" s="24">
        <v>0.243436753749847</v>
      </c>
      <c r="Q1361" s="24">
        <v>0.84964197874069203</v>
      </c>
      <c r="R1361" s="25">
        <v>5.9665871121718374E-2</v>
      </c>
      <c r="S1361" s="25">
        <v>3.5799522673031028E-3</v>
      </c>
      <c r="T1361" s="25">
        <v>7.6372315035799526E-2</v>
      </c>
    </row>
    <row r="1362" spans="1:20" x14ac:dyDescent="0.25">
      <c r="A1362" s="8" t="s">
        <v>2818</v>
      </c>
      <c r="B1362" s="8" t="s">
        <v>2819</v>
      </c>
      <c r="C1362" s="8" t="s">
        <v>3540</v>
      </c>
      <c r="D1362" s="8">
        <v>462</v>
      </c>
      <c r="E1362" s="24">
        <v>0.66883116960525502</v>
      </c>
      <c r="F1362" s="24">
        <v>0.33116883039474398</v>
      </c>
      <c r="G1362" s="23">
        <v>0</v>
      </c>
      <c r="H1362" s="23">
        <v>7.35930725932121E-2</v>
      </c>
      <c r="I1362" s="24">
        <v>0.70779222249984697</v>
      </c>
      <c r="J1362" s="24">
        <v>0.119047619402408</v>
      </c>
      <c r="K1362" s="23">
        <v>0</v>
      </c>
      <c r="L1362" s="23">
        <v>1.5151515603065499E-2</v>
      </c>
      <c r="M1362" s="23">
        <v>6.4935064874589001E-3</v>
      </c>
      <c r="N1362" s="23">
        <v>7.7922075986862196E-2</v>
      </c>
      <c r="O1362" s="24">
        <v>0.112554110586643</v>
      </c>
      <c r="P1362" s="23">
        <v>6.7099563777446705E-2</v>
      </c>
      <c r="Q1362" s="23">
        <v>0.79870128631591797</v>
      </c>
      <c r="R1362" s="25">
        <v>2.1645021645021645E-3</v>
      </c>
      <c r="S1362" s="25">
        <v>0</v>
      </c>
      <c r="T1362" s="25">
        <v>9.9567099567099568E-2</v>
      </c>
    </row>
    <row r="1363" spans="1:20" x14ac:dyDescent="0.25">
      <c r="A1363" s="8" t="s">
        <v>2820</v>
      </c>
      <c r="B1363" s="8" t="s">
        <v>2821</v>
      </c>
      <c r="C1363" s="8" t="s">
        <v>3540</v>
      </c>
      <c r="D1363" s="8">
        <v>326</v>
      </c>
      <c r="E1363" s="24">
        <v>0.38036808371543801</v>
      </c>
      <c r="F1363" s="24">
        <v>0.61963188648223799</v>
      </c>
      <c r="G1363" s="23">
        <v>0</v>
      </c>
      <c r="H1363" s="23">
        <v>5.52147254347801E-2</v>
      </c>
      <c r="I1363" s="24">
        <v>0.73312884569168002</v>
      </c>
      <c r="J1363" s="23">
        <v>0.17177914083004001</v>
      </c>
      <c r="K1363" s="23">
        <v>3.0674845911562E-3</v>
      </c>
      <c r="L1363" s="23">
        <v>2.1472392603755001E-2</v>
      </c>
      <c r="M1363" s="23">
        <v>1.2269938364625E-2</v>
      </c>
      <c r="N1363" s="23">
        <v>3.0674845911562E-3</v>
      </c>
      <c r="O1363" s="24">
        <v>0.18098159134387901</v>
      </c>
      <c r="P1363" s="24">
        <v>0.19018404185771901</v>
      </c>
      <c r="Q1363" s="24">
        <v>0.83128833770751898</v>
      </c>
      <c r="R1363" s="25">
        <v>5.8282208588957052E-2</v>
      </c>
      <c r="S1363" s="25">
        <v>6.1349693251533744E-3</v>
      </c>
      <c r="T1363" s="25">
        <v>0.13496932515337423</v>
      </c>
    </row>
    <row r="1364" spans="1:20" x14ac:dyDescent="0.25">
      <c r="A1364" s="8" t="s">
        <v>2822</v>
      </c>
      <c r="B1364" s="8" t="s">
        <v>2823</v>
      </c>
      <c r="C1364" s="8" t="s">
        <v>3540</v>
      </c>
      <c r="D1364" s="8">
        <v>218</v>
      </c>
      <c r="E1364" s="24">
        <v>0.49541285634040799</v>
      </c>
      <c r="F1364" s="24">
        <v>0.50458717346191395</v>
      </c>
      <c r="G1364" s="23">
        <v>0</v>
      </c>
      <c r="H1364" s="23">
        <v>7.3394492268562303E-2</v>
      </c>
      <c r="I1364" s="24">
        <v>0.61926603317260698</v>
      </c>
      <c r="J1364" s="24">
        <v>0.22018349170684801</v>
      </c>
      <c r="K1364" s="23">
        <v>5.0458714365959202E-2</v>
      </c>
      <c r="L1364" s="23">
        <v>2.7522936463356001E-2</v>
      </c>
      <c r="M1364" s="23">
        <v>9.1743115335703E-3</v>
      </c>
      <c r="N1364" s="23">
        <v>0</v>
      </c>
      <c r="O1364" s="24">
        <v>0.165137618780136</v>
      </c>
      <c r="P1364" s="24">
        <v>0.12844036519527399</v>
      </c>
      <c r="Q1364" s="24">
        <v>0.76146787405014005</v>
      </c>
      <c r="R1364" s="25">
        <v>0.10091743119266056</v>
      </c>
      <c r="S1364" s="25">
        <v>9.1743119266055051E-3</v>
      </c>
      <c r="T1364" s="25">
        <v>7.3394495412844041E-2</v>
      </c>
    </row>
    <row r="1365" spans="1:20" x14ac:dyDescent="0.25">
      <c r="A1365" s="8" t="s">
        <v>2824</v>
      </c>
      <c r="B1365" s="8" t="s">
        <v>2825</v>
      </c>
      <c r="C1365" s="8" t="s">
        <v>3540</v>
      </c>
      <c r="D1365" s="8">
        <v>815</v>
      </c>
      <c r="E1365" s="24">
        <v>0.53865033388137795</v>
      </c>
      <c r="F1365" s="24">
        <v>0.46134969592094399</v>
      </c>
      <c r="G1365" s="23">
        <v>0</v>
      </c>
      <c r="H1365" s="23">
        <v>7.6073616743087796E-2</v>
      </c>
      <c r="I1365" s="24">
        <v>0.70429450273513705</v>
      </c>
      <c r="J1365" s="24">
        <v>0.14846625924110399</v>
      </c>
      <c r="K1365" s="23">
        <v>4.9079754389821997E-3</v>
      </c>
      <c r="L1365" s="23">
        <v>5.7668711990117999E-2</v>
      </c>
      <c r="M1365" s="23">
        <v>6.1349691823124998E-3</v>
      </c>
      <c r="N1365" s="23">
        <v>2.4539877194910999E-3</v>
      </c>
      <c r="O1365" s="24">
        <v>0.16687116026878299</v>
      </c>
      <c r="P1365" s="23">
        <v>6.134969368577E-2</v>
      </c>
      <c r="Q1365" s="23">
        <v>0.70797544717788696</v>
      </c>
      <c r="R1365" s="25">
        <v>0</v>
      </c>
      <c r="S1365" s="25">
        <v>3.9263803680981597E-2</v>
      </c>
      <c r="T1365" s="25">
        <v>0.12147239263803682</v>
      </c>
    </row>
    <row r="1366" spans="1:20" x14ac:dyDescent="0.25">
      <c r="A1366" s="8" t="s">
        <v>2826</v>
      </c>
      <c r="B1366" s="8" t="s">
        <v>2827</v>
      </c>
      <c r="C1366" s="8" t="s">
        <v>3540</v>
      </c>
      <c r="D1366" s="8">
        <v>478</v>
      </c>
      <c r="E1366" s="24">
        <v>0.44142258167266801</v>
      </c>
      <c r="F1366" s="24">
        <v>0.55857741832733099</v>
      </c>
      <c r="G1366" s="23">
        <v>0</v>
      </c>
      <c r="H1366" s="23">
        <v>4.3933052569627797E-2</v>
      </c>
      <c r="I1366" s="24">
        <v>0.74686193466186501</v>
      </c>
      <c r="J1366" s="24">
        <v>0.16736401617527</v>
      </c>
      <c r="K1366" s="23">
        <v>4.1841003112494998E-3</v>
      </c>
      <c r="L1366" s="23">
        <v>2.51046027988195E-2</v>
      </c>
      <c r="M1366" s="23">
        <v>8.3682006224989995E-3</v>
      </c>
      <c r="N1366" s="23">
        <v>4.1841003112494998E-3</v>
      </c>
      <c r="O1366" s="24">
        <v>0.179916322231292</v>
      </c>
      <c r="P1366" s="24">
        <v>0.140167370438575</v>
      </c>
      <c r="Q1366" s="24">
        <v>0.80753135681152299</v>
      </c>
      <c r="R1366" s="25">
        <v>3.1380753138075312E-2</v>
      </c>
      <c r="S1366" s="25">
        <v>0</v>
      </c>
      <c r="T1366" s="25">
        <v>0.13598326359832635</v>
      </c>
    </row>
    <row r="1367" spans="1:20" x14ac:dyDescent="0.25">
      <c r="A1367" s="8" t="s">
        <v>2828</v>
      </c>
      <c r="B1367" s="8" t="s">
        <v>2829</v>
      </c>
      <c r="C1367" s="8" t="s">
        <v>3540</v>
      </c>
      <c r="D1367" s="8">
        <v>707</v>
      </c>
      <c r="E1367" s="24">
        <v>0.475247532129287</v>
      </c>
      <c r="F1367" s="24">
        <v>0.524752497673034</v>
      </c>
      <c r="G1367" s="23">
        <v>0</v>
      </c>
      <c r="H1367" s="24">
        <v>0.24752475321292799</v>
      </c>
      <c r="I1367" s="24">
        <v>0.111739747226238</v>
      </c>
      <c r="J1367" s="24">
        <v>0.524752497673034</v>
      </c>
      <c r="K1367" s="23">
        <v>8.4865633398293998E-3</v>
      </c>
      <c r="L1367" s="23">
        <v>8.9108914136886597E-2</v>
      </c>
      <c r="M1367" s="23">
        <v>1.69731266796589E-2</v>
      </c>
      <c r="N1367" s="23">
        <v>1.4144271844998E-3</v>
      </c>
      <c r="O1367" s="24">
        <v>0.19943423569202401</v>
      </c>
      <c r="P1367" s="24">
        <v>0.31258839368820102</v>
      </c>
      <c r="Q1367" s="24">
        <v>0.83168315887451105</v>
      </c>
      <c r="R1367" s="25">
        <v>6.5063649222065062E-2</v>
      </c>
      <c r="S1367" s="25">
        <v>7.0721357850070717E-3</v>
      </c>
      <c r="T1367" s="25">
        <v>0.13295615275813297</v>
      </c>
    </row>
    <row r="1368" spans="1:20" x14ac:dyDescent="0.25">
      <c r="A1368" s="8" t="s">
        <v>2830</v>
      </c>
      <c r="B1368" s="8" t="s">
        <v>2831</v>
      </c>
      <c r="C1368" s="8" t="s">
        <v>3540</v>
      </c>
      <c r="D1368" s="8">
        <v>556</v>
      </c>
      <c r="E1368" s="23">
        <v>0.5</v>
      </c>
      <c r="F1368" s="23">
        <v>0.5</v>
      </c>
      <c r="G1368" s="23">
        <v>0</v>
      </c>
      <c r="H1368" s="23">
        <v>5.21582737565041E-2</v>
      </c>
      <c r="I1368" s="24">
        <v>0.80755394697189298</v>
      </c>
      <c r="J1368" s="23">
        <v>9.7122304141521495E-2</v>
      </c>
      <c r="K1368" s="23">
        <v>2.15827338397503E-2</v>
      </c>
      <c r="L1368" s="23">
        <v>1.6187049448490101E-2</v>
      </c>
      <c r="M1368" s="23">
        <v>5.3956834599376002E-3</v>
      </c>
      <c r="N1368" s="23">
        <v>0</v>
      </c>
      <c r="O1368" s="24">
        <v>0.203237414360046</v>
      </c>
      <c r="P1368" s="23">
        <v>3.4172661602497101E-2</v>
      </c>
      <c r="Q1368" s="24">
        <v>0.78417265415191595</v>
      </c>
      <c r="R1368" s="25">
        <v>4.3165467625899283E-2</v>
      </c>
      <c r="S1368" s="25">
        <v>1.9784172661870502E-2</v>
      </c>
      <c r="T1368" s="25">
        <v>0.13848920863309352</v>
      </c>
    </row>
    <row r="1369" spans="1:20" x14ac:dyDescent="0.25">
      <c r="A1369" s="8" t="s">
        <v>2832</v>
      </c>
      <c r="B1369" s="8" t="s">
        <v>2833</v>
      </c>
      <c r="C1369" s="8" t="s">
        <v>3540</v>
      </c>
      <c r="D1369" s="8">
        <v>425</v>
      </c>
      <c r="E1369" s="24">
        <v>0.62588232755661</v>
      </c>
      <c r="F1369" s="24">
        <v>0.37411764264106701</v>
      </c>
      <c r="G1369" s="23">
        <v>0</v>
      </c>
      <c r="H1369" s="23">
        <v>7.5294114649295807E-2</v>
      </c>
      <c r="I1369" s="24">
        <v>0.61411762237548795</v>
      </c>
      <c r="J1369" s="24">
        <v>0.261176466941833</v>
      </c>
      <c r="K1369" s="23">
        <v>9.4117643311620001E-3</v>
      </c>
      <c r="L1369" s="23">
        <v>1.64705887436867E-2</v>
      </c>
      <c r="M1369" s="23">
        <v>1.1764706112444401E-2</v>
      </c>
      <c r="N1369" s="23">
        <v>1.1764706112444401E-2</v>
      </c>
      <c r="O1369" s="24">
        <v>0.16470588743686601</v>
      </c>
      <c r="P1369" s="24">
        <v>0.141176477074623</v>
      </c>
      <c r="Q1369" s="24">
        <v>0.75764703750610296</v>
      </c>
      <c r="R1369" s="25">
        <v>0</v>
      </c>
      <c r="S1369" s="25">
        <v>2.5882352941176471E-2</v>
      </c>
      <c r="T1369" s="25">
        <v>0.12941176470588237</v>
      </c>
    </row>
    <row r="1370" spans="1:20" x14ac:dyDescent="0.25">
      <c r="A1370" s="8" t="s">
        <v>2834</v>
      </c>
      <c r="B1370" s="8" t="s">
        <v>2835</v>
      </c>
      <c r="C1370" s="8" t="s">
        <v>3540</v>
      </c>
      <c r="D1370" s="8">
        <v>523</v>
      </c>
      <c r="E1370" s="24">
        <v>0.51051622629165605</v>
      </c>
      <c r="F1370" s="24">
        <v>0.48948374390602101</v>
      </c>
      <c r="G1370" s="23">
        <v>0</v>
      </c>
      <c r="H1370" s="23">
        <v>3.8240917026996599E-2</v>
      </c>
      <c r="I1370" s="24">
        <v>0.72848945856094305</v>
      </c>
      <c r="J1370" s="24">
        <v>0.20841300487518299</v>
      </c>
      <c r="K1370" s="23">
        <v>3.8240917492658E-3</v>
      </c>
      <c r="L1370" s="23">
        <v>1.52963669970632E-2</v>
      </c>
      <c r="M1370" s="23">
        <v>5.7361377403139999E-3</v>
      </c>
      <c r="N1370" s="23">
        <v>0</v>
      </c>
      <c r="O1370" s="24">
        <v>0.16634799540042799</v>
      </c>
      <c r="P1370" s="24">
        <v>0.12810707092285101</v>
      </c>
      <c r="Q1370" s="24">
        <v>0.68068832159042303</v>
      </c>
      <c r="R1370" s="25">
        <v>2.8680688336520075E-2</v>
      </c>
      <c r="S1370" s="25">
        <v>1.9120458891013384E-3</v>
      </c>
      <c r="T1370" s="25">
        <v>0.14340344168260039</v>
      </c>
    </row>
    <row r="1371" spans="1:20" x14ac:dyDescent="0.25">
      <c r="A1371" s="8" t="s">
        <v>2836</v>
      </c>
      <c r="B1371" s="8" t="s">
        <v>2837</v>
      </c>
      <c r="C1371" s="8" t="s">
        <v>3540</v>
      </c>
      <c r="D1371" s="8">
        <v>239</v>
      </c>
      <c r="E1371" s="24">
        <v>0.47698745131492598</v>
      </c>
      <c r="F1371" s="24">
        <v>0.52301257848739602</v>
      </c>
      <c r="G1371" s="23">
        <v>0</v>
      </c>
      <c r="H1371" s="23">
        <v>8.3682006224989995E-3</v>
      </c>
      <c r="I1371" s="23">
        <v>0.86610877513885498</v>
      </c>
      <c r="J1371" s="23">
        <v>8.3682008087634999E-2</v>
      </c>
      <c r="K1371" s="23">
        <v>4.1841003112494998E-3</v>
      </c>
      <c r="L1371" s="23">
        <v>2.51046027988195E-2</v>
      </c>
      <c r="M1371" s="23">
        <v>1.25523013994098E-2</v>
      </c>
      <c r="N1371" s="23">
        <v>0</v>
      </c>
      <c r="O1371" s="24">
        <v>0.263598322868347</v>
      </c>
      <c r="P1371" s="23">
        <v>5.8577407151460599E-2</v>
      </c>
      <c r="Q1371" s="24">
        <v>0.75732219219207697</v>
      </c>
      <c r="R1371" s="25">
        <v>9.2050209205020925E-2</v>
      </c>
      <c r="S1371" s="25">
        <v>2.0920502092050208E-2</v>
      </c>
      <c r="T1371" s="25">
        <v>0.13807531380753138</v>
      </c>
    </row>
    <row r="1372" spans="1:20" x14ac:dyDescent="0.25">
      <c r="A1372" s="8" t="s">
        <v>2838</v>
      </c>
      <c r="B1372" s="8" t="s">
        <v>2839</v>
      </c>
      <c r="C1372" s="8" t="s">
        <v>3540</v>
      </c>
      <c r="D1372" s="8">
        <v>566</v>
      </c>
      <c r="E1372" s="24">
        <v>0.49823322892188998</v>
      </c>
      <c r="F1372" s="24">
        <v>0.50176680088043202</v>
      </c>
      <c r="G1372" s="23">
        <v>0</v>
      </c>
      <c r="H1372" s="24">
        <v>0.33922260999679499</v>
      </c>
      <c r="I1372" s="24">
        <v>0.21201413869857699</v>
      </c>
      <c r="J1372" s="24">
        <v>0.35865724086761402</v>
      </c>
      <c r="K1372" s="23">
        <v>1.23674916103482E-2</v>
      </c>
      <c r="L1372" s="23">
        <v>5.47703169286251E-2</v>
      </c>
      <c r="M1372" s="23">
        <v>2.29681972414255E-2</v>
      </c>
      <c r="N1372" s="23">
        <v>0</v>
      </c>
      <c r="O1372" s="24">
        <v>0.226148411631584</v>
      </c>
      <c r="P1372" s="23">
        <v>0.114840991795063</v>
      </c>
      <c r="Q1372" s="24">
        <v>0.74558305740356401</v>
      </c>
      <c r="R1372" s="25">
        <v>8.8339222614840993E-3</v>
      </c>
      <c r="S1372" s="25">
        <v>8.6572438162544174E-2</v>
      </c>
      <c r="T1372" s="25">
        <v>0.12897526501766785</v>
      </c>
    </row>
    <row r="1373" spans="1:20" x14ac:dyDescent="0.25">
      <c r="A1373" s="8" t="s">
        <v>2840</v>
      </c>
      <c r="B1373" s="8" t="s">
        <v>2841</v>
      </c>
      <c r="C1373" s="8" t="s">
        <v>3540</v>
      </c>
      <c r="D1373" s="8">
        <v>374</v>
      </c>
      <c r="E1373" s="23">
        <v>0.312834233045578</v>
      </c>
      <c r="F1373" s="24">
        <v>0.68716579675674405</v>
      </c>
      <c r="G1373" s="23">
        <v>0</v>
      </c>
      <c r="H1373" s="24">
        <v>0.117647059261798</v>
      </c>
      <c r="I1373" s="24">
        <v>0.65240639448165805</v>
      </c>
      <c r="J1373" s="24">
        <v>0.184491977095603</v>
      </c>
      <c r="K1373" s="23">
        <v>2.6737968437373998E-3</v>
      </c>
      <c r="L1373" s="23">
        <v>2.9411764815449701E-2</v>
      </c>
      <c r="M1373" s="23">
        <v>1.06951873749495E-2</v>
      </c>
      <c r="N1373" s="23">
        <v>2.6737968437373998E-3</v>
      </c>
      <c r="O1373" s="24">
        <v>0.16310159862041401</v>
      </c>
      <c r="P1373" s="24">
        <v>0.15240642428398099</v>
      </c>
      <c r="Q1373" s="24">
        <v>0.83689838647842396</v>
      </c>
      <c r="R1373" s="25">
        <v>5.3475935828877002E-3</v>
      </c>
      <c r="S1373" s="25">
        <v>2.9411764705882353E-2</v>
      </c>
      <c r="T1373" s="25">
        <v>0.13101604278074866</v>
      </c>
    </row>
    <row r="1374" spans="1:20" x14ac:dyDescent="0.25">
      <c r="A1374" s="8" t="s">
        <v>2842</v>
      </c>
      <c r="B1374" s="8" t="s">
        <v>2843</v>
      </c>
      <c r="C1374" s="8" t="s">
        <v>3540</v>
      </c>
      <c r="D1374" s="8">
        <v>356</v>
      </c>
      <c r="E1374" s="24">
        <v>0.35955056548118502</v>
      </c>
      <c r="F1374" s="24">
        <v>0.64044946432113603</v>
      </c>
      <c r="G1374" s="23">
        <v>0</v>
      </c>
      <c r="H1374" s="24">
        <v>0.103932581841945</v>
      </c>
      <c r="I1374" s="24">
        <v>0.64325845241546598</v>
      </c>
      <c r="J1374" s="24">
        <v>0.20505617558956099</v>
      </c>
      <c r="K1374" s="23">
        <v>2.8089887928218001E-3</v>
      </c>
      <c r="L1374" s="23">
        <v>3.0898876488208799E-2</v>
      </c>
      <c r="M1374" s="23">
        <v>8.4269661456346998E-3</v>
      </c>
      <c r="N1374" s="23">
        <v>5.6179775856435004E-3</v>
      </c>
      <c r="O1374" s="24">
        <v>0.19943819940090099</v>
      </c>
      <c r="P1374" s="23">
        <v>8.7078653275966603E-2</v>
      </c>
      <c r="Q1374" s="24">
        <v>0.78651684522628695</v>
      </c>
      <c r="R1374" s="25">
        <v>2.8089887640449437E-3</v>
      </c>
      <c r="S1374" s="25">
        <v>0</v>
      </c>
      <c r="T1374" s="25">
        <v>0.18820224719101122</v>
      </c>
    </row>
    <row r="1375" spans="1:20" x14ac:dyDescent="0.25">
      <c r="A1375" s="8" t="s">
        <v>2844</v>
      </c>
      <c r="B1375" s="8" t="s">
        <v>2845</v>
      </c>
      <c r="C1375" s="8" t="s">
        <v>3540</v>
      </c>
      <c r="D1375" s="8">
        <v>514</v>
      </c>
      <c r="E1375" s="23">
        <v>1.9455252913758E-3</v>
      </c>
      <c r="F1375" s="24">
        <v>0.99805450439453103</v>
      </c>
      <c r="G1375" s="23">
        <v>0</v>
      </c>
      <c r="H1375" s="23">
        <v>1.94552522152662E-2</v>
      </c>
      <c r="I1375" s="24">
        <v>0.81517511606216397</v>
      </c>
      <c r="J1375" s="23">
        <v>9.3385212123393999E-2</v>
      </c>
      <c r="K1375" s="23">
        <v>1.36186769232154E-2</v>
      </c>
      <c r="L1375" s="23">
        <v>1.75097268074751E-2</v>
      </c>
      <c r="M1375" s="23">
        <v>7.7821011655032999E-3</v>
      </c>
      <c r="N1375" s="23">
        <v>3.3073928207159001E-2</v>
      </c>
      <c r="O1375" s="24">
        <v>0.276264578104019</v>
      </c>
      <c r="P1375" s="23">
        <v>3.3073928207159001E-2</v>
      </c>
      <c r="Q1375" s="24">
        <v>0.74708169698715199</v>
      </c>
      <c r="R1375" s="25">
        <v>1.9455252918287938E-3</v>
      </c>
      <c r="S1375" s="25">
        <v>0.10700389105058365</v>
      </c>
      <c r="T1375" s="25">
        <v>0.16536964980544747</v>
      </c>
    </row>
    <row r="1376" spans="1:20" x14ac:dyDescent="0.25">
      <c r="A1376" s="8" t="s">
        <v>2846</v>
      </c>
      <c r="B1376" s="8" t="s">
        <v>2847</v>
      </c>
      <c r="C1376" s="8" t="s">
        <v>3540</v>
      </c>
      <c r="D1376" s="8">
        <v>283</v>
      </c>
      <c r="E1376" s="24">
        <v>0.49116608500480602</v>
      </c>
      <c r="F1376" s="24">
        <v>0.50883394479751498</v>
      </c>
      <c r="G1376" s="23">
        <v>0</v>
      </c>
      <c r="H1376" s="23">
        <v>3.8869258016347899E-2</v>
      </c>
      <c r="I1376" s="24">
        <v>0.74558305740356401</v>
      </c>
      <c r="J1376" s="24">
        <v>0.18021202087402299</v>
      </c>
      <c r="K1376" s="23">
        <v>7.067137863487E-3</v>
      </c>
      <c r="L1376" s="23">
        <v>2.4734983220696401E-2</v>
      </c>
      <c r="M1376" s="23">
        <v>3.5335689317435E-3</v>
      </c>
      <c r="N1376" s="23">
        <v>0</v>
      </c>
      <c r="O1376" s="24">
        <v>0.22261483967304199</v>
      </c>
      <c r="P1376" s="23">
        <v>0.127208486199379</v>
      </c>
      <c r="Q1376" s="24">
        <v>0.88339221477508501</v>
      </c>
      <c r="R1376" s="25">
        <v>7.0671378091872791E-3</v>
      </c>
      <c r="S1376" s="25">
        <v>8.4805653710247356E-2</v>
      </c>
      <c r="T1376" s="25">
        <v>0.12720848056537101</v>
      </c>
    </row>
    <row r="1377" spans="1:20" x14ac:dyDescent="0.25">
      <c r="A1377" s="8" t="s">
        <v>2848</v>
      </c>
      <c r="B1377" s="8" t="s">
        <v>2849</v>
      </c>
      <c r="C1377" s="8" t="s">
        <v>3540</v>
      </c>
      <c r="D1377" s="8">
        <v>290</v>
      </c>
      <c r="E1377" s="24">
        <v>0.431034475564956</v>
      </c>
      <c r="F1377" s="24">
        <v>0.56896549463271995</v>
      </c>
      <c r="G1377" s="23">
        <v>0</v>
      </c>
      <c r="H1377" s="23">
        <v>2.0689655095338801E-2</v>
      </c>
      <c r="I1377" s="24">
        <v>0.73793101310729903</v>
      </c>
      <c r="J1377" s="24">
        <v>0.193103447556495</v>
      </c>
      <c r="K1377" s="23">
        <v>1.03448275476694E-2</v>
      </c>
      <c r="L1377" s="23">
        <v>1.7241379246115698E-2</v>
      </c>
      <c r="M1377" s="23">
        <v>2.0689655095338801E-2</v>
      </c>
      <c r="N1377" s="23">
        <v>0</v>
      </c>
      <c r="O1377" s="24">
        <v>0.26206895709037697</v>
      </c>
      <c r="P1377" s="24">
        <v>0.124137930572032</v>
      </c>
      <c r="Q1377" s="24">
        <v>0.84137928485870295</v>
      </c>
      <c r="R1377" s="25">
        <v>0.11379310344827587</v>
      </c>
      <c r="S1377" s="25">
        <v>0</v>
      </c>
      <c r="T1377" s="25">
        <v>0.15517241379310345</v>
      </c>
    </row>
    <row r="1378" spans="1:20" x14ac:dyDescent="0.25">
      <c r="A1378" s="8" t="s">
        <v>2850</v>
      </c>
      <c r="B1378" s="8" t="s">
        <v>1091</v>
      </c>
      <c r="C1378" s="8" t="s">
        <v>3540</v>
      </c>
      <c r="D1378" s="8">
        <v>256</v>
      </c>
      <c r="E1378" s="23">
        <v>0.50390625</v>
      </c>
      <c r="F1378" s="23">
        <v>0.49609375</v>
      </c>
      <c r="G1378" s="23">
        <v>0</v>
      </c>
      <c r="H1378" s="23">
        <v>5.859375E-2</v>
      </c>
      <c r="I1378" s="23">
        <v>0.8046875</v>
      </c>
      <c r="J1378" s="23">
        <v>7.421875E-2</v>
      </c>
      <c r="K1378" s="23">
        <v>3.515625E-2</v>
      </c>
      <c r="L1378" s="23">
        <v>2.34375E-2</v>
      </c>
      <c r="M1378" s="23">
        <v>3.90625E-3</v>
      </c>
      <c r="N1378" s="23">
        <v>0</v>
      </c>
      <c r="O1378" s="23">
        <v>0.12109375</v>
      </c>
      <c r="P1378" s="23">
        <v>3.90625E-3</v>
      </c>
      <c r="Q1378" s="23">
        <v>0.578125</v>
      </c>
      <c r="R1378" s="25">
        <v>1.5625E-2</v>
      </c>
      <c r="S1378" s="25">
        <v>0</v>
      </c>
      <c r="T1378" s="25">
        <v>0.10546875</v>
      </c>
    </row>
    <row r="1379" spans="1:20" x14ac:dyDescent="0.25">
      <c r="A1379" s="8" t="s">
        <v>2853</v>
      </c>
      <c r="B1379" s="8" t="s">
        <v>2854</v>
      </c>
      <c r="C1379" s="8" t="s">
        <v>3540</v>
      </c>
      <c r="D1379" s="8">
        <v>512</v>
      </c>
      <c r="E1379" s="23">
        <v>0.43359375</v>
      </c>
      <c r="F1379" s="23">
        <v>0.56640625</v>
      </c>
      <c r="G1379" s="23">
        <v>0</v>
      </c>
      <c r="H1379" s="23">
        <v>9.5703125E-2</v>
      </c>
      <c r="I1379" s="23">
        <v>0.736328125</v>
      </c>
      <c r="J1379" s="23">
        <v>0.1328125</v>
      </c>
      <c r="K1379" s="23">
        <v>3.90625E-3</v>
      </c>
      <c r="L1379" s="23">
        <v>2.1484375E-2</v>
      </c>
      <c r="M1379" s="23">
        <v>7.8125E-3</v>
      </c>
      <c r="N1379" s="23">
        <v>1.953125E-3</v>
      </c>
      <c r="O1379" s="23">
        <v>0.109375</v>
      </c>
      <c r="P1379" s="23">
        <v>0.12109375</v>
      </c>
      <c r="Q1379" s="23">
        <v>0.806640625</v>
      </c>
      <c r="R1379" s="25">
        <v>0</v>
      </c>
      <c r="S1379" s="25">
        <v>1.953125E-3</v>
      </c>
      <c r="T1379" s="25">
        <v>9.375E-2</v>
      </c>
    </row>
    <row r="1380" spans="1:20" x14ac:dyDescent="0.25">
      <c r="A1380" s="8" t="s">
        <v>2855</v>
      </c>
      <c r="B1380" s="8" t="s">
        <v>2856</v>
      </c>
      <c r="C1380" s="8" t="s">
        <v>3540</v>
      </c>
      <c r="D1380" s="8">
        <v>621</v>
      </c>
      <c r="E1380" s="24">
        <v>0.57004833221435502</v>
      </c>
      <c r="F1380" s="24">
        <v>0.42995169758796598</v>
      </c>
      <c r="G1380" s="23">
        <v>0</v>
      </c>
      <c r="H1380" s="23">
        <v>6.7632846534252195E-2</v>
      </c>
      <c r="I1380" s="24">
        <v>0.66505634784698398</v>
      </c>
      <c r="J1380" s="24">
        <v>0.20128823816776201</v>
      </c>
      <c r="K1380" s="23">
        <v>4.8309178091586E-3</v>
      </c>
      <c r="L1380" s="23">
        <v>3.8647342473268502E-2</v>
      </c>
      <c r="M1380" s="23">
        <v>8.0515295267104998E-3</v>
      </c>
      <c r="N1380" s="23">
        <v>1.4492753893137001E-2</v>
      </c>
      <c r="O1380" s="24">
        <v>0.170692428946495</v>
      </c>
      <c r="P1380" s="23">
        <v>9.9838972091674805E-2</v>
      </c>
      <c r="Q1380" s="24">
        <v>0.85668277740478505</v>
      </c>
      <c r="R1380" s="25">
        <v>0</v>
      </c>
      <c r="S1380" s="25">
        <v>1.932367149758454E-2</v>
      </c>
      <c r="T1380" s="25">
        <v>0.14009661835748793</v>
      </c>
    </row>
    <row r="1381" spans="1:20" x14ac:dyDescent="0.25">
      <c r="A1381" s="8" t="s">
        <v>2857</v>
      </c>
      <c r="B1381" s="8" t="s">
        <v>2858</v>
      </c>
      <c r="C1381" s="8" t="s">
        <v>3540</v>
      </c>
      <c r="D1381" s="8">
        <v>577</v>
      </c>
      <c r="E1381" s="24">
        <v>0.44714039564132602</v>
      </c>
      <c r="F1381" s="24">
        <v>0.55285960435867298</v>
      </c>
      <c r="G1381" s="23">
        <v>0</v>
      </c>
      <c r="H1381" s="24">
        <v>0.16637781262397699</v>
      </c>
      <c r="I1381" s="23">
        <v>5.1993068307638203E-2</v>
      </c>
      <c r="J1381" s="24">
        <v>0.412478327751159</v>
      </c>
      <c r="K1381" s="23">
        <v>1.5597919933497901E-2</v>
      </c>
      <c r="L1381" s="23">
        <v>1.7331022536382001E-3</v>
      </c>
      <c r="M1381" s="24">
        <v>0.35181975364684998</v>
      </c>
      <c r="N1381" s="23">
        <v>0</v>
      </c>
      <c r="O1381" s="24">
        <v>0.16637781262397699</v>
      </c>
      <c r="P1381" s="24">
        <v>0.18890814483165699</v>
      </c>
      <c r="Q1381" s="24">
        <v>0.68977469205856301</v>
      </c>
      <c r="R1381" s="25">
        <v>5.7192374350086658E-2</v>
      </c>
      <c r="S1381" s="25">
        <v>0</v>
      </c>
      <c r="T1381" s="25">
        <v>0.10571923743500866</v>
      </c>
    </row>
    <row r="1382" spans="1:20" x14ac:dyDescent="0.25">
      <c r="A1382" s="8" t="s">
        <v>2859</v>
      </c>
      <c r="B1382" s="8" t="s">
        <v>2860</v>
      </c>
      <c r="C1382" s="8" t="s">
        <v>3540</v>
      </c>
      <c r="D1382" s="8">
        <v>600</v>
      </c>
      <c r="E1382" s="24">
        <v>0.47833332419395402</v>
      </c>
      <c r="F1382" s="24">
        <v>0.52166664600372303</v>
      </c>
      <c r="G1382" s="23">
        <v>0</v>
      </c>
      <c r="H1382" s="24">
        <v>0.16166666150093001</v>
      </c>
      <c r="I1382" s="23">
        <v>6.3333332538604695E-2</v>
      </c>
      <c r="J1382" s="24">
        <v>0.58333331346511796</v>
      </c>
      <c r="K1382" s="23">
        <v>6.6666668280958999E-3</v>
      </c>
      <c r="L1382" s="23">
        <v>9.9999997764825994E-3</v>
      </c>
      <c r="M1382" s="24">
        <v>0.17499999701976701</v>
      </c>
      <c r="N1382" s="23">
        <v>0</v>
      </c>
      <c r="O1382" s="24">
        <v>0.19166666269302299</v>
      </c>
      <c r="P1382" s="24">
        <v>0.20166666805744099</v>
      </c>
      <c r="Q1382" s="23">
        <v>0.875</v>
      </c>
      <c r="R1382" s="25">
        <v>7.8333333333333338E-2</v>
      </c>
      <c r="S1382" s="25">
        <v>1.6666666666666668E-3</v>
      </c>
      <c r="T1382" s="25">
        <v>0.11</v>
      </c>
    </row>
    <row r="1383" spans="1:20" x14ac:dyDescent="0.25">
      <c r="A1383" s="8" t="s">
        <v>2861</v>
      </c>
      <c r="B1383" s="8" t="s">
        <v>2862</v>
      </c>
      <c r="C1383" s="8" t="s">
        <v>3540</v>
      </c>
      <c r="D1383" s="8">
        <v>703</v>
      </c>
      <c r="E1383" s="24">
        <v>0.51920342445373502</v>
      </c>
      <c r="F1383" s="24">
        <v>0.48079657554626398</v>
      </c>
      <c r="G1383" s="23">
        <v>0</v>
      </c>
      <c r="H1383" s="24">
        <v>0.30298718810081399</v>
      </c>
      <c r="I1383" s="23">
        <v>1.5647226944565801E-2</v>
      </c>
      <c r="J1383" s="24">
        <v>0.53200566768646196</v>
      </c>
      <c r="K1383" s="23">
        <v>1.5647226944565801E-2</v>
      </c>
      <c r="L1383" s="23">
        <v>4.2674252763391001E-3</v>
      </c>
      <c r="M1383" s="24">
        <v>0.129445239901542</v>
      </c>
      <c r="N1383" s="23">
        <v>0</v>
      </c>
      <c r="O1383" s="24">
        <v>0.15789473056793199</v>
      </c>
      <c r="P1383" s="23">
        <v>0.26031294465065002</v>
      </c>
      <c r="Q1383" s="24">
        <v>0.74537694454193104</v>
      </c>
      <c r="R1383" s="25">
        <v>4.694167852062589E-2</v>
      </c>
      <c r="S1383" s="25">
        <v>0</v>
      </c>
      <c r="T1383" s="25">
        <v>0.11522048364153627</v>
      </c>
    </row>
    <row r="1384" spans="1:20" x14ac:dyDescent="0.25">
      <c r="A1384" s="8" t="s">
        <v>2863</v>
      </c>
      <c r="B1384" s="8" t="s">
        <v>2864</v>
      </c>
      <c r="C1384" s="8" t="s">
        <v>3540</v>
      </c>
      <c r="D1384" s="8">
        <v>606</v>
      </c>
      <c r="E1384" s="24">
        <v>0.508250832557678</v>
      </c>
      <c r="F1384" s="24">
        <v>0.491749167442321</v>
      </c>
      <c r="G1384" s="23">
        <v>0</v>
      </c>
      <c r="H1384" s="23">
        <v>0.13201320171356201</v>
      </c>
      <c r="I1384" s="23">
        <v>6.7656762897968306E-2</v>
      </c>
      <c r="J1384" s="24">
        <v>0.45544555783271701</v>
      </c>
      <c r="K1384" s="23">
        <v>4.4554457068443298E-2</v>
      </c>
      <c r="L1384" s="23">
        <v>1.1551154777407599E-2</v>
      </c>
      <c r="M1384" s="24">
        <v>0.28877887129783603</v>
      </c>
      <c r="N1384" s="23">
        <v>0</v>
      </c>
      <c r="O1384" s="24">
        <v>0.151815176010131</v>
      </c>
      <c r="P1384" s="24">
        <v>0.18481847643852201</v>
      </c>
      <c r="Q1384" s="24">
        <v>0.65016502141952504</v>
      </c>
      <c r="R1384" s="25">
        <v>4.1254125412541254E-2</v>
      </c>
      <c r="S1384" s="25">
        <v>0</v>
      </c>
      <c r="T1384" s="25">
        <v>0.10231023102310231</v>
      </c>
    </row>
    <row r="1385" spans="1:20" x14ac:dyDescent="0.25">
      <c r="A1385" s="8" t="s">
        <v>2865</v>
      </c>
      <c r="B1385" s="8" t="s">
        <v>2866</v>
      </c>
      <c r="C1385" s="8" t="s">
        <v>3540</v>
      </c>
      <c r="D1385" s="8">
        <v>763</v>
      </c>
      <c r="E1385" s="24">
        <v>0.49017038941383301</v>
      </c>
      <c r="F1385" s="24">
        <v>0.50982964038848799</v>
      </c>
      <c r="G1385" s="23">
        <v>0</v>
      </c>
      <c r="H1385" s="24">
        <v>0.50982964038848799</v>
      </c>
      <c r="I1385" s="23">
        <v>9.1743115335703E-3</v>
      </c>
      <c r="J1385" s="24">
        <v>0.36041939258575401</v>
      </c>
      <c r="K1385" s="23">
        <v>3.4076016396284103E-2</v>
      </c>
      <c r="L1385" s="23">
        <v>7.8636957332491996E-3</v>
      </c>
      <c r="M1385" s="23">
        <v>7.8636959195136996E-2</v>
      </c>
      <c r="N1385" s="23">
        <v>0</v>
      </c>
      <c r="O1385" s="24">
        <v>0.16251638531684801</v>
      </c>
      <c r="P1385" s="24">
        <v>0.27260813117027199</v>
      </c>
      <c r="Q1385" s="24">
        <v>0.711664497852325</v>
      </c>
      <c r="R1385" s="25">
        <v>5.3735255570117955E-2</v>
      </c>
      <c r="S1385" s="25">
        <v>3.9318479685452159E-3</v>
      </c>
      <c r="T1385" s="25">
        <v>0.11795543905635648</v>
      </c>
    </row>
    <row r="1386" spans="1:20" x14ac:dyDescent="0.25">
      <c r="A1386" s="8" t="s">
        <v>2867</v>
      </c>
      <c r="B1386" s="8" t="s">
        <v>2868</v>
      </c>
      <c r="C1386" s="8" t="s">
        <v>3540</v>
      </c>
      <c r="D1386" s="8">
        <v>775</v>
      </c>
      <c r="E1386" s="24">
        <v>0.50451612472534102</v>
      </c>
      <c r="F1386" s="24">
        <v>0.49548387527465798</v>
      </c>
      <c r="G1386" s="23">
        <v>0</v>
      </c>
      <c r="H1386" s="23">
        <v>9.6774190664291396E-2</v>
      </c>
      <c r="I1386" s="23">
        <v>2.83870976418257E-2</v>
      </c>
      <c r="J1386" s="24">
        <v>0.43612903356552102</v>
      </c>
      <c r="K1386" s="23">
        <v>3.4838709980249398E-2</v>
      </c>
      <c r="L1386" s="23">
        <v>7.7419355511664997E-3</v>
      </c>
      <c r="M1386" s="24">
        <v>0.39483872056007302</v>
      </c>
      <c r="N1386" s="23">
        <v>1.2903226306662E-3</v>
      </c>
      <c r="O1386" s="24">
        <v>0.15999999642372101</v>
      </c>
      <c r="P1386" s="23">
        <v>0.236129030585289</v>
      </c>
      <c r="Q1386" s="24">
        <v>0.753548383712768</v>
      </c>
      <c r="R1386" s="25">
        <v>5.2903225806451612E-2</v>
      </c>
      <c r="S1386" s="25">
        <v>0</v>
      </c>
      <c r="T1386" s="25">
        <v>0.10580645161290322</v>
      </c>
    </row>
    <row r="1387" spans="1:20" x14ac:dyDescent="0.25">
      <c r="A1387" s="8" t="s">
        <v>2869</v>
      </c>
      <c r="B1387" s="8" t="s">
        <v>2870</v>
      </c>
      <c r="C1387" s="8" t="s">
        <v>3540</v>
      </c>
      <c r="D1387" s="8">
        <v>420</v>
      </c>
      <c r="E1387" s="24">
        <v>0.48095238208770702</v>
      </c>
      <c r="F1387" s="24">
        <v>0.51904761791229204</v>
      </c>
      <c r="G1387" s="23">
        <v>0</v>
      </c>
      <c r="H1387" s="23">
        <v>5.7142857462167698E-2</v>
      </c>
      <c r="I1387" s="24">
        <v>0.21428571641445099</v>
      </c>
      <c r="J1387" s="24">
        <v>0.60238093137741</v>
      </c>
      <c r="K1387" s="23">
        <v>7.1428571827709996E-3</v>
      </c>
      <c r="L1387" s="23">
        <v>4.7619049437343996E-3</v>
      </c>
      <c r="M1387" s="24">
        <v>0.11428571492433499</v>
      </c>
      <c r="N1387" s="23">
        <v>0</v>
      </c>
      <c r="O1387" s="24">
        <v>0.25952380895614602</v>
      </c>
      <c r="P1387" s="24">
        <v>0.25952380895614602</v>
      </c>
      <c r="Q1387" s="24">
        <v>0.90238094329833896</v>
      </c>
      <c r="R1387" s="25">
        <v>9.285714285714286E-2</v>
      </c>
      <c r="S1387" s="25">
        <v>2.3809523809523812E-3</v>
      </c>
      <c r="T1387" s="25">
        <v>0.16190476190476191</v>
      </c>
    </row>
    <row r="1388" spans="1:20" x14ac:dyDescent="0.25">
      <c r="A1388" s="8" t="s">
        <v>2871</v>
      </c>
      <c r="B1388" s="8" t="s">
        <v>2872</v>
      </c>
      <c r="C1388" s="8" t="s">
        <v>3540</v>
      </c>
      <c r="D1388" s="8">
        <v>811</v>
      </c>
      <c r="E1388" s="24">
        <v>0.49815043807029702</v>
      </c>
      <c r="F1388" s="24">
        <v>0.50061655044555597</v>
      </c>
      <c r="G1388" s="23">
        <v>1.2330455938354E-3</v>
      </c>
      <c r="H1388" s="24">
        <v>0.32059186697006198</v>
      </c>
      <c r="I1388" s="23">
        <v>4.4389642775058698E-2</v>
      </c>
      <c r="J1388" s="23">
        <v>0.19728730618953699</v>
      </c>
      <c r="K1388" s="23">
        <v>7.3982737958431202E-2</v>
      </c>
      <c r="L1388" s="23">
        <v>6.1652283184229998E-3</v>
      </c>
      <c r="M1388" s="23">
        <v>0.35511714220047003</v>
      </c>
      <c r="N1388" s="23">
        <v>2.4660911876708E-3</v>
      </c>
      <c r="O1388" s="24">
        <v>0.11713933199644</v>
      </c>
      <c r="P1388" s="23">
        <v>9.8643653094768496E-2</v>
      </c>
      <c r="Q1388" s="24">
        <v>0.23057952523231501</v>
      </c>
      <c r="R1388" s="25">
        <v>3.6991368680641184E-3</v>
      </c>
      <c r="S1388" s="25">
        <v>1.2330456226880395E-3</v>
      </c>
      <c r="T1388" s="25">
        <v>0.11220715166461159</v>
      </c>
    </row>
    <row r="1389" spans="1:20" x14ac:dyDescent="0.25">
      <c r="A1389" s="8" t="s">
        <v>2873</v>
      </c>
      <c r="B1389" s="8" t="s">
        <v>2874</v>
      </c>
      <c r="C1389" s="8" t="s">
        <v>3540</v>
      </c>
      <c r="D1389" s="8">
        <v>355</v>
      </c>
      <c r="E1389" s="24">
        <v>0.48732393980026201</v>
      </c>
      <c r="F1389" s="24">
        <v>0.51267606019973699</v>
      </c>
      <c r="G1389" s="23">
        <v>0</v>
      </c>
      <c r="H1389" s="23">
        <v>7.0422537624835996E-2</v>
      </c>
      <c r="I1389" s="23">
        <v>3.6619719117879902E-2</v>
      </c>
      <c r="J1389" s="24">
        <v>0.33521127700805597</v>
      </c>
      <c r="K1389" s="23">
        <v>3.6619719117879902E-2</v>
      </c>
      <c r="L1389" s="23">
        <v>5.6338026188313996E-3</v>
      </c>
      <c r="M1389" s="24">
        <v>0.51549297571182195</v>
      </c>
      <c r="N1389" s="23">
        <v>0</v>
      </c>
      <c r="O1389" s="24">
        <v>0.14929577708244299</v>
      </c>
      <c r="P1389" s="23">
        <v>9.5774650573730497E-2</v>
      </c>
      <c r="Q1389" s="24">
        <v>0.50985914468765203</v>
      </c>
      <c r="R1389" s="25">
        <v>8.4507042253521118E-3</v>
      </c>
      <c r="S1389" s="25">
        <v>1.1267605633802818E-2</v>
      </c>
      <c r="T1389" s="25">
        <v>0.11830985915492957</v>
      </c>
    </row>
    <row r="1390" spans="1:20" x14ac:dyDescent="0.25">
      <c r="A1390" s="8" t="s">
        <v>2875</v>
      </c>
      <c r="B1390" s="8" t="s">
        <v>2876</v>
      </c>
      <c r="C1390" s="8" t="s">
        <v>3540</v>
      </c>
      <c r="D1390" s="8">
        <v>534</v>
      </c>
      <c r="E1390" s="24">
        <v>0.49438202381134</v>
      </c>
      <c r="F1390" s="24">
        <v>0.505617976188659</v>
      </c>
      <c r="G1390" s="23">
        <v>0</v>
      </c>
      <c r="H1390" s="24">
        <v>0.15730337798595401</v>
      </c>
      <c r="I1390" s="23">
        <v>2.9962547123432201E-2</v>
      </c>
      <c r="J1390" s="24">
        <v>0.262172281742095</v>
      </c>
      <c r="K1390" s="23">
        <v>5.4307114332914401E-2</v>
      </c>
      <c r="L1390" s="23">
        <v>5.6179775856435004E-3</v>
      </c>
      <c r="M1390" s="24">
        <v>0.490636706352233</v>
      </c>
      <c r="N1390" s="23">
        <v>0</v>
      </c>
      <c r="O1390" s="24">
        <v>0.121722847223281</v>
      </c>
      <c r="P1390" s="24">
        <v>0.121722847223281</v>
      </c>
      <c r="Q1390" s="24">
        <v>0.492509365081787</v>
      </c>
      <c r="R1390" s="25">
        <v>1.1235955056179775E-2</v>
      </c>
      <c r="S1390" s="25">
        <v>0</v>
      </c>
      <c r="T1390" s="25">
        <v>0.10861423220973783</v>
      </c>
    </row>
    <row r="1391" spans="1:20" x14ac:dyDescent="0.25">
      <c r="A1391" s="8" t="s">
        <v>2877</v>
      </c>
      <c r="B1391" s="8" t="s">
        <v>2878</v>
      </c>
      <c r="C1391" s="8" t="s">
        <v>3540</v>
      </c>
      <c r="D1391" s="8">
        <v>876</v>
      </c>
      <c r="E1391" s="24">
        <v>0.51826483011245705</v>
      </c>
      <c r="F1391" s="24">
        <v>0.481735169887542</v>
      </c>
      <c r="G1391" s="23">
        <v>0</v>
      </c>
      <c r="H1391" s="23">
        <v>2.3972602561116201E-2</v>
      </c>
      <c r="I1391" s="23">
        <v>1.02739725261927E-2</v>
      </c>
      <c r="J1391" s="24">
        <v>0.94634705781936601</v>
      </c>
      <c r="K1391" s="23">
        <v>2.2831049282103998E-3</v>
      </c>
      <c r="L1391" s="23">
        <v>7.9908678308128998E-3</v>
      </c>
      <c r="M1391" s="23">
        <v>9.1324197128415004E-3</v>
      </c>
      <c r="N1391" s="23">
        <v>0</v>
      </c>
      <c r="O1391" s="24">
        <v>0.154109582304954</v>
      </c>
      <c r="P1391" s="24">
        <v>0.38013699650764399</v>
      </c>
      <c r="Q1391" s="23">
        <v>0.87100458145141602</v>
      </c>
      <c r="R1391" s="25">
        <v>4.5662100456621002E-2</v>
      </c>
      <c r="S1391" s="25">
        <v>1.1415525114155251E-3</v>
      </c>
      <c r="T1391" s="25">
        <v>9.7031963470319629E-2</v>
      </c>
    </row>
    <row r="1392" spans="1:20" x14ac:dyDescent="0.25">
      <c r="A1392" s="8" t="s">
        <v>2879</v>
      </c>
      <c r="B1392" s="8" t="s">
        <v>2880</v>
      </c>
      <c r="C1392" s="8" t="s">
        <v>3540</v>
      </c>
      <c r="D1392" s="8">
        <v>564</v>
      </c>
      <c r="E1392" s="23">
        <v>0.5</v>
      </c>
      <c r="F1392" s="23">
        <v>0.5</v>
      </c>
      <c r="G1392" s="23">
        <v>0</v>
      </c>
      <c r="H1392" s="23">
        <v>2.1276595070958099E-2</v>
      </c>
      <c r="I1392" s="24">
        <v>0.30319148302078203</v>
      </c>
      <c r="J1392" s="24">
        <v>0.65780138969421298</v>
      </c>
      <c r="K1392" s="23">
        <v>0</v>
      </c>
      <c r="L1392" s="23">
        <v>7.0921983569859999E-3</v>
      </c>
      <c r="M1392" s="23">
        <v>1.06382975354791E-2</v>
      </c>
      <c r="N1392" s="23">
        <v>0</v>
      </c>
      <c r="O1392" s="24">
        <v>0.159574463963508</v>
      </c>
      <c r="P1392" s="24">
        <v>0.48936170339584301</v>
      </c>
      <c r="Q1392" s="24">
        <v>0.97340422868728604</v>
      </c>
      <c r="R1392" s="25">
        <v>5.1418439716312055E-2</v>
      </c>
      <c r="S1392" s="25">
        <v>3.5460992907801418E-3</v>
      </c>
      <c r="T1392" s="25">
        <v>8.1560283687943269E-2</v>
      </c>
    </row>
    <row r="1393" spans="1:20" x14ac:dyDescent="0.25">
      <c r="A1393" s="8" t="s">
        <v>2881</v>
      </c>
      <c r="B1393" s="8" t="s">
        <v>2882</v>
      </c>
      <c r="C1393" s="8" t="s">
        <v>3540</v>
      </c>
      <c r="D1393" s="8">
        <v>515</v>
      </c>
      <c r="E1393" s="23">
        <v>0.46990290284156799</v>
      </c>
      <c r="F1393" s="24">
        <v>0.53009706735610895</v>
      </c>
      <c r="G1393" s="23">
        <v>0</v>
      </c>
      <c r="H1393" s="24">
        <v>0.17475728690624201</v>
      </c>
      <c r="I1393" s="24">
        <v>0.19611650705337499</v>
      </c>
      <c r="J1393" s="24">
        <v>0.51067960262298495</v>
      </c>
      <c r="K1393" s="23">
        <v>1.3592232950031801E-2</v>
      </c>
      <c r="L1393" s="23">
        <v>9.7087379544972992E-3</v>
      </c>
      <c r="M1393" s="23">
        <v>9.5145627856254605E-2</v>
      </c>
      <c r="N1393" s="23">
        <v>0</v>
      </c>
      <c r="O1393" s="24">
        <v>0.16504853963851901</v>
      </c>
      <c r="P1393" s="24">
        <v>0.35922330617904602</v>
      </c>
      <c r="Q1393" s="24">
        <v>0.88737863302230802</v>
      </c>
      <c r="R1393" s="25">
        <v>6.7961165048543687E-2</v>
      </c>
      <c r="S1393" s="25">
        <v>0</v>
      </c>
      <c r="T1393" s="25">
        <v>9.5145631067961159E-2</v>
      </c>
    </row>
    <row r="1394" spans="1:20" x14ac:dyDescent="0.25">
      <c r="A1394" s="8" t="s">
        <v>2884</v>
      </c>
      <c r="B1394" s="8" t="s">
        <v>2885</v>
      </c>
      <c r="C1394" s="8" t="s">
        <v>3540</v>
      </c>
      <c r="D1394" s="8">
        <v>1131</v>
      </c>
      <c r="E1394" s="24">
        <v>0.47126436233520502</v>
      </c>
      <c r="F1394" s="24">
        <v>0.52873563766479403</v>
      </c>
      <c r="G1394" s="23">
        <v>0</v>
      </c>
      <c r="H1394" s="24">
        <v>0.222811669111251</v>
      </c>
      <c r="I1394" s="23">
        <v>1.8567638471722599E-2</v>
      </c>
      <c r="J1394" s="24">
        <v>0.1839080452919</v>
      </c>
      <c r="K1394" s="23">
        <v>5.74712641537189E-2</v>
      </c>
      <c r="L1394" s="23">
        <v>3.5366932861507E-3</v>
      </c>
      <c r="M1394" s="24">
        <v>0.51105219125747603</v>
      </c>
      <c r="N1394" s="23">
        <v>2.6525198481976999E-3</v>
      </c>
      <c r="O1394" s="24">
        <v>0.129089295864105</v>
      </c>
      <c r="P1394" s="23">
        <v>0.10079575330019</v>
      </c>
      <c r="Q1394" s="24">
        <v>0.49602121114730802</v>
      </c>
      <c r="R1394" s="25">
        <v>8.8417329796640146E-3</v>
      </c>
      <c r="S1394" s="25">
        <v>3.5366931918656055E-3</v>
      </c>
      <c r="T1394" s="25">
        <v>0.11494252873563218</v>
      </c>
    </row>
    <row r="1395" spans="1:20" x14ac:dyDescent="0.25">
      <c r="A1395" s="8" t="s">
        <v>2886</v>
      </c>
      <c r="B1395" s="8" t="s">
        <v>2887</v>
      </c>
      <c r="C1395" s="8" t="s">
        <v>3540</v>
      </c>
      <c r="D1395" s="8">
        <v>383</v>
      </c>
      <c r="E1395" s="24">
        <v>0.46214097738265902</v>
      </c>
      <c r="F1395" s="24">
        <v>0.53785902261733998</v>
      </c>
      <c r="G1395" s="23">
        <v>0</v>
      </c>
      <c r="H1395" s="24">
        <v>0.24804177880287101</v>
      </c>
      <c r="I1395" s="24">
        <v>0.13054829835891699</v>
      </c>
      <c r="J1395" s="24">
        <v>0.43080940842628401</v>
      </c>
      <c r="K1395" s="23">
        <v>2.3498695343732799E-2</v>
      </c>
      <c r="L1395" s="23">
        <v>7.8328978270292005E-3</v>
      </c>
      <c r="M1395" s="23">
        <v>0.15926893055439001</v>
      </c>
      <c r="N1395" s="23">
        <v>0</v>
      </c>
      <c r="O1395" s="24">
        <v>0.161879897117614</v>
      </c>
      <c r="P1395" s="24">
        <v>0.14882506430149001</v>
      </c>
      <c r="Q1395" s="24">
        <v>0.83550912141799905</v>
      </c>
      <c r="R1395" s="25">
        <v>3.1331592689295036E-2</v>
      </c>
      <c r="S1395" s="25">
        <v>2.3498694516971279E-2</v>
      </c>
      <c r="T1395" s="25">
        <v>9.3994778067885115E-2</v>
      </c>
    </row>
    <row r="1396" spans="1:20" x14ac:dyDescent="0.25">
      <c r="A1396" s="8" t="s">
        <v>2888</v>
      </c>
      <c r="B1396" s="8" t="s">
        <v>2889</v>
      </c>
      <c r="C1396" s="8" t="s">
        <v>3540</v>
      </c>
      <c r="D1396" s="8">
        <v>1069</v>
      </c>
      <c r="E1396" s="24">
        <v>0.48175865411758401</v>
      </c>
      <c r="F1396" s="24">
        <v>0.51824134588241499</v>
      </c>
      <c r="G1396" s="23">
        <v>0</v>
      </c>
      <c r="H1396" s="23">
        <v>9.7287185490131406E-2</v>
      </c>
      <c r="I1396" s="23">
        <v>5.51917664706707E-2</v>
      </c>
      <c r="J1396" s="23">
        <v>0.820392906665802</v>
      </c>
      <c r="K1396" s="23">
        <v>9.3545368872579996E-4</v>
      </c>
      <c r="L1396" s="23">
        <v>6.5481760539113998E-3</v>
      </c>
      <c r="M1396" s="23">
        <v>1.9644526764750501E-2</v>
      </c>
      <c r="N1396" s="23">
        <v>0</v>
      </c>
      <c r="O1396" s="24">
        <v>0.155285313725471</v>
      </c>
      <c r="P1396" s="24">
        <v>0.45743685960769598</v>
      </c>
      <c r="Q1396" s="23">
        <v>0.86342376470565796</v>
      </c>
      <c r="R1396" s="25">
        <v>4.8643592142188961E-2</v>
      </c>
      <c r="S1396" s="25">
        <v>2.8063610851262861E-3</v>
      </c>
      <c r="T1396" s="25">
        <v>9.073900841908325E-2</v>
      </c>
    </row>
    <row r="1397" spans="1:20" x14ac:dyDescent="0.25">
      <c r="A1397" s="8" t="s">
        <v>2890</v>
      </c>
      <c r="B1397" s="8" t="s">
        <v>2891</v>
      </c>
      <c r="C1397" s="8" t="s">
        <v>3540</v>
      </c>
      <c r="D1397" s="8">
        <v>1010</v>
      </c>
      <c r="E1397" s="24">
        <v>0.46039605140686002</v>
      </c>
      <c r="F1397" s="24">
        <v>0.53960394859313898</v>
      </c>
      <c r="G1397" s="23">
        <v>0</v>
      </c>
      <c r="H1397" s="24">
        <v>0.14851485192775701</v>
      </c>
      <c r="I1397" s="23">
        <v>3.56435626745224E-2</v>
      </c>
      <c r="J1397" s="24">
        <v>0.385148525238037</v>
      </c>
      <c r="K1397" s="23">
        <v>2.77227722108364E-2</v>
      </c>
      <c r="L1397" s="23">
        <v>6.9306930527091E-3</v>
      </c>
      <c r="M1397" s="24">
        <v>0.39207920432090698</v>
      </c>
      <c r="N1397" s="23">
        <v>3.9603961631655997E-3</v>
      </c>
      <c r="O1397" s="24">
        <v>0.17326731979846899</v>
      </c>
      <c r="P1397" s="23">
        <v>9.7029700875282301E-2</v>
      </c>
      <c r="Q1397" s="24">
        <v>0.66831684112548795</v>
      </c>
      <c r="R1397" s="25">
        <v>2.7722772277227723E-2</v>
      </c>
      <c r="S1397" s="25">
        <v>9.9009900990099011E-4</v>
      </c>
      <c r="T1397" s="25">
        <v>0.13960396039603962</v>
      </c>
    </row>
    <row r="1398" spans="1:20" x14ac:dyDescent="0.25">
      <c r="A1398" s="8" t="s">
        <v>2892</v>
      </c>
      <c r="B1398" s="8" t="s">
        <v>2893</v>
      </c>
      <c r="C1398" s="8" t="s">
        <v>3540</v>
      </c>
      <c r="D1398" s="8">
        <v>1413</v>
      </c>
      <c r="E1398" s="24">
        <v>0.47629156708717302</v>
      </c>
      <c r="F1398" s="24">
        <v>0.52370840311050404</v>
      </c>
      <c r="G1398" s="23">
        <v>0</v>
      </c>
      <c r="H1398" s="23">
        <v>5.5909413844347E-2</v>
      </c>
      <c r="I1398" s="23">
        <v>7.7848550863563997E-3</v>
      </c>
      <c r="J1398" s="24">
        <v>0.91932058334350497</v>
      </c>
      <c r="K1398" s="23">
        <v>1.4154281234369001E-3</v>
      </c>
      <c r="L1398" s="23">
        <v>3.5385703667998002E-3</v>
      </c>
      <c r="M1398" s="23">
        <v>1.2031139805912999E-2</v>
      </c>
      <c r="N1398" s="23">
        <v>0</v>
      </c>
      <c r="O1398" s="24">
        <v>0.14932766556739799</v>
      </c>
      <c r="P1398" s="24">
        <v>0.32554847002029402</v>
      </c>
      <c r="Q1398" s="24">
        <v>0.91295117139816195</v>
      </c>
      <c r="R1398" s="25">
        <v>6.5109695682944085E-2</v>
      </c>
      <c r="S1398" s="25">
        <v>7.0771408351026188E-4</v>
      </c>
      <c r="T1398" s="25">
        <v>8.4925690021231418E-2</v>
      </c>
    </row>
    <row r="1399" spans="1:20" x14ac:dyDescent="0.25">
      <c r="A1399" s="8" t="s">
        <v>2894</v>
      </c>
      <c r="B1399" s="8" t="s">
        <v>2895</v>
      </c>
      <c r="C1399" s="8" t="s">
        <v>3540</v>
      </c>
      <c r="D1399" s="8">
        <v>655</v>
      </c>
      <c r="E1399" s="24">
        <v>0.46259543299674899</v>
      </c>
      <c r="F1399" s="24">
        <v>0.53740459680557195</v>
      </c>
      <c r="G1399" s="23">
        <v>0</v>
      </c>
      <c r="H1399" s="24">
        <v>0.14656488597393</v>
      </c>
      <c r="I1399" s="23">
        <v>1.98473278433084E-2</v>
      </c>
      <c r="J1399" s="24">
        <v>0.803053438663482</v>
      </c>
      <c r="K1399" s="23">
        <v>0</v>
      </c>
      <c r="L1399" s="23">
        <v>0</v>
      </c>
      <c r="M1399" s="23">
        <v>2.59541980922222E-2</v>
      </c>
      <c r="N1399" s="23">
        <v>4.5801526866853003E-3</v>
      </c>
      <c r="O1399" s="24">
        <v>0.247328251600265</v>
      </c>
      <c r="P1399" s="23">
        <v>0.47633588314056402</v>
      </c>
      <c r="Q1399" s="24">
        <v>0.86564886569976796</v>
      </c>
      <c r="R1399" s="25">
        <v>0.10229007633587786</v>
      </c>
      <c r="S1399" s="25">
        <v>0</v>
      </c>
      <c r="T1399" s="25">
        <v>0.13587786259541984</v>
      </c>
    </row>
    <row r="1400" spans="1:20" x14ac:dyDescent="0.25">
      <c r="A1400" s="8" t="s">
        <v>2896</v>
      </c>
      <c r="B1400" s="8" t="s">
        <v>2897</v>
      </c>
      <c r="C1400" s="8" t="s">
        <v>3540</v>
      </c>
      <c r="D1400" s="8">
        <v>705</v>
      </c>
      <c r="E1400" s="24">
        <v>0.48368793725967402</v>
      </c>
      <c r="F1400" s="24">
        <v>0.51631206274032504</v>
      </c>
      <c r="G1400" s="23">
        <v>0</v>
      </c>
      <c r="H1400" s="23">
        <v>7.2340428829193101E-2</v>
      </c>
      <c r="I1400" s="23">
        <v>8.5106380283833001E-3</v>
      </c>
      <c r="J1400" s="24">
        <v>0.86950355768203702</v>
      </c>
      <c r="K1400" s="23">
        <v>7.0921983569859999E-3</v>
      </c>
      <c r="L1400" s="23">
        <v>1.27659570425749E-2</v>
      </c>
      <c r="M1400" s="23">
        <v>2.97872349619865E-2</v>
      </c>
      <c r="N1400" s="23">
        <v>0</v>
      </c>
      <c r="O1400" s="24">
        <v>0.18581560254096899</v>
      </c>
      <c r="P1400" s="24">
        <v>0.44397163391113198</v>
      </c>
      <c r="Q1400" s="24">
        <v>0.89361703395843495</v>
      </c>
      <c r="R1400" s="25">
        <v>4.2553191489361701E-2</v>
      </c>
      <c r="S1400" s="25">
        <v>2.8368794326241137E-3</v>
      </c>
      <c r="T1400" s="25">
        <v>0.1276595744680851</v>
      </c>
    </row>
    <row r="1401" spans="1:20" x14ac:dyDescent="0.25">
      <c r="A1401" s="8" t="s">
        <v>2898</v>
      </c>
      <c r="B1401" s="8" t="s">
        <v>2899</v>
      </c>
      <c r="C1401" s="8" t="s">
        <v>3540</v>
      </c>
      <c r="D1401" s="8">
        <v>657</v>
      </c>
      <c r="E1401" s="24">
        <v>0.49315068125724698</v>
      </c>
      <c r="F1401" s="24">
        <v>0.50684928894042902</v>
      </c>
      <c r="G1401" s="23">
        <v>0</v>
      </c>
      <c r="H1401" s="24">
        <v>0.26027396321296598</v>
      </c>
      <c r="I1401" s="23">
        <v>1.52206998318434E-2</v>
      </c>
      <c r="J1401" s="24">
        <v>0.42617961764335599</v>
      </c>
      <c r="K1401" s="23">
        <v>4.718416929245E-2</v>
      </c>
      <c r="L1401" s="23">
        <v>1.36986300349236E-2</v>
      </c>
      <c r="M1401" s="24">
        <v>0.23744292557239499</v>
      </c>
      <c r="N1401" s="23">
        <v>0</v>
      </c>
      <c r="O1401" s="23">
        <v>0.123287670314312</v>
      </c>
      <c r="P1401" s="24">
        <v>0.188736677169799</v>
      </c>
      <c r="Q1401" s="24">
        <v>0.58751904964446999</v>
      </c>
      <c r="R1401" s="25">
        <v>2.5875190258751901E-2</v>
      </c>
      <c r="S1401" s="25">
        <v>0</v>
      </c>
      <c r="T1401" s="25">
        <v>8.9802130898021304E-2</v>
      </c>
    </row>
    <row r="1402" spans="1:20" x14ac:dyDescent="0.25">
      <c r="A1402" s="8" t="s">
        <v>2900</v>
      </c>
      <c r="B1402" s="8" t="s">
        <v>2901</v>
      </c>
      <c r="C1402" s="8" t="s">
        <v>3540</v>
      </c>
      <c r="D1402" s="8">
        <v>333</v>
      </c>
      <c r="E1402" s="24">
        <v>0.49549549818038902</v>
      </c>
      <c r="F1402" s="24">
        <v>0.50450450181961004</v>
      </c>
      <c r="G1402" s="23">
        <v>0</v>
      </c>
      <c r="H1402" s="24">
        <v>0.16816817224025701</v>
      </c>
      <c r="I1402" s="24">
        <v>0.19819819927215501</v>
      </c>
      <c r="J1402" s="24">
        <v>0.49549549818038902</v>
      </c>
      <c r="K1402" s="23">
        <v>9.0090092271565992E-3</v>
      </c>
      <c r="L1402" s="23">
        <v>2.4024024605750999E-2</v>
      </c>
      <c r="M1402" s="24">
        <v>0.10510510206222499</v>
      </c>
      <c r="N1402" s="23">
        <v>0</v>
      </c>
      <c r="O1402" s="24">
        <v>0.20120120048522899</v>
      </c>
      <c r="P1402" s="24">
        <v>0.24024024605750999</v>
      </c>
      <c r="Q1402" s="24">
        <v>0.90090090036392201</v>
      </c>
      <c r="R1402" s="25">
        <v>6.6066066066066062E-2</v>
      </c>
      <c r="S1402" s="25">
        <v>0</v>
      </c>
      <c r="T1402" s="25">
        <v>0.15015015015015015</v>
      </c>
    </row>
    <row r="1403" spans="1:20" x14ac:dyDescent="0.25">
      <c r="A1403" s="8" t="s">
        <v>2902</v>
      </c>
      <c r="B1403" s="8" t="s">
        <v>2903</v>
      </c>
      <c r="C1403" s="8" t="s">
        <v>3540</v>
      </c>
      <c r="D1403" s="8">
        <v>630</v>
      </c>
      <c r="E1403" s="24">
        <v>0.46666666865348799</v>
      </c>
      <c r="F1403" s="24">
        <v>0.53333336114883401</v>
      </c>
      <c r="G1403" s="23">
        <v>0</v>
      </c>
      <c r="H1403" s="24">
        <v>0.56349205970764105</v>
      </c>
      <c r="I1403" s="23">
        <v>6.3492064364253998E-3</v>
      </c>
      <c r="J1403" s="24">
        <v>0.36666667461395203</v>
      </c>
      <c r="K1403" s="23">
        <v>3.1746032182126999E-3</v>
      </c>
      <c r="L1403" s="23">
        <v>1.11111113801599E-2</v>
      </c>
      <c r="M1403" s="23">
        <v>4.9206349998712498E-2</v>
      </c>
      <c r="N1403" s="23">
        <v>0</v>
      </c>
      <c r="O1403" s="24">
        <v>0.161904767155647</v>
      </c>
      <c r="P1403" s="23">
        <v>0.30317461490631098</v>
      </c>
      <c r="Q1403" s="24">
        <v>0.86190474033355702</v>
      </c>
      <c r="R1403" s="25">
        <v>7.7777777777777779E-2</v>
      </c>
      <c r="S1403" s="25">
        <v>1.5873015873015873E-3</v>
      </c>
      <c r="T1403" s="25">
        <v>7.6190476190476197E-2</v>
      </c>
    </row>
    <row r="1404" spans="1:20" x14ac:dyDescent="0.25">
      <c r="A1404" s="8" t="s">
        <v>2904</v>
      </c>
      <c r="B1404" s="8" t="s">
        <v>2905</v>
      </c>
      <c r="C1404" s="8" t="s">
        <v>3540</v>
      </c>
      <c r="D1404" s="8">
        <v>823</v>
      </c>
      <c r="E1404" s="24">
        <v>0.51518833637237504</v>
      </c>
      <c r="F1404" s="24">
        <v>0.48481166362762401</v>
      </c>
      <c r="G1404" s="23">
        <v>0</v>
      </c>
      <c r="H1404" s="24">
        <v>0.183475092053413</v>
      </c>
      <c r="I1404" s="23">
        <v>3.5236939787864699E-2</v>
      </c>
      <c r="J1404" s="24">
        <v>0.442284315824508</v>
      </c>
      <c r="K1404" s="23">
        <v>4.4957473874092102E-2</v>
      </c>
      <c r="L1404" s="23">
        <v>2.06561367958784E-2</v>
      </c>
      <c r="M1404" s="24">
        <v>0.27339002490043601</v>
      </c>
      <c r="N1404" s="23">
        <v>0</v>
      </c>
      <c r="O1404" s="24">
        <v>0.15552856028079901</v>
      </c>
      <c r="P1404" s="24">
        <v>0.26123937964439298</v>
      </c>
      <c r="Q1404" s="24">
        <v>0.62332928180694502</v>
      </c>
      <c r="R1404" s="25">
        <v>3.8882138517618466E-2</v>
      </c>
      <c r="S1404" s="25">
        <v>1.215066828675577E-3</v>
      </c>
      <c r="T1404" s="25">
        <v>0.10085054678007291</v>
      </c>
    </row>
    <row r="1405" spans="1:20" x14ac:dyDescent="0.25">
      <c r="A1405" s="8" t="s">
        <v>2906</v>
      </c>
      <c r="B1405" s="8" t="s">
        <v>2907</v>
      </c>
      <c r="C1405" s="8" t="s">
        <v>3540</v>
      </c>
      <c r="D1405" s="8">
        <v>412</v>
      </c>
      <c r="E1405" s="24">
        <v>0.46844661235809298</v>
      </c>
      <c r="F1405" s="24">
        <v>0.53155338764190596</v>
      </c>
      <c r="G1405" s="23">
        <v>0</v>
      </c>
      <c r="H1405" s="23">
        <v>0.12135922163724901</v>
      </c>
      <c r="I1405" s="24">
        <v>0.19417475163936601</v>
      </c>
      <c r="J1405" s="24">
        <v>0.52184468507766701</v>
      </c>
      <c r="K1405" s="23">
        <v>1.4563106931746001E-2</v>
      </c>
      <c r="L1405" s="23">
        <v>7.2815534658730004E-3</v>
      </c>
      <c r="M1405" s="24">
        <v>0.14077669382095301</v>
      </c>
      <c r="N1405" s="23">
        <v>0</v>
      </c>
      <c r="O1405" s="24">
        <v>0.317961156368255</v>
      </c>
      <c r="P1405" s="24">
        <v>0.216019421815872</v>
      </c>
      <c r="Q1405" s="24">
        <v>0.90776699781417802</v>
      </c>
      <c r="R1405" s="25">
        <v>0.14077669902912621</v>
      </c>
      <c r="S1405" s="25">
        <v>0</v>
      </c>
      <c r="T1405" s="25">
        <v>0.16262135922330098</v>
      </c>
    </row>
    <row r="1406" spans="1:20" x14ac:dyDescent="0.25">
      <c r="A1406" s="8" t="s">
        <v>2908</v>
      </c>
      <c r="B1406" s="8" t="s">
        <v>2909</v>
      </c>
      <c r="C1406" s="8" t="s">
        <v>3540</v>
      </c>
      <c r="D1406" s="8">
        <v>382</v>
      </c>
      <c r="E1406" s="24">
        <v>0.47905758023262002</v>
      </c>
      <c r="F1406" s="24">
        <v>0.52094238996505704</v>
      </c>
      <c r="G1406" s="23">
        <v>0</v>
      </c>
      <c r="H1406" s="24">
        <v>0.112565442919731</v>
      </c>
      <c r="I1406" s="24">
        <v>0.10732984542846601</v>
      </c>
      <c r="J1406" s="24">
        <v>0.693717300891876</v>
      </c>
      <c r="K1406" s="23">
        <v>2.6178010739385999E-3</v>
      </c>
      <c r="L1406" s="23">
        <v>1.04712042957544E-2</v>
      </c>
      <c r="M1406" s="23">
        <v>7.3298431932926206E-2</v>
      </c>
      <c r="N1406" s="23">
        <v>0</v>
      </c>
      <c r="O1406" s="24">
        <v>0.19895288348197901</v>
      </c>
      <c r="P1406" s="24">
        <v>0.54188483953475897</v>
      </c>
      <c r="Q1406" s="24">
        <v>0.93979054689407304</v>
      </c>
      <c r="R1406" s="25">
        <v>0.10209424083769633</v>
      </c>
      <c r="S1406" s="25">
        <v>7.8534031413612562E-3</v>
      </c>
      <c r="T1406" s="25">
        <v>7.3298429319371722E-2</v>
      </c>
    </row>
    <row r="1407" spans="1:20" x14ac:dyDescent="0.25">
      <c r="A1407" s="8" t="s">
        <v>2910</v>
      </c>
      <c r="B1407" s="8" t="s">
        <v>2911</v>
      </c>
      <c r="C1407" s="8" t="s">
        <v>3540</v>
      </c>
      <c r="D1407" s="8">
        <v>563</v>
      </c>
      <c r="E1407" s="24">
        <v>0.53641206026077204</v>
      </c>
      <c r="F1407" s="24">
        <v>0.46358790993690402</v>
      </c>
      <c r="G1407" s="23">
        <v>0</v>
      </c>
      <c r="H1407" s="24">
        <v>0.20603907108306799</v>
      </c>
      <c r="I1407" s="23">
        <v>5.3285970352589997E-3</v>
      </c>
      <c r="J1407" s="23">
        <v>0.61456483602523804</v>
      </c>
      <c r="K1407" s="23">
        <v>4.79573719203472E-2</v>
      </c>
      <c r="L1407" s="23">
        <v>3.5523979458958002E-3</v>
      </c>
      <c r="M1407" s="24">
        <v>0.12255772948264999</v>
      </c>
      <c r="N1407" s="23">
        <v>0</v>
      </c>
      <c r="O1407" s="24">
        <v>0.213143870234489</v>
      </c>
      <c r="P1407" s="24">
        <v>0.23090586066245999</v>
      </c>
      <c r="Q1407" s="24">
        <v>0.65719360113143899</v>
      </c>
      <c r="R1407" s="25">
        <v>6.7495559502664296E-2</v>
      </c>
      <c r="S1407" s="25">
        <v>1.4209591474245116E-2</v>
      </c>
      <c r="T1407" s="25">
        <v>0.14742451154529307</v>
      </c>
    </row>
    <row r="1408" spans="1:20" x14ac:dyDescent="0.25">
      <c r="A1408" s="8" t="s">
        <v>2912</v>
      </c>
      <c r="B1408" s="8" t="s">
        <v>2913</v>
      </c>
      <c r="C1408" s="8" t="s">
        <v>3540</v>
      </c>
      <c r="D1408" s="8">
        <v>201</v>
      </c>
      <c r="E1408" s="24">
        <v>0.54726368188857999</v>
      </c>
      <c r="F1408" s="24">
        <v>0.45273631811141901</v>
      </c>
      <c r="G1408" s="23">
        <v>0</v>
      </c>
      <c r="H1408" s="24">
        <v>0.13930347561836201</v>
      </c>
      <c r="I1408" s="23">
        <v>1.9900497049093201E-2</v>
      </c>
      <c r="J1408" s="24">
        <v>0.63184082508087103</v>
      </c>
      <c r="K1408" s="23">
        <v>5.47263696789742E-2</v>
      </c>
      <c r="L1408" s="23">
        <v>0</v>
      </c>
      <c r="M1408" s="24">
        <v>0.15422885119915</v>
      </c>
      <c r="N1408" s="23">
        <v>0</v>
      </c>
      <c r="O1408" s="24">
        <v>0.14427860081195801</v>
      </c>
      <c r="P1408" s="24">
        <v>0.32835820317268299</v>
      </c>
      <c r="Q1408" s="24">
        <v>0.63184082508087103</v>
      </c>
      <c r="R1408" s="25">
        <v>4.9751243781094526E-3</v>
      </c>
      <c r="S1408" s="25">
        <v>0</v>
      </c>
      <c r="T1408" s="25">
        <v>0.11940298507462686</v>
      </c>
    </row>
    <row r="1409" spans="1:20" x14ac:dyDescent="0.25">
      <c r="A1409" s="8" t="s">
        <v>2914</v>
      </c>
      <c r="B1409" s="8" t="s">
        <v>2915</v>
      </c>
      <c r="C1409" s="8" t="s">
        <v>3540</v>
      </c>
      <c r="D1409" s="8">
        <v>1554</v>
      </c>
      <c r="E1409" s="24">
        <v>0.48198199272155701</v>
      </c>
      <c r="F1409" s="24">
        <v>0.51737451553344704</v>
      </c>
      <c r="G1409" s="23">
        <v>6.4350065076719998E-4</v>
      </c>
      <c r="H1409" s="24">
        <v>0.25804376602172802</v>
      </c>
      <c r="I1409" s="24">
        <v>0.13642214238643599</v>
      </c>
      <c r="J1409" s="24">
        <v>0.37194338440894997</v>
      </c>
      <c r="K1409" s="23">
        <v>4.3114542961120599E-2</v>
      </c>
      <c r="L1409" s="23">
        <v>4.5045046135782996E-3</v>
      </c>
      <c r="M1409" s="24">
        <v>0.18597169220447499</v>
      </c>
      <c r="N1409" s="23">
        <v>0</v>
      </c>
      <c r="O1409" s="24">
        <v>0.15444014966487801</v>
      </c>
      <c r="P1409" s="23">
        <v>3.7323039025068297E-2</v>
      </c>
      <c r="Q1409" s="24">
        <v>0.66023164987563998</v>
      </c>
      <c r="R1409" s="25">
        <v>4.6975546975546977E-2</v>
      </c>
      <c r="S1409" s="25">
        <v>1.9305019305019305E-3</v>
      </c>
      <c r="T1409" s="25">
        <v>9.9742599742599747E-2</v>
      </c>
    </row>
    <row r="1410" spans="1:20" x14ac:dyDescent="0.25">
      <c r="A1410" s="8" t="s">
        <v>2916</v>
      </c>
      <c r="B1410" s="8" t="s">
        <v>2917</v>
      </c>
      <c r="C1410" s="8" t="s">
        <v>3540</v>
      </c>
      <c r="D1410" s="8">
        <v>222</v>
      </c>
      <c r="E1410" s="24">
        <v>0.51351350545883101</v>
      </c>
      <c r="F1410" s="24">
        <v>0.48648649454116799</v>
      </c>
      <c r="G1410" s="23">
        <v>0</v>
      </c>
      <c r="H1410" s="23">
        <v>5.8558557182550403E-2</v>
      </c>
      <c r="I1410" s="23">
        <v>1.8018018454313299E-2</v>
      </c>
      <c r="J1410" s="24">
        <v>0.85585588216781605</v>
      </c>
      <c r="K1410" s="23">
        <v>1.3513513840735E-2</v>
      </c>
      <c r="L1410" s="23">
        <v>0</v>
      </c>
      <c r="M1410" s="23">
        <v>5.40540553629398E-2</v>
      </c>
      <c r="N1410" s="23">
        <v>0</v>
      </c>
      <c r="O1410" s="24">
        <v>0.25675675272941501</v>
      </c>
      <c r="P1410" s="23">
        <v>0.5</v>
      </c>
      <c r="Q1410" s="24">
        <v>0.82882881164550704</v>
      </c>
      <c r="R1410" s="25">
        <v>9.0090090090090086E-2</v>
      </c>
      <c r="S1410" s="25">
        <v>0</v>
      </c>
      <c r="T1410" s="25">
        <v>0.16666666666666666</v>
      </c>
    </row>
    <row r="1411" spans="1:20" x14ac:dyDescent="0.25">
      <c r="A1411" s="8" t="s">
        <v>2918</v>
      </c>
      <c r="B1411" s="8" t="s">
        <v>2919</v>
      </c>
      <c r="C1411" s="8" t="s">
        <v>3540</v>
      </c>
      <c r="D1411" s="8">
        <v>956</v>
      </c>
      <c r="E1411" s="23">
        <v>0.52615064382553101</v>
      </c>
      <c r="F1411" s="24">
        <v>0.47384938597679099</v>
      </c>
      <c r="G1411" s="23">
        <v>0</v>
      </c>
      <c r="H1411" s="23">
        <v>0.34937238693237299</v>
      </c>
      <c r="I1411" s="23">
        <v>6.2761506997049002E-3</v>
      </c>
      <c r="J1411" s="23">
        <v>0.57322174310684204</v>
      </c>
      <c r="K1411" s="23">
        <v>9.4142258167267002E-3</v>
      </c>
      <c r="L1411" s="23">
        <v>1.46443517878652E-2</v>
      </c>
      <c r="M1411" s="23">
        <v>4.6025104820728302E-2</v>
      </c>
      <c r="N1411" s="23">
        <v>1.0460250778124001E-3</v>
      </c>
      <c r="O1411" s="24">
        <v>0.14853556454181599</v>
      </c>
      <c r="P1411" s="24">
        <v>0.22071129083633401</v>
      </c>
      <c r="Q1411" s="24">
        <v>0.78033471107482899</v>
      </c>
      <c r="R1411" s="25">
        <v>5.8577405857740586E-2</v>
      </c>
      <c r="S1411" s="25">
        <v>0</v>
      </c>
      <c r="T1411" s="25">
        <v>8.8912133891213385E-2</v>
      </c>
    </row>
    <row r="1412" spans="1:20" x14ac:dyDescent="0.25">
      <c r="A1412" s="8" t="s">
        <v>2920</v>
      </c>
      <c r="B1412" s="8" t="s">
        <v>2921</v>
      </c>
      <c r="C1412" s="8" t="s">
        <v>3540</v>
      </c>
      <c r="D1412" s="8">
        <v>462</v>
      </c>
      <c r="E1412" s="24">
        <v>0.55627703666687001</v>
      </c>
      <c r="F1412" s="24">
        <v>0.443722933530807</v>
      </c>
      <c r="G1412" s="23">
        <v>0</v>
      </c>
      <c r="H1412" s="24">
        <v>0.14285714924335399</v>
      </c>
      <c r="I1412" s="23">
        <v>7.35930725932121E-2</v>
      </c>
      <c r="J1412" s="24">
        <v>0.35930734872817899</v>
      </c>
      <c r="K1412" s="23">
        <v>4.9783550202846499E-2</v>
      </c>
      <c r="L1412" s="23">
        <v>8.6580086499453007E-3</v>
      </c>
      <c r="M1412" s="24">
        <v>0.36580085754394498</v>
      </c>
      <c r="N1412" s="23">
        <v>0</v>
      </c>
      <c r="O1412" s="24">
        <v>0.207792207598686</v>
      </c>
      <c r="P1412" s="24">
        <v>0.14718614518642401</v>
      </c>
      <c r="Q1412" s="24">
        <v>0.63419914245605402</v>
      </c>
      <c r="R1412" s="25">
        <v>4.9783549783549784E-2</v>
      </c>
      <c r="S1412" s="25">
        <v>2.1645021645021645E-3</v>
      </c>
      <c r="T1412" s="25">
        <v>0.17316017316017315</v>
      </c>
    </row>
    <row r="1413" spans="1:20" x14ac:dyDescent="0.25">
      <c r="A1413" s="8" t="s">
        <v>2922</v>
      </c>
      <c r="B1413" s="8" t="s">
        <v>2923</v>
      </c>
      <c r="C1413" s="8" t="s">
        <v>3540</v>
      </c>
      <c r="D1413" s="8">
        <v>57</v>
      </c>
      <c r="E1413" s="24">
        <v>0.56140351295471103</v>
      </c>
      <c r="F1413" s="24">
        <v>0.43859648704528797</v>
      </c>
      <c r="G1413" s="23">
        <v>0</v>
      </c>
      <c r="H1413" s="23">
        <v>3.5087719559669502E-2</v>
      </c>
      <c r="I1413" s="23">
        <v>3.5087719559669502E-2</v>
      </c>
      <c r="J1413" s="24">
        <v>0.87719297409057595</v>
      </c>
      <c r="K1413" s="23">
        <v>0</v>
      </c>
      <c r="L1413" s="23">
        <v>0</v>
      </c>
      <c r="M1413" s="23">
        <v>5.26315793395042E-2</v>
      </c>
      <c r="N1413" s="23">
        <v>0</v>
      </c>
      <c r="O1413" s="23">
        <v>3.5087719559669502E-2</v>
      </c>
      <c r="P1413" s="23">
        <v>1</v>
      </c>
      <c r="Q1413" s="23">
        <v>1</v>
      </c>
      <c r="R1413" s="25">
        <v>0</v>
      </c>
      <c r="S1413" s="25">
        <v>0</v>
      </c>
      <c r="T1413" s="25">
        <v>3.5087719298245612E-2</v>
      </c>
    </row>
    <row r="1414" spans="1:20" x14ac:dyDescent="0.25">
      <c r="A1414" s="8" t="s">
        <v>2924</v>
      </c>
      <c r="B1414" s="8" t="s">
        <v>2925</v>
      </c>
      <c r="C1414" s="8" t="s">
        <v>3540</v>
      </c>
      <c r="D1414" s="8">
        <v>490</v>
      </c>
      <c r="E1414" s="24">
        <v>0.193877547979354</v>
      </c>
      <c r="F1414" s="24">
        <v>0.80612242221832198</v>
      </c>
      <c r="G1414" s="23">
        <v>0</v>
      </c>
      <c r="H1414" s="24">
        <v>0.16734693944454099</v>
      </c>
      <c r="I1414" s="23">
        <v>6.7346937954425798E-2</v>
      </c>
      <c r="J1414" s="24">
        <v>0.62653058767318703</v>
      </c>
      <c r="K1414" s="23">
        <v>8.1632649526000006E-3</v>
      </c>
      <c r="L1414" s="23">
        <v>1.02040814235806E-2</v>
      </c>
      <c r="M1414" s="24">
        <v>0.11428571492433499</v>
      </c>
      <c r="N1414" s="23">
        <v>6.1224489472806003E-3</v>
      </c>
      <c r="O1414" s="24">
        <v>0.16326530277729001</v>
      </c>
      <c r="P1414" s="23">
        <v>9.5918364822864505E-2</v>
      </c>
      <c r="Q1414" s="24">
        <v>0.79387754201889005</v>
      </c>
      <c r="R1414" s="25">
        <v>0</v>
      </c>
      <c r="S1414" s="25">
        <v>0</v>
      </c>
      <c r="T1414" s="25">
        <v>0.15918367346938775</v>
      </c>
    </row>
    <row r="1415" spans="1:20" x14ac:dyDescent="0.25">
      <c r="A1415" s="8" t="s">
        <v>2926</v>
      </c>
      <c r="B1415" s="8" t="s">
        <v>2927</v>
      </c>
      <c r="C1415" s="8" t="s">
        <v>3540</v>
      </c>
      <c r="D1415" s="8">
        <v>447</v>
      </c>
      <c r="E1415" s="24">
        <v>0.56152123212814298</v>
      </c>
      <c r="F1415" s="24">
        <v>0.43847873806953402</v>
      </c>
      <c r="G1415" s="23">
        <v>0</v>
      </c>
      <c r="H1415" s="23">
        <v>6.26398175954819E-2</v>
      </c>
      <c r="I1415" s="23">
        <v>1.1185682378709301E-2</v>
      </c>
      <c r="J1415" s="23">
        <v>0.86353468894958496</v>
      </c>
      <c r="K1415" s="23">
        <v>0</v>
      </c>
      <c r="L1415" s="23">
        <v>4.0268454700708403E-2</v>
      </c>
      <c r="M1415" s="23">
        <v>2.2371364757418601E-2</v>
      </c>
      <c r="N1415" s="23">
        <v>0</v>
      </c>
      <c r="O1415" s="23">
        <v>0.165548101067543</v>
      </c>
      <c r="P1415" s="24">
        <v>0.59284114837646396</v>
      </c>
      <c r="Q1415" s="24">
        <v>0.91722595691680897</v>
      </c>
      <c r="R1415" s="25">
        <v>7.1588366890380312E-2</v>
      </c>
      <c r="S1415" s="25">
        <v>4.4742729306487695E-3</v>
      </c>
      <c r="T1415" s="25">
        <v>0.10067114093959731</v>
      </c>
    </row>
    <row r="1416" spans="1:20" x14ac:dyDescent="0.25">
      <c r="A1416" s="8" t="s">
        <v>2928</v>
      </c>
      <c r="B1416" s="8" t="s">
        <v>2929</v>
      </c>
      <c r="C1416" s="8" t="s">
        <v>3540</v>
      </c>
      <c r="D1416" s="8">
        <v>577</v>
      </c>
      <c r="E1416" s="23">
        <v>1</v>
      </c>
      <c r="F1416" s="23">
        <v>0</v>
      </c>
      <c r="G1416" s="23">
        <v>0</v>
      </c>
      <c r="H1416" s="24">
        <v>0.22703640162944699</v>
      </c>
      <c r="I1416" s="23">
        <v>7.4523396790027605E-2</v>
      </c>
      <c r="J1416" s="24">
        <v>0.43674176931381198</v>
      </c>
      <c r="K1416" s="23">
        <v>2.2530328482389499E-2</v>
      </c>
      <c r="L1416" s="23">
        <v>1.38648180291057E-2</v>
      </c>
      <c r="M1416" s="24">
        <v>0.220103979110717</v>
      </c>
      <c r="N1416" s="23">
        <v>5.1993066444993002E-3</v>
      </c>
      <c r="O1416" s="23">
        <v>0.17157712578773501</v>
      </c>
      <c r="P1416" s="23">
        <v>5.0259966403245898E-2</v>
      </c>
      <c r="Q1416" s="23">
        <v>0.74696707725524902</v>
      </c>
      <c r="R1416" s="25">
        <v>0</v>
      </c>
      <c r="S1416" s="25">
        <v>3.4662045060658577E-3</v>
      </c>
      <c r="T1416" s="25">
        <v>0.1681109185441941</v>
      </c>
    </row>
    <row r="1417" spans="1:20" x14ac:dyDescent="0.25">
      <c r="A1417" s="8" t="s">
        <v>2930</v>
      </c>
      <c r="B1417" s="8" t="s">
        <v>2931</v>
      </c>
      <c r="C1417" s="8" t="s">
        <v>3540</v>
      </c>
      <c r="D1417" s="8">
        <v>403</v>
      </c>
      <c r="E1417" s="24">
        <v>0.436724573373794</v>
      </c>
      <c r="F1417" s="24">
        <v>0.56327545642852705</v>
      </c>
      <c r="G1417" s="23">
        <v>0</v>
      </c>
      <c r="H1417" s="24">
        <v>0.119106702506542</v>
      </c>
      <c r="I1417" s="24">
        <v>0.12158808857202499</v>
      </c>
      <c r="J1417" s="24">
        <v>0.52853596210479703</v>
      </c>
      <c r="K1417" s="23">
        <v>5.21091818809509E-2</v>
      </c>
      <c r="L1417" s="23">
        <v>2.4813895579426999E-3</v>
      </c>
      <c r="M1417" s="24">
        <v>0.17369727790355599</v>
      </c>
      <c r="N1417" s="23">
        <v>2.4813895579426999E-3</v>
      </c>
      <c r="O1417" s="24">
        <v>0.24069479107856701</v>
      </c>
      <c r="P1417" s="23">
        <v>6.2034741044044502E-2</v>
      </c>
      <c r="Q1417" s="24">
        <v>0.70967739820480302</v>
      </c>
      <c r="R1417" s="25">
        <v>2.4813895781637717E-3</v>
      </c>
      <c r="S1417" s="25">
        <v>7.4441687344913151E-3</v>
      </c>
      <c r="T1417" s="25">
        <v>0.23573200992555832</v>
      </c>
    </row>
    <row r="1418" spans="1:20" x14ac:dyDescent="0.25">
      <c r="A1418" s="8" t="s">
        <v>2932</v>
      </c>
      <c r="B1418" s="8" t="s">
        <v>2933</v>
      </c>
      <c r="C1418" s="8" t="s">
        <v>3540</v>
      </c>
      <c r="D1418" s="8">
        <v>525</v>
      </c>
      <c r="E1418" s="24">
        <v>0.48380953073501498</v>
      </c>
      <c r="F1418" s="24">
        <v>0.51428574323654097</v>
      </c>
      <c r="G1418" s="23">
        <v>1.9047618843615001E-3</v>
      </c>
      <c r="H1418" s="24">
        <v>0.51428574323654097</v>
      </c>
      <c r="I1418" s="23">
        <v>3.4285712987184497E-2</v>
      </c>
      <c r="J1418" s="24">
        <v>0.13142856955528201</v>
      </c>
      <c r="K1418" s="23">
        <v>7.4285715818405207E-2</v>
      </c>
      <c r="L1418" s="23">
        <v>5.7142856530845E-3</v>
      </c>
      <c r="M1418" s="24">
        <v>0.23619048297405201</v>
      </c>
      <c r="N1418" s="23">
        <v>3.8095237687230002E-3</v>
      </c>
      <c r="O1418" s="23">
        <v>6.0952380299568197E-2</v>
      </c>
      <c r="P1418" s="23">
        <v>4.5714285224676098E-2</v>
      </c>
      <c r="Q1418" s="24">
        <v>0.268571436405181</v>
      </c>
      <c r="R1418" s="25">
        <v>0</v>
      </c>
      <c r="S1418" s="25">
        <v>0</v>
      </c>
      <c r="T1418" s="25">
        <v>6.2857142857142861E-2</v>
      </c>
    </row>
    <row r="1419" spans="1:20" x14ac:dyDescent="0.25">
      <c r="A1419" s="8" t="s">
        <v>2934</v>
      </c>
      <c r="B1419" s="8" t="s">
        <v>2935</v>
      </c>
      <c r="C1419" s="8" t="s">
        <v>3540</v>
      </c>
      <c r="D1419" s="8">
        <v>548</v>
      </c>
      <c r="E1419" s="24">
        <v>0.50547444820403997</v>
      </c>
      <c r="F1419" s="24">
        <v>0.49452555179595897</v>
      </c>
      <c r="G1419" s="23">
        <v>0</v>
      </c>
      <c r="H1419" s="23">
        <v>6.2043797224760097E-2</v>
      </c>
      <c r="I1419" s="24">
        <v>0.14598539471626201</v>
      </c>
      <c r="J1419" s="24">
        <v>0.62956202030181796</v>
      </c>
      <c r="K1419" s="23">
        <v>2.9197080060839702E-2</v>
      </c>
      <c r="L1419" s="23">
        <v>1.8248175038025E-3</v>
      </c>
      <c r="M1419" s="24">
        <v>0.12956205010414101</v>
      </c>
      <c r="N1419" s="23">
        <v>1.8248175038025E-3</v>
      </c>
      <c r="O1419" s="24">
        <v>0.222627744078636</v>
      </c>
      <c r="P1419" s="23">
        <v>5.1094889640808099E-2</v>
      </c>
      <c r="Q1419" s="24">
        <v>0.73357665538787797</v>
      </c>
      <c r="R1419" s="25">
        <v>0</v>
      </c>
      <c r="S1419" s="25">
        <v>0</v>
      </c>
      <c r="T1419" s="25">
        <v>0.21897810218978103</v>
      </c>
    </row>
    <row r="1420" spans="1:20" x14ac:dyDescent="0.25">
      <c r="A1420" s="8" t="s">
        <v>2936</v>
      </c>
      <c r="B1420" s="8" t="s">
        <v>2937</v>
      </c>
      <c r="C1420" s="8" t="s">
        <v>3540</v>
      </c>
      <c r="D1420" s="8">
        <v>437</v>
      </c>
      <c r="E1420" s="24">
        <v>0.51258581876754705</v>
      </c>
      <c r="F1420" s="24">
        <v>0.487414181232452</v>
      </c>
      <c r="G1420" s="23">
        <v>0</v>
      </c>
      <c r="H1420" s="23">
        <v>5.4919909685850102E-2</v>
      </c>
      <c r="I1420" s="23">
        <v>4.1189931333064998E-2</v>
      </c>
      <c r="J1420" s="24">
        <v>0.85583525896072299</v>
      </c>
      <c r="K1420" s="23">
        <v>1.14416480064392E-2</v>
      </c>
      <c r="L1420" s="23">
        <v>4.5766588300466997E-3</v>
      </c>
      <c r="M1420" s="23">
        <v>3.2036613672971698E-2</v>
      </c>
      <c r="N1420" s="23">
        <v>0</v>
      </c>
      <c r="O1420" s="24">
        <v>0.23112128674983901</v>
      </c>
      <c r="P1420" s="24">
        <v>0.356979399919509</v>
      </c>
      <c r="Q1420" s="24">
        <v>0.94965672492980902</v>
      </c>
      <c r="R1420" s="25">
        <v>1.1441647597254004E-2</v>
      </c>
      <c r="S1420" s="25">
        <v>6.4073226544622428E-2</v>
      </c>
      <c r="T1420" s="25">
        <v>0.16018306636155608</v>
      </c>
    </row>
    <row r="1421" spans="1:20" x14ac:dyDescent="0.25">
      <c r="A1421" s="8" t="s">
        <v>2938</v>
      </c>
      <c r="B1421" s="8" t="s">
        <v>2939</v>
      </c>
      <c r="C1421" s="8" t="s">
        <v>3540</v>
      </c>
      <c r="D1421" s="8">
        <v>506</v>
      </c>
      <c r="E1421" s="24">
        <v>0.494071155786514</v>
      </c>
      <c r="F1421" s="24">
        <v>0.50592887401580799</v>
      </c>
      <c r="G1421" s="23">
        <v>0</v>
      </c>
      <c r="H1421" s="24">
        <v>0.33399209380149802</v>
      </c>
      <c r="I1421" s="23">
        <v>9.8814228549599994E-3</v>
      </c>
      <c r="J1421" s="24">
        <v>0.46640315651893599</v>
      </c>
      <c r="K1421" s="23">
        <v>3.1620554625988E-2</v>
      </c>
      <c r="L1421" s="23">
        <v>1.38339921832085E-2</v>
      </c>
      <c r="M1421" s="24">
        <v>0.14426878094673101</v>
      </c>
      <c r="N1421" s="23">
        <v>0</v>
      </c>
      <c r="O1421" s="24">
        <v>0.114624507725238</v>
      </c>
      <c r="P1421" s="24">
        <v>0.22332015633582999</v>
      </c>
      <c r="Q1421" s="24">
        <v>0.70750987529754605</v>
      </c>
      <c r="R1421" s="25">
        <v>0</v>
      </c>
      <c r="S1421" s="25">
        <v>0</v>
      </c>
      <c r="T1421" s="25">
        <v>0.10276679841897234</v>
      </c>
    </row>
    <row r="1422" spans="1:20" x14ac:dyDescent="0.25">
      <c r="A1422" s="8" t="s">
        <v>2940</v>
      </c>
      <c r="B1422" s="8" t="s">
        <v>2941</v>
      </c>
      <c r="C1422" s="8" t="s">
        <v>3540</v>
      </c>
      <c r="D1422" s="8">
        <v>182</v>
      </c>
      <c r="E1422" s="23">
        <v>0.5</v>
      </c>
      <c r="F1422" s="23">
        <v>0.5</v>
      </c>
      <c r="G1422" s="23">
        <v>0</v>
      </c>
      <c r="H1422" s="23">
        <v>0.115384615957737</v>
      </c>
      <c r="I1422" s="24">
        <v>0.12637363374233199</v>
      </c>
      <c r="J1422" s="24">
        <v>0.62087911367416304</v>
      </c>
      <c r="K1422" s="23">
        <v>1.6483517363667499E-2</v>
      </c>
      <c r="L1422" s="23">
        <v>5.4945056326686998E-3</v>
      </c>
      <c r="M1422" s="23">
        <v>9.3406595289707198E-2</v>
      </c>
      <c r="N1422" s="23">
        <v>2.19780225306749E-2</v>
      </c>
      <c r="O1422" s="24">
        <v>0.20879121124744399</v>
      </c>
      <c r="P1422" s="23">
        <v>4.9450550228357301E-2</v>
      </c>
      <c r="Q1422" s="24">
        <v>0.74725276231765703</v>
      </c>
      <c r="R1422" s="25">
        <v>0</v>
      </c>
      <c r="S1422" s="25">
        <v>6.5934065934065936E-2</v>
      </c>
      <c r="T1422" s="25">
        <v>0.14835164835164835</v>
      </c>
    </row>
    <row r="1423" spans="1:20" x14ac:dyDescent="0.25">
      <c r="A1423" s="8" t="s">
        <v>2942</v>
      </c>
      <c r="B1423" s="8" t="s">
        <v>2943</v>
      </c>
      <c r="C1423" s="8" t="s">
        <v>3540</v>
      </c>
      <c r="D1423" s="8">
        <v>488</v>
      </c>
      <c r="E1423" s="24">
        <v>0.49795082211494401</v>
      </c>
      <c r="F1423" s="24">
        <v>0.50204920768737704</v>
      </c>
      <c r="G1423" s="23">
        <v>0</v>
      </c>
      <c r="H1423" s="24">
        <v>0.229508191347122</v>
      </c>
      <c r="I1423" s="24">
        <v>0.114754095673561</v>
      </c>
      <c r="J1423" s="24">
        <v>0.213114753365516</v>
      </c>
      <c r="K1423" s="23">
        <v>7.9918034374713898E-2</v>
      </c>
      <c r="L1423" s="23">
        <v>4.0983604267240004E-3</v>
      </c>
      <c r="M1423" s="24">
        <v>0.358606547117233</v>
      </c>
      <c r="N1423" s="23">
        <v>0</v>
      </c>
      <c r="O1423" s="24">
        <v>0.12704917788505499</v>
      </c>
      <c r="P1423" s="24">
        <v>0.108606554567813</v>
      </c>
      <c r="Q1423" s="23">
        <v>0.27868852019309998</v>
      </c>
      <c r="R1423" s="25">
        <v>2.2540983606557378E-2</v>
      </c>
      <c r="S1423" s="25">
        <v>0</v>
      </c>
      <c r="T1423" s="25">
        <v>0.11680327868852459</v>
      </c>
    </row>
    <row r="1424" spans="1:20" x14ac:dyDescent="0.25">
      <c r="A1424" s="8" t="s">
        <v>2944</v>
      </c>
      <c r="B1424" s="8" t="s">
        <v>2945</v>
      </c>
      <c r="C1424" s="8" t="s">
        <v>3540</v>
      </c>
      <c r="D1424" s="8">
        <v>468</v>
      </c>
      <c r="E1424" s="23">
        <v>0.49786323308944702</v>
      </c>
      <c r="F1424" s="23">
        <v>0.50213676691055298</v>
      </c>
      <c r="G1424" s="23">
        <v>0</v>
      </c>
      <c r="H1424" s="24">
        <v>0.43376067280769298</v>
      </c>
      <c r="I1424" s="23">
        <v>8.5470089688896994E-3</v>
      </c>
      <c r="J1424" s="24">
        <v>0.43589743971824602</v>
      </c>
      <c r="K1424" s="23">
        <v>2.7777777984738301E-2</v>
      </c>
      <c r="L1424" s="23">
        <v>0</v>
      </c>
      <c r="M1424" s="23">
        <v>9.4017095863819095E-2</v>
      </c>
      <c r="N1424" s="23">
        <v>0</v>
      </c>
      <c r="O1424" s="24">
        <v>0.162393167614936</v>
      </c>
      <c r="P1424" s="24">
        <v>0.27564102411270103</v>
      </c>
      <c r="Q1424" s="24">
        <v>0.71794873476028398</v>
      </c>
      <c r="R1424" s="25">
        <v>5.128205128205128E-2</v>
      </c>
      <c r="S1424" s="25">
        <v>2.136752136752137E-3</v>
      </c>
      <c r="T1424" s="25">
        <v>0.10042735042735043</v>
      </c>
    </row>
    <row r="1425" spans="1:20" x14ac:dyDescent="0.25">
      <c r="A1425" s="8" t="s">
        <v>2946</v>
      </c>
      <c r="B1425" s="8" t="s">
        <v>2947</v>
      </c>
      <c r="C1425" s="8" t="s">
        <v>3540</v>
      </c>
      <c r="D1425" s="8">
        <v>271</v>
      </c>
      <c r="E1425" s="24">
        <v>0.306273072957992</v>
      </c>
      <c r="F1425" s="24">
        <v>0.69372695684432895</v>
      </c>
      <c r="G1425" s="23">
        <v>0</v>
      </c>
      <c r="H1425" s="24">
        <v>0.13284133374691001</v>
      </c>
      <c r="I1425" s="23">
        <v>8.8560886681079906E-2</v>
      </c>
      <c r="J1425" s="23">
        <v>0.61623615026473999</v>
      </c>
      <c r="K1425" s="23">
        <v>1.476014778018E-2</v>
      </c>
      <c r="L1425" s="23">
        <v>2.952029556036E-2</v>
      </c>
      <c r="M1425" s="23">
        <v>0.11439114063978199</v>
      </c>
      <c r="N1425" s="23">
        <v>3.690036945045E-3</v>
      </c>
      <c r="O1425" s="24">
        <v>0.21402214467525399</v>
      </c>
      <c r="P1425" s="24">
        <v>0.151291519403457</v>
      </c>
      <c r="Q1425" s="24">
        <v>0.80811810493469205</v>
      </c>
      <c r="R1425" s="25">
        <v>0</v>
      </c>
      <c r="S1425" s="25">
        <v>3.6900369003690036E-3</v>
      </c>
      <c r="T1425" s="25">
        <v>0.19557195571955718</v>
      </c>
    </row>
    <row r="1426" spans="1:20" x14ac:dyDescent="0.25">
      <c r="A1426" s="8" t="s">
        <v>2948</v>
      </c>
      <c r="B1426" s="8" t="s">
        <v>2949</v>
      </c>
      <c r="C1426" s="8" t="s">
        <v>3540</v>
      </c>
      <c r="D1426" s="8">
        <v>250</v>
      </c>
      <c r="E1426" s="23">
        <v>0.51599997282028198</v>
      </c>
      <c r="F1426" s="24">
        <v>0.48399999737739502</v>
      </c>
      <c r="G1426" s="23">
        <v>0</v>
      </c>
      <c r="H1426" s="23">
        <v>0.164000004529953</v>
      </c>
      <c r="I1426" s="23">
        <v>3.9999999105930301E-2</v>
      </c>
      <c r="J1426" s="23">
        <v>0.51599997282028198</v>
      </c>
      <c r="K1426" s="23">
        <v>3.5999998450279201E-2</v>
      </c>
      <c r="L1426" s="23">
        <v>4.0000001899898E-3</v>
      </c>
      <c r="M1426" s="23">
        <v>0.239999994635582</v>
      </c>
      <c r="N1426" s="23">
        <v>0</v>
      </c>
      <c r="O1426" s="24">
        <v>0.143999993801116</v>
      </c>
      <c r="P1426" s="23">
        <v>7.9999998211860698E-2</v>
      </c>
      <c r="Q1426" s="24">
        <v>0.70399999618530196</v>
      </c>
      <c r="R1426" s="25">
        <v>0</v>
      </c>
      <c r="S1426" s="25">
        <v>0</v>
      </c>
      <c r="T1426" s="25">
        <v>0.14000000000000001</v>
      </c>
    </row>
    <row r="1427" spans="1:20" x14ac:dyDescent="0.25">
      <c r="A1427" s="8" t="s">
        <v>2950</v>
      </c>
      <c r="B1427" s="8" t="s">
        <v>2951</v>
      </c>
      <c r="C1427" s="8" t="s">
        <v>3540</v>
      </c>
      <c r="D1427" s="8">
        <v>1979</v>
      </c>
      <c r="E1427" s="24">
        <v>0.47448205947875899</v>
      </c>
      <c r="F1427" s="24">
        <v>0.52551794052124001</v>
      </c>
      <c r="G1427" s="23">
        <v>0</v>
      </c>
      <c r="H1427" s="24">
        <v>0.18595249950885701</v>
      </c>
      <c r="I1427" s="23">
        <v>5.5583629757165902E-2</v>
      </c>
      <c r="J1427" s="24">
        <v>0.64578068256378096</v>
      </c>
      <c r="K1427" s="23">
        <v>5.0530568696557998E-3</v>
      </c>
      <c r="L1427" s="23">
        <v>5.0530568696557998E-3</v>
      </c>
      <c r="M1427" s="23">
        <v>9.5502778887748704E-2</v>
      </c>
      <c r="N1427" s="23">
        <v>7.0742797106503998E-3</v>
      </c>
      <c r="O1427" s="24">
        <v>0.16826680302619901</v>
      </c>
      <c r="P1427" s="24">
        <v>0.27892875671386702</v>
      </c>
      <c r="Q1427" s="24">
        <v>0.86457806825637795</v>
      </c>
      <c r="R1427" s="25">
        <v>0</v>
      </c>
      <c r="S1427" s="25">
        <v>1.3643254168772108E-2</v>
      </c>
      <c r="T1427" s="25">
        <v>0.14603335017685701</v>
      </c>
    </row>
    <row r="1428" spans="1:20" x14ac:dyDescent="0.25">
      <c r="A1428" s="8" t="s">
        <v>2952</v>
      </c>
      <c r="B1428" s="8" t="s">
        <v>2953</v>
      </c>
      <c r="C1428" s="8" t="s">
        <v>3540</v>
      </c>
      <c r="D1428" s="8">
        <v>1632</v>
      </c>
      <c r="E1428" s="24">
        <v>0.52022057771682695</v>
      </c>
      <c r="F1428" s="24">
        <v>0.479779422283172</v>
      </c>
      <c r="G1428" s="23">
        <v>0</v>
      </c>
      <c r="H1428" s="23">
        <v>8.0269604921340901E-2</v>
      </c>
      <c r="I1428" s="24">
        <v>0.112132355570793</v>
      </c>
      <c r="J1428" s="23">
        <v>0.71752452850341797</v>
      </c>
      <c r="K1428" s="23">
        <v>3.6764706019312E-3</v>
      </c>
      <c r="L1428" s="23">
        <v>4.2892158962785998E-3</v>
      </c>
      <c r="M1428" s="23">
        <v>7.3529414832591997E-2</v>
      </c>
      <c r="N1428" s="23">
        <v>8.5784317925571996E-3</v>
      </c>
      <c r="O1428" s="23">
        <v>0.1875</v>
      </c>
      <c r="P1428" s="24">
        <v>0.26041665673255898</v>
      </c>
      <c r="Q1428" s="24">
        <v>0.86397057771682695</v>
      </c>
      <c r="R1428" s="25">
        <v>3.6764705882352941E-3</v>
      </c>
      <c r="S1428" s="25">
        <v>1.1029411764705883E-2</v>
      </c>
      <c r="T1428" s="25">
        <v>0.16911764705882354</v>
      </c>
    </row>
    <row r="1429" spans="1:20" x14ac:dyDescent="0.25">
      <c r="A1429" s="8" t="s">
        <v>2957</v>
      </c>
      <c r="B1429" s="8" t="s">
        <v>2958</v>
      </c>
      <c r="C1429" s="8" t="s">
        <v>3540</v>
      </c>
      <c r="D1429" s="8">
        <v>849</v>
      </c>
      <c r="E1429" s="24">
        <v>0.69022381305694502</v>
      </c>
      <c r="F1429" s="24">
        <v>0.30742049217224099</v>
      </c>
      <c r="G1429" s="23">
        <v>2.3557126987725002E-3</v>
      </c>
      <c r="H1429" s="24">
        <v>0.102473497390747</v>
      </c>
      <c r="I1429" s="23">
        <v>9.1872788965702099E-2</v>
      </c>
      <c r="J1429" s="24">
        <v>0.28621909022331199</v>
      </c>
      <c r="K1429" s="23">
        <v>4.7114253044128397E-2</v>
      </c>
      <c r="L1429" s="23">
        <v>1.0600706562399901E-2</v>
      </c>
      <c r="M1429" s="23">
        <v>0.34157833456993097</v>
      </c>
      <c r="N1429" s="24">
        <v>0.12014134228229501</v>
      </c>
      <c r="O1429" s="24">
        <v>0.15901060402393299</v>
      </c>
      <c r="P1429" s="23">
        <v>2.3557126987725002E-3</v>
      </c>
      <c r="Q1429" s="24">
        <v>0.32744404673576299</v>
      </c>
      <c r="R1429" s="25">
        <v>0</v>
      </c>
      <c r="S1429" s="25">
        <v>0</v>
      </c>
      <c r="T1429" s="25">
        <v>0.15547703180212014</v>
      </c>
    </row>
    <row r="1430" spans="1:20" x14ac:dyDescent="0.25">
      <c r="A1430" s="8" t="s">
        <v>2959</v>
      </c>
      <c r="B1430" s="8" t="s">
        <v>2960</v>
      </c>
      <c r="C1430" s="8" t="s">
        <v>3540</v>
      </c>
      <c r="D1430" s="8">
        <v>781</v>
      </c>
      <c r="E1430" s="23">
        <v>0.303457111120224</v>
      </c>
      <c r="F1430" s="24">
        <v>0.69654291868209794</v>
      </c>
      <c r="G1430" s="23">
        <v>0</v>
      </c>
      <c r="H1430" s="24">
        <v>0.195902690291404</v>
      </c>
      <c r="I1430" s="23">
        <v>6.6581308841705295E-2</v>
      </c>
      <c r="J1430" s="24">
        <v>0.636363625526428</v>
      </c>
      <c r="K1430" s="23">
        <v>5.1216389983891998E-3</v>
      </c>
      <c r="L1430" s="23">
        <v>1.02432779967785E-2</v>
      </c>
      <c r="M1430" s="23">
        <v>7.42637664079666E-2</v>
      </c>
      <c r="N1430" s="23">
        <v>1.15236872807145E-2</v>
      </c>
      <c r="O1430" s="24">
        <v>0.195902690291404</v>
      </c>
      <c r="P1430" s="24">
        <v>0.113956466317176</v>
      </c>
      <c r="Q1430" s="24">
        <v>0.85659408569335904</v>
      </c>
      <c r="R1430" s="25">
        <v>0</v>
      </c>
      <c r="S1430" s="25">
        <v>6.2740076824583865E-2</v>
      </c>
      <c r="T1430" s="25">
        <v>0.12163892445582586</v>
      </c>
    </row>
    <row r="1431" spans="1:20" x14ac:dyDescent="0.25">
      <c r="A1431" s="8" t="s">
        <v>2961</v>
      </c>
      <c r="B1431" s="8" t="s">
        <v>2962</v>
      </c>
      <c r="C1431" s="8" t="s">
        <v>3540</v>
      </c>
      <c r="D1431" s="8">
        <v>1161</v>
      </c>
      <c r="E1431" s="24">
        <v>0.39104220271110501</v>
      </c>
      <c r="F1431" s="24">
        <v>0.60809648036956698</v>
      </c>
      <c r="G1431" s="23">
        <v>8.6132646538320001E-4</v>
      </c>
      <c r="H1431" s="23">
        <v>5.3402237594127697E-2</v>
      </c>
      <c r="I1431" s="23">
        <v>1.7226528376340901E-2</v>
      </c>
      <c r="J1431" s="24">
        <v>0.87769162654876698</v>
      </c>
      <c r="K1431" s="23">
        <v>8.6132646538320001E-4</v>
      </c>
      <c r="L1431" s="23">
        <v>4.3066320940852E-3</v>
      </c>
      <c r="M1431" s="23">
        <v>4.65116277337074E-2</v>
      </c>
      <c r="N1431" s="23">
        <v>0</v>
      </c>
      <c r="O1431" s="23">
        <v>3.4453056752681697E-2</v>
      </c>
      <c r="P1431" s="24">
        <v>0.81912142038345304</v>
      </c>
      <c r="Q1431" s="24">
        <v>0.87338501214981001</v>
      </c>
      <c r="R1431" s="25">
        <v>0</v>
      </c>
      <c r="S1431" s="25">
        <v>0</v>
      </c>
      <c r="T1431" s="25">
        <v>3.3591731266149873E-2</v>
      </c>
    </row>
    <row r="1432" spans="1:20" x14ac:dyDescent="0.25">
      <c r="A1432" s="8" t="s">
        <v>2963</v>
      </c>
      <c r="B1432" s="8" t="s">
        <v>2964</v>
      </c>
      <c r="C1432" s="8" t="s">
        <v>3540</v>
      </c>
      <c r="D1432" s="8">
        <v>1213</v>
      </c>
      <c r="E1432" s="24">
        <v>0.52102226018905595</v>
      </c>
      <c r="F1432" s="24">
        <v>0.47897773981094299</v>
      </c>
      <c r="G1432" s="23">
        <v>0</v>
      </c>
      <c r="H1432" s="24">
        <v>0.22093981504440299</v>
      </c>
      <c r="I1432" s="23">
        <v>3.2976090908050502E-2</v>
      </c>
      <c r="J1432" s="24">
        <v>0.350370973348617</v>
      </c>
      <c r="K1432" s="23">
        <v>2.3083264008164399E-2</v>
      </c>
      <c r="L1432" s="23">
        <v>4.1220113635062998E-3</v>
      </c>
      <c r="M1432" s="24">
        <v>0.36603462696075401</v>
      </c>
      <c r="N1432" s="23">
        <v>2.4732069578021999E-3</v>
      </c>
      <c r="O1432" s="24">
        <v>0.13025556504726399</v>
      </c>
      <c r="P1432" s="23">
        <v>1.5663644298911102E-2</v>
      </c>
      <c r="Q1432" s="24">
        <v>0.66941469907760598</v>
      </c>
      <c r="R1432" s="25">
        <v>0</v>
      </c>
      <c r="S1432" s="25">
        <v>0</v>
      </c>
      <c r="T1432" s="25">
        <v>0.12448474855729597</v>
      </c>
    </row>
    <row r="1433" spans="1:20" x14ac:dyDescent="0.25">
      <c r="A1433" s="8" t="s">
        <v>2965</v>
      </c>
      <c r="B1433" s="8" t="s">
        <v>2966</v>
      </c>
      <c r="C1433" s="8" t="s">
        <v>3540</v>
      </c>
      <c r="D1433" s="8">
        <v>530</v>
      </c>
      <c r="E1433" s="24">
        <v>0.54339623451232899</v>
      </c>
      <c r="F1433" s="24">
        <v>0.45660376548767001</v>
      </c>
      <c r="G1433" s="23">
        <v>0</v>
      </c>
      <c r="H1433" s="24">
        <v>0.38113206624984702</v>
      </c>
      <c r="I1433" s="23">
        <v>2.83018872141838E-2</v>
      </c>
      <c r="J1433" s="24">
        <v>0.192452833056449</v>
      </c>
      <c r="K1433" s="23">
        <v>5.2830189466476399E-2</v>
      </c>
      <c r="L1433" s="23">
        <v>1.32075473666191E-2</v>
      </c>
      <c r="M1433" s="24">
        <v>0.313207536935806</v>
      </c>
      <c r="N1433" s="23">
        <v>1.8867924809455899E-2</v>
      </c>
      <c r="O1433" s="24">
        <v>0.120754718780517</v>
      </c>
      <c r="P1433" s="23">
        <v>1.13207548856735E-2</v>
      </c>
      <c r="Q1433" s="24">
        <v>0.53773581981658902</v>
      </c>
      <c r="R1433" s="25">
        <v>1.8867924528301886E-2</v>
      </c>
      <c r="S1433" s="25">
        <v>1.8867924528301887E-3</v>
      </c>
      <c r="T1433" s="25">
        <v>9.4339622641509441E-2</v>
      </c>
    </row>
    <row r="1434" spans="1:20" x14ac:dyDescent="0.25">
      <c r="A1434" s="8" t="s">
        <v>2967</v>
      </c>
      <c r="B1434" s="8" t="s">
        <v>2968</v>
      </c>
      <c r="C1434" s="8" t="s">
        <v>3540</v>
      </c>
      <c r="D1434" s="8">
        <v>457</v>
      </c>
      <c r="E1434" s="24">
        <v>0.43326038122177102</v>
      </c>
      <c r="F1434" s="24">
        <v>0.56673961877822798</v>
      </c>
      <c r="G1434" s="23">
        <v>0</v>
      </c>
      <c r="H1434" s="23">
        <v>5.6892778724431999E-2</v>
      </c>
      <c r="I1434" s="23">
        <v>1.31291029974818E-2</v>
      </c>
      <c r="J1434" s="24">
        <v>0.231947481632232</v>
      </c>
      <c r="K1434" s="23">
        <v>1.31291029974818E-2</v>
      </c>
      <c r="L1434" s="23">
        <v>0</v>
      </c>
      <c r="M1434" s="24">
        <v>0.68490153551101596</v>
      </c>
      <c r="N1434" s="23">
        <v>0</v>
      </c>
      <c r="O1434" s="24">
        <v>0.27133479714393599</v>
      </c>
      <c r="P1434" s="23">
        <v>7.0021882653236403E-2</v>
      </c>
      <c r="Q1434" s="24">
        <v>0.36980307102203303</v>
      </c>
      <c r="R1434" s="25">
        <v>5.0328227571115977E-2</v>
      </c>
      <c r="S1434" s="25">
        <v>0</v>
      </c>
      <c r="T1434" s="25">
        <v>0.21444201312910285</v>
      </c>
    </row>
    <row r="1435" spans="1:20" x14ac:dyDescent="0.25">
      <c r="A1435" s="8" t="s">
        <v>2969</v>
      </c>
      <c r="B1435" s="8" t="s">
        <v>2970</v>
      </c>
      <c r="C1435" s="8" t="s">
        <v>3540</v>
      </c>
      <c r="D1435" s="8">
        <v>976</v>
      </c>
      <c r="E1435" s="24">
        <v>0.491803288459777</v>
      </c>
      <c r="F1435" s="24">
        <v>0.50819671154022195</v>
      </c>
      <c r="G1435" s="23">
        <v>0</v>
      </c>
      <c r="H1435" s="24">
        <v>0.27561476826667702</v>
      </c>
      <c r="I1435" s="23">
        <v>4.61065582931042E-2</v>
      </c>
      <c r="J1435" s="23">
        <v>0.28381147980690002</v>
      </c>
      <c r="K1435" s="23">
        <v>2.66393441706896E-2</v>
      </c>
      <c r="L1435" s="23">
        <v>4.0983604267240004E-3</v>
      </c>
      <c r="M1435" s="24">
        <v>0.36372950673103299</v>
      </c>
      <c r="N1435" s="23">
        <v>0</v>
      </c>
      <c r="O1435" s="24">
        <v>0.19467213749885501</v>
      </c>
      <c r="P1435" s="24">
        <v>0.141393437981605</v>
      </c>
      <c r="Q1435" s="24">
        <v>0.76946723461151101</v>
      </c>
      <c r="R1435" s="25">
        <v>5.6352459016393443E-2</v>
      </c>
      <c r="S1435" s="25">
        <v>0</v>
      </c>
      <c r="T1435" s="25">
        <v>0.13114754098360656</v>
      </c>
    </row>
    <row r="1436" spans="1:20" x14ac:dyDescent="0.25">
      <c r="A1436" s="8" t="s">
        <v>2971</v>
      </c>
      <c r="B1436" s="8" t="s">
        <v>2972</v>
      </c>
      <c r="C1436" s="8" t="s">
        <v>3540</v>
      </c>
      <c r="D1436" s="8">
        <v>671</v>
      </c>
      <c r="E1436" s="24">
        <v>0.50968700647354104</v>
      </c>
      <c r="F1436" s="24">
        <v>0.49031296372413602</v>
      </c>
      <c r="G1436" s="23">
        <v>0</v>
      </c>
      <c r="H1436" s="24">
        <v>0.14008942246437001</v>
      </c>
      <c r="I1436" s="23">
        <v>1.3412816449999801E-2</v>
      </c>
      <c r="J1436" s="24">
        <v>0.134128168225288</v>
      </c>
      <c r="K1436" s="23">
        <v>2.2354694083333002E-2</v>
      </c>
      <c r="L1436" s="23">
        <v>0</v>
      </c>
      <c r="M1436" s="23">
        <v>0.68852460384368896</v>
      </c>
      <c r="N1436" s="23">
        <v>1.4903129776939999E-3</v>
      </c>
      <c r="O1436" s="24">
        <v>0.235469445586204</v>
      </c>
      <c r="P1436" s="23">
        <v>5.3651265799999202E-2</v>
      </c>
      <c r="Q1436" s="24">
        <v>0.36214604973793002</v>
      </c>
      <c r="R1436" s="25">
        <v>3.4277198211624442E-2</v>
      </c>
      <c r="S1436" s="25">
        <v>0</v>
      </c>
      <c r="T1436" s="25">
        <v>0.19672131147540983</v>
      </c>
    </row>
    <row r="1437" spans="1:20" x14ac:dyDescent="0.25">
      <c r="A1437" s="8" t="s">
        <v>2973</v>
      </c>
      <c r="B1437" s="8" t="s">
        <v>2974</v>
      </c>
      <c r="C1437" s="8" t="s">
        <v>3540</v>
      </c>
      <c r="D1437" s="8">
        <v>869</v>
      </c>
      <c r="E1437" s="24">
        <v>0.44418871402740401</v>
      </c>
      <c r="F1437" s="24">
        <v>0.55581128597259499</v>
      </c>
      <c r="G1437" s="23">
        <v>0</v>
      </c>
      <c r="H1437" s="23">
        <v>0.23360183835029599</v>
      </c>
      <c r="I1437" s="23">
        <v>1.15074794739485E-2</v>
      </c>
      <c r="J1437" s="24">
        <v>0.207134634256362</v>
      </c>
      <c r="K1437" s="23">
        <v>2.0713463425636298E-2</v>
      </c>
      <c r="L1437" s="23">
        <v>6.9044879637659004E-3</v>
      </c>
      <c r="M1437" s="24">
        <v>0.52013808488845803</v>
      </c>
      <c r="N1437" s="23">
        <v>0</v>
      </c>
      <c r="O1437" s="24">
        <v>0.321058690547943</v>
      </c>
      <c r="P1437" s="23">
        <v>7.9401612281799303E-2</v>
      </c>
      <c r="Q1437" s="24">
        <v>0.46835443377494801</v>
      </c>
      <c r="R1437" s="25">
        <v>5.5235903337169157E-2</v>
      </c>
      <c r="S1437" s="25">
        <v>0</v>
      </c>
      <c r="T1437" s="25">
        <v>0.22094361334867663</v>
      </c>
    </row>
    <row r="1438" spans="1:20" x14ac:dyDescent="0.25">
      <c r="A1438" s="8" t="s">
        <v>2975</v>
      </c>
      <c r="B1438" s="8" t="s">
        <v>2976</v>
      </c>
      <c r="C1438" s="8" t="s">
        <v>3540</v>
      </c>
      <c r="D1438" s="8">
        <v>319</v>
      </c>
      <c r="E1438" s="24">
        <v>0.48589342832565302</v>
      </c>
      <c r="F1438" s="24">
        <v>0.51410657167434604</v>
      </c>
      <c r="G1438" s="23">
        <v>0</v>
      </c>
      <c r="H1438" s="23">
        <v>8.7774291634559604E-2</v>
      </c>
      <c r="I1438" s="23">
        <v>6.2695923261343999E-3</v>
      </c>
      <c r="J1438" s="23">
        <v>8.4639497101306901E-2</v>
      </c>
      <c r="K1438" s="23">
        <v>2.1943572908639901E-2</v>
      </c>
      <c r="L1438" s="23">
        <v>6.2695923261343999E-3</v>
      </c>
      <c r="M1438" s="24">
        <v>0.79310345649719205</v>
      </c>
      <c r="N1438" s="23">
        <v>0</v>
      </c>
      <c r="O1438" s="24">
        <v>0.25705328583717302</v>
      </c>
      <c r="P1438" s="23">
        <v>2.5078369304537801E-2</v>
      </c>
      <c r="Q1438" s="24">
        <v>0.29780563712120001</v>
      </c>
      <c r="R1438" s="25">
        <v>3.134796238244514E-3</v>
      </c>
      <c r="S1438" s="25">
        <v>0</v>
      </c>
      <c r="T1438" s="25">
        <v>0.2445141065830721</v>
      </c>
    </row>
    <row r="1439" spans="1:20" x14ac:dyDescent="0.25">
      <c r="A1439" s="8" t="s">
        <v>2977</v>
      </c>
      <c r="B1439" s="8" t="s">
        <v>2978</v>
      </c>
      <c r="C1439" s="8" t="s">
        <v>3540</v>
      </c>
      <c r="D1439" s="8">
        <v>535</v>
      </c>
      <c r="E1439" s="24">
        <v>0.50654202699661199</v>
      </c>
      <c r="F1439" s="24">
        <v>0.49345794320106501</v>
      </c>
      <c r="G1439" s="23">
        <v>0</v>
      </c>
      <c r="H1439" s="23">
        <v>7.1028038859367398E-2</v>
      </c>
      <c r="I1439" s="23">
        <v>1.8691588193178201E-2</v>
      </c>
      <c r="J1439" s="24">
        <v>0.186915889382362</v>
      </c>
      <c r="K1439" s="23">
        <v>2.4299064651131599E-2</v>
      </c>
      <c r="L1439" s="23">
        <v>1.8691589357331E-3</v>
      </c>
      <c r="M1439" s="24">
        <v>0.697196245193481</v>
      </c>
      <c r="N1439" s="23">
        <v>0</v>
      </c>
      <c r="O1439" s="24">
        <v>0.40747663378715498</v>
      </c>
      <c r="P1439" s="23">
        <v>2.2429905831813798E-2</v>
      </c>
      <c r="Q1439" s="23">
        <v>0.55887848138809204</v>
      </c>
      <c r="R1439" s="25">
        <v>0.16074766355140188</v>
      </c>
      <c r="S1439" s="25">
        <v>7.4766355140186919E-3</v>
      </c>
      <c r="T1439" s="25">
        <v>0.19065420560747665</v>
      </c>
    </row>
    <row r="1440" spans="1:20" x14ac:dyDescent="0.25">
      <c r="A1440" s="8" t="s">
        <v>2979</v>
      </c>
      <c r="B1440" s="8" t="s">
        <v>2980</v>
      </c>
      <c r="C1440" s="8" t="s">
        <v>3540</v>
      </c>
      <c r="D1440" s="8">
        <v>1179</v>
      </c>
      <c r="E1440" s="24">
        <v>0.49872773885726901</v>
      </c>
      <c r="F1440" s="24">
        <v>0.50127226114273005</v>
      </c>
      <c r="G1440" s="23">
        <v>0</v>
      </c>
      <c r="H1440" s="24">
        <v>0.18744698166847201</v>
      </c>
      <c r="I1440" s="23">
        <v>7.6335878111422001E-3</v>
      </c>
      <c r="J1440" s="24">
        <v>0.114503815770149</v>
      </c>
      <c r="K1440" s="23">
        <v>1.9508058205246901E-2</v>
      </c>
      <c r="L1440" s="23">
        <v>8.4817642346020003E-4</v>
      </c>
      <c r="M1440" s="24">
        <v>0.67005938291549605</v>
      </c>
      <c r="N1440" s="23">
        <v>0</v>
      </c>
      <c r="O1440" s="24">
        <v>0.17302799224853499</v>
      </c>
      <c r="P1440" s="23">
        <v>3.3078879117965698E-2</v>
      </c>
      <c r="Q1440" s="24">
        <v>0.46225616335868802</v>
      </c>
      <c r="R1440" s="25">
        <v>2.6293469041560644E-2</v>
      </c>
      <c r="S1440" s="25">
        <v>5.0890585241730284E-3</v>
      </c>
      <c r="T1440" s="25">
        <v>0.13401187446988974</v>
      </c>
    </row>
    <row r="1441" spans="1:20" x14ac:dyDescent="0.25">
      <c r="A1441" s="8" t="s">
        <v>2981</v>
      </c>
      <c r="B1441" s="8" t="s">
        <v>2982</v>
      </c>
      <c r="C1441" s="8" t="s">
        <v>3540</v>
      </c>
      <c r="D1441" s="8">
        <v>541</v>
      </c>
      <c r="E1441" s="24">
        <v>0.50277262926101596</v>
      </c>
      <c r="F1441" s="24">
        <v>0.49722737073898299</v>
      </c>
      <c r="G1441" s="23">
        <v>0</v>
      </c>
      <c r="H1441" s="24">
        <v>0.256931602954864</v>
      </c>
      <c r="I1441" s="23">
        <v>1.10905729234219E-2</v>
      </c>
      <c r="J1441" s="24">
        <v>0.16266173124313299</v>
      </c>
      <c r="K1441" s="23">
        <v>1.47874308750033E-2</v>
      </c>
      <c r="L1441" s="23">
        <v>3.6968577187508002E-3</v>
      </c>
      <c r="M1441" s="24">
        <v>0.54528653621673495</v>
      </c>
      <c r="N1441" s="23">
        <v>5.5452864617109004E-3</v>
      </c>
      <c r="O1441" s="24">
        <v>0.23290203511714899</v>
      </c>
      <c r="P1441" s="23">
        <v>4.9907580018043497E-2</v>
      </c>
      <c r="Q1441" s="24">
        <v>0.49353051185607899</v>
      </c>
      <c r="R1441" s="25">
        <v>4.0665434380776341E-2</v>
      </c>
      <c r="S1441" s="25">
        <v>0</v>
      </c>
      <c r="T1441" s="25">
        <v>0.18299445471349354</v>
      </c>
    </row>
    <row r="1442" spans="1:20" x14ac:dyDescent="0.25">
      <c r="A1442" s="8" t="s">
        <v>2983</v>
      </c>
      <c r="B1442" s="8" t="s">
        <v>2984</v>
      </c>
      <c r="C1442" s="8" t="s">
        <v>3540</v>
      </c>
      <c r="D1442" s="8">
        <v>312</v>
      </c>
      <c r="E1442" s="24">
        <v>0.51602566242217995</v>
      </c>
      <c r="F1442" s="24">
        <v>0.48397436738014199</v>
      </c>
      <c r="G1442" s="23">
        <v>0</v>
      </c>
      <c r="H1442" s="24">
        <v>0.26282051205634999</v>
      </c>
      <c r="I1442" s="23">
        <v>6.4102567732334095E-2</v>
      </c>
      <c r="J1442" s="24">
        <v>0.19230769574642101</v>
      </c>
      <c r="K1442" s="23">
        <v>2.2435897961258899E-2</v>
      </c>
      <c r="L1442" s="23">
        <v>3.2051282469182998E-3</v>
      </c>
      <c r="M1442" s="24">
        <v>0.45192307233810403</v>
      </c>
      <c r="N1442" s="23">
        <v>3.2051282469182998E-3</v>
      </c>
      <c r="O1442" s="23">
        <v>0.34294870495796198</v>
      </c>
      <c r="P1442" s="23">
        <v>2.56410259753466E-2</v>
      </c>
      <c r="Q1442" s="24">
        <v>0.55128204822540205</v>
      </c>
      <c r="R1442" s="25">
        <v>5.128205128205128E-2</v>
      </c>
      <c r="S1442" s="25">
        <v>0</v>
      </c>
      <c r="T1442" s="25">
        <v>0.26602564102564102</v>
      </c>
    </row>
    <row r="1443" spans="1:20" x14ac:dyDescent="0.25">
      <c r="A1443" s="8" t="s">
        <v>2985</v>
      </c>
      <c r="B1443" s="8" t="s">
        <v>2986</v>
      </c>
      <c r="C1443" s="8" t="s">
        <v>3540</v>
      </c>
      <c r="D1443" s="8">
        <v>187</v>
      </c>
      <c r="E1443" s="24">
        <v>0.50267380475997903</v>
      </c>
      <c r="F1443" s="24">
        <v>0.49732619524001997</v>
      </c>
      <c r="G1443" s="23">
        <v>0</v>
      </c>
      <c r="H1443" s="23">
        <v>3.2085560262203203E-2</v>
      </c>
      <c r="I1443" s="24">
        <v>0.25668448209762501</v>
      </c>
      <c r="J1443" s="24">
        <v>0.56684494018554599</v>
      </c>
      <c r="K1443" s="23">
        <v>5.8823529630899402E-2</v>
      </c>
      <c r="L1443" s="23">
        <v>3.2085560262203203E-2</v>
      </c>
      <c r="M1443" s="23">
        <v>5.3475935012102099E-2</v>
      </c>
      <c r="N1443" s="23">
        <v>0</v>
      </c>
      <c r="O1443" s="24">
        <v>0.42245990037918002</v>
      </c>
      <c r="P1443" s="24">
        <v>0.16042780876159601</v>
      </c>
      <c r="Q1443" s="24">
        <v>0.91978609561920099</v>
      </c>
      <c r="R1443" s="25">
        <v>0.18716577540106952</v>
      </c>
      <c r="S1443" s="25">
        <v>0</v>
      </c>
      <c r="T1443" s="25">
        <v>0.19251336898395721</v>
      </c>
    </row>
    <row r="1444" spans="1:20" x14ac:dyDescent="0.25">
      <c r="A1444" s="8" t="s">
        <v>2987</v>
      </c>
      <c r="B1444" s="8" t="s">
        <v>2988</v>
      </c>
      <c r="C1444" s="8" t="s">
        <v>3540</v>
      </c>
      <c r="D1444" s="8">
        <v>284</v>
      </c>
      <c r="E1444" s="23">
        <v>0.5</v>
      </c>
      <c r="F1444" s="23">
        <v>0.5</v>
      </c>
      <c r="G1444" s="23">
        <v>0</v>
      </c>
      <c r="H1444" s="24">
        <v>0.19366197288036299</v>
      </c>
      <c r="I1444" s="24">
        <v>0.116197183728218</v>
      </c>
      <c r="J1444" s="24">
        <v>0.29929578304290699</v>
      </c>
      <c r="K1444" s="23">
        <v>1.7605634406208999E-2</v>
      </c>
      <c r="L1444" s="23">
        <v>7.0422533899545999E-3</v>
      </c>
      <c r="M1444" s="24">
        <v>0.366197168827056</v>
      </c>
      <c r="N1444" s="23">
        <v>0</v>
      </c>
      <c r="O1444" s="24">
        <v>0.225352108478546</v>
      </c>
      <c r="P1444" s="24">
        <v>0.15492957830428999</v>
      </c>
      <c r="Q1444" s="24">
        <v>0.80985915660858099</v>
      </c>
      <c r="R1444" s="25">
        <v>0.10211267605633803</v>
      </c>
      <c r="S1444" s="25">
        <v>0</v>
      </c>
      <c r="T1444" s="25">
        <v>0.12676056338028169</v>
      </c>
    </row>
    <row r="1445" spans="1:20" x14ac:dyDescent="0.25">
      <c r="A1445" s="8" t="s">
        <v>2989</v>
      </c>
      <c r="B1445" s="8" t="s">
        <v>2990</v>
      </c>
      <c r="C1445" s="8" t="s">
        <v>3540</v>
      </c>
      <c r="D1445" s="8">
        <v>773</v>
      </c>
      <c r="E1445" s="24">
        <v>0.482535570859909</v>
      </c>
      <c r="F1445" s="24">
        <v>0.517464399337768</v>
      </c>
      <c r="G1445" s="23">
        <v>0</v>
      </c>
      <c r="H1445" s="24">
        <v>0.28848642110824502</v>
      </c>
      <c r="I1445" s="24">
        <v>0.106080204248428</v>
      </c>
      <c r="J1445" s="24">
        <v>0.41655886173248202</v>
      </c>
      <c r="K1445" s="23">
        <v>1.94049160927534E-2</v>
      </c>
      <c r="L1445" s="23">
        <v>3.8809832185506998E-3</v>
      </c>
      <c r="M1445" s="24">
        <v>0.16558861732482899</v>
      </c>
      <c r="N1445" s="23">
        <v>0</v>
      </c>
      <c r="O1445" s="24">
        <v>0.29236739873886097</v>
      </c>
      <c r="P1445" s="24">
        <v>0.20827943086624101</v>
      </c>
      <c r="Q1445" s="24">
        <v>0.81630015373229903</v>
      </c>
      <c r="R1445" s="25">
        <v>6.2095730918499355E-2</v>
      </c>
      <c r="S1445" s="25">
        <v>0</v>
      </c>
      <c r="T1445" s="25">
        <v>0.23027166882276842</v>
      </c>
    </row>
    <row r="1446" spans="1:20" x14ac:dyDescent="0.25">
      <c r="A1446" s="8" t="s">
        <v>2991</v>
      </c>
      <c r="B1446" s="8" t="s">
        <v>2992</v>
      </c>
      <c r="C1446" s="8" t="s">
        <v>3540</v>
      </c>
      <c r="D1446" s="8">
        <v>381</v>
      </c>
      <c r="E1446" s="24">
        <v>0.51706033945083596</v>
      </c>
      <c r="F1446" s="24">
        <v>0.48293963074684099</v>
      </c>
      <c r="G1446" s="23">
        <v>0</v>
      </c>
      <c r="H1446" s="23">
        <v>6.03674538433552E-2</v>
      </c>
      <c r="I1446" s="23">
        <v>0.22047244012355799</v>
      </c>
      <c r="J1446" s="24">
        <v>0.65091866254806496</v>
      </c>
      <c r="K1446" s="23">
        <v>0</v>
      </c>
      <c r="L1446" s="23">
        <v>1.3123359531164201E-2</v>
      </c>
      <c r="M1446" s="23">
        <v>5.5118110030889497E-2</v>
      </c>
      <c r="N1446" s="23">
        <v>0</v>
      </c>
      <c r="O1446" s="24">
        <v>0.238845139741897</v>
      </c>
      <c r="P1446" s="24">
        <v>0.29921260476112299</v>
      </c>
      <c r="Q1446" s="24">
        <v>0.97112858295440596</v>
      </c>
      <c r="R1446" s="25">
        <v>9.9737532808398949E-2</v>
      </c>
      <c r="S1446" s="25">
        <v>0</v>
      </c>
      <c r="T1446" s="25">
        <v>0.11286089238845144</v>
      </c>
    </row>
    <row r="1447" spans="1:20" x14ac:dyDescent="0.25">
      <c r="A1447" s="8" t="s">
        <v>2993</v>
      </c>
      <c r="B1447" s="8" t="s">
        <v>2994</v>
      </c>
      <c r="C1447" s="8" t="s">
        <v>3540</v>
      </c>
      <c r="D1447" s="8">
        <v>313</v>
      </c>
      <c r="E1447" s="24">
        <v>0.472843438386917</v>
      </c>
      <c r="F1447" s="24">
        <v>0.52715653181076005</v>
      </c>
      <c r="G1447" s="23">
        <v>0</v>
      </c>
      <c r="H1447" s="23">
        <v>2.55591049790382E-2</v>
      </c>
      <c r="I1447" s="24">
        <v>0.367412149906158</v>
      </c>
      <c r="J1447" s="24">
        <v>0.53354632854461603</v>
      </c>
      <c r="K1447" s="23">
        <v>6.3897762447596004E-3</v>
      </c>
      <c r="L1447" s="23">
        <v>1.91693287342787E-2</v>
      </c>
      <c r="M1447" s="23">
        <v>4.4728435575962101E-2</v>
      </c>
      <c r="N1447" s="23">
        <v>3.1948881223798002E-3</v>
      </c>
      <c r="O1447" s="24">
        <v>0.35143768787384</v>
      </c>
      <c r="P1447" s="24">
        <v>0.16293929517269101</v>
      </c>
      <c r="Q1447" s="24">
        <v>0.94568687677383401</v>
      </c>
      <c r="R1447" s="25">
        <v>9.2651757188498399E-2</v>
      </c>
      <c r="S1447" s="25">
        <v>6.3897763578274758E-3</v>
      </c>
      <c r="T1447" s="25">
        <v>0.2268370607028754</v>
      </c>
    </row>
    <row r="1448" spans="1:20" x14ac:dyDescent="0.25">
      <c r="A1448" s="8" t="s">
        <v>2996</v>
      </c>
      <c r="B1448" s="8" t="s">
        <v>2997</v>
      </c>
      <c r="C1448" s="8" t="s">
        <v>3540</v>
      </c>
      <c r="D1448" s="8">
        <v>462</v>
      </c>
      <c r="E1448" s="24">
        <v>0.49134197831153797</v>
      </c>
      <c r="F1448" s="24">
        <v>0.50865799188613803</v>
      </c>
      <c r="G1448" s="23">
        <v>0</v>
      </c>
      <c r="H1448" s="23">
        <v>4.54545468091965E-2</v>
      </c>
      <c r="I1448" s="24">
        <v>0.14069263637065799</v>
      </c>
      <c r="J1448" s="24">
        <v>0.74675327539443903</v>
      </c>
      <c r="K1448" s="23">
        <v>1.0822511278092899E-2</v>
      </c>
      <c r="L1448" s="23">
        <v>2.1645021624863E-3</v>
      </c>
      <c r="M1448" s="23">
        <v>5.4112553596496603E-2</v>
      </c>
      <c r="N1448" s="23">
        <v>0</v>
      </c>
      <c r="O1448" s="24">
        <v>0.27489176392555198</v>
      </c>
      <c r="P1448" s="24">
        <v>0.29220777750015198</v>
      </c>
      <c r="Q1448" s="24">
        <v>0.93722945451736395</v>
      </c>
      <c r="R1448" s="25">
        <v>6.4935064935064939E-3</v>
      </c>
      <c r="S1448" s="25">
        <v>8.0086580086580081E-2</v>
      </c>
      <c r="T1448" s="25">
        <v>0.17965367965367965</v>
      </c>
    </row>
    <row r="1449" spans="1:20" x14ac:dyDescent="0.25">
      <c r="A1449" s="8" t="s">
        <v>2998</v>
      </c>
      <c r="B1449" s="8" t="s">
        <v>2999</v>
      </c>
      <c r="C1449" s="8" t="s">
        <v>3540</v>
      </c>
      <c r="D1449" s="8">
        <v>279</v>
      </c>
      <c r="E1449" s="24">
        <v>0.38709676265716497</v>
      </c>
      <c r="F1449" s="24">
        <v>0.61290323734283403</v>
      </c>
      <c r="G1449" s="23">
        <v>0</v>
      </c>
      <c r="H1449" s="23">
        <v>2.15053763240576E-2</v>
      </c>
      <c r="I1449" s="24">
        <v>0.13978494703769601</v>
      </c>
      <c r="J1449" s="24">
        <v>0.77060931921005205</v>
      </c>
      <c r="K1449" s="23">
        <v>1.79211478680372E-2</v>
      </c>
      <c r="L1449" s="23">
        <v>7.1684587746858996E-3</v>
      </c>
      <c r="M1449" s="23">
        <v>4.30107526481152E-2</v>
      </c>
      <c r="N1449" s="23">
        <v>0</v>
      </c>
      <c r="O1449" s="24">
        <v>0.31899642944335899</v>
      </c>
      <c r="P1449" s="24">
        <v>0.49103942513465798</v>
      </c>
      <c r="Q1449" s="24">
        <v>0.91397851705551103</v>
      </c>
      <c r="R1449" s="25">
        <v>4.3010752688172046E-2</v>
      </c>
      <c r="S1449" s="25">
        <v>0</v>
      </c>
      <c r="T1449" s="25">
        <v>0.28315412186379929</v>
      </c>
    </row>
    <row r="1450" spans="1:20" x14ac:dyDescent="0.25">
      <c r="A1450" s="8" t="s">
        <v>3000</v>
      </c>
      <c r="B1450" s="8" t="s">
        <v>3001</v>
      </c>
      <c r="C1450" s="8" t="s">
        <v>3540</v>
      </c>
      <c r="D1450" s="8">
        <v>383</v>
      </c>
      <c r="E1450" s="24">
        <v>0.532637059688568</v>
      </c>
      <c r="F1450" s="24">
        <v>0.467362910509109</v>
      </c>
      <c r="G1450" s="23">
        <v>0</v>
      </c>
      <c r="H1450" s="23">
        <v>5.7441253215074498E-2</v>
      </c>
      <c r="I1450" s="24">
        <v>0.14882506430149001</v>
      </c>
      <c r="J1450" s="24">
        <v>0.66057443618774403</v>
      </c>
      <c r="K1450" s="23">
        <v>1.82767622172832E-2</v>
      </c>
      <c r="L1450" s="23">
        <v>1.0443864390254E-2</v>
      </c>
      <c r="M1450" s="24">
        <v>0.10443864017724901</v>
      </c>
      <c r="N1450" s="23">
        <v>0</v>
      </c>
      <c r="O1450" s="24">
        <v>0.30548304319381703</v>
      </c>
      <c r="P1450" s="24">
        <v>0.211488246917724</v>
      </c>
      <c r="Q1450" s="24">
        <v>0.87989556789398105</v>
      </c>
      <c r="R1450" s="25">
        <v>6.5274151436031339E-2</v>
      </c>
      <c r="S1450" s="25">
        <v>0</v>
      </c>
      <c r="T1450" s="25">
        <v>0.24543080939947781</v>
      </c>
    </row>
    <row r="1451" spans="1:20" x14ac:dyDescent="0.25">
      <c r="A1451" s="8" t="s">
        <v>3002</v>
      </c>
      <c r="B1451" s="8" t="s">
        <v>3003</v>
      </c>
      <c r="C1451" s="8" t="s">
        <v>3540</v>
      </c>
      <c r="D1451" s="8">
        <v>724</v>
      </c>
      <c r="E1451" s="24">
        <v>0.46408841013908297</v>
      </c>
      <c r="F1451" s="24">
        <v>0.53591161966323797</v>
      </c>
      <c r="G1451" s="23">
        <v>0</v>
      </c>
      <c r="H1451" s="23">
        <v>8.1491716206073803E-2</v>
      </c>
      <c r="I1451" s="24">
        <v>0.182320445775985</v>
      </c>
      <c r="J1451" s="24">
        <v>0.63259667158126798</v>
      </c>
      <c r="K1451" s="23">
        <v>2.7624309062957798E-2</v>
      </c>
      <c r="L1451" s="23">
        <v>8.2872929051518007E-3</v>
      </c>
      <c r="M1451" s="23">
        <v>6.7679561674594907E-2</v>
      </c>
      <c r="N1451" s="23">
        <v>0</v>
      </c>
      <c r="O1451" s="24">
        <v>0.36740332841873102</v>
      </c>
      <c r="P1451" s="24">
        <v>0.22237569093704199</v>
      </c>
      <c r="Q1451" s="24">
        <v>0.83563536405563299</v>
      </c>
      <c r="R1451" s="25">
        <v>0.16988950276243095</v>
      </c>
      <c r="S1451" s="25">
        <v>6.9060773480662981E-3</v>
      </c>
      <c r="T1451" s="25">
        <v>0.18784530386740331</v>
      </c>
    </row>
    <row r="1452" spans="1:20" x14ac:dyDescent="0.25">
      <c r="A1452" s="8" t="s">
        <v>3004</v>
      </c>
      <c r="B1452" s="8" t="s">
        <v>3005</v>
      </c>
      <c r="C1452" s="8" t="s">
        <v>3540</v>
      </c>
      <c r="D1452" s="8">
        <v>610</v>
      </c>
      <c r="E1452" s="24">
        <v>0.48524591326713501</v>
      </c>
      <c r="F1452" s="24">
        <v>0.51475411653518599</v>
      </c>
      <c r="G1452" s="23">
        <v>0</v>
      </c>
      <c r="H1452" s="24">
        <v>0.234426230192184</v>
      </c>
      <c r="I1452" s="23">
        <v>6.5573770552874002E-3</v>
      </c>
      <c r="J1452" s="23">
        <v>0.13934426009654999</v>
      </c>
      <c r="K1452" s="23">
        <v>3.2786883413791698E-2</v>
      </c>
      <c r="L1452" s="23">
        <v>4.9180327914655E-3</v>
      </c>
      <c r="M1452" s="24">
        <v>0.580327868461608</v>
      </c>
      <c r="N1452" s="23">
        <v>1.6393442638218E-3</v>
      </c>
      <c r="O1452" s="24">
        <v>0.25409835577011097</v>
      </c>
      <c r="P1452" s="23">
        <v>9.1803275048732799E-2</v>
      </c>
      <c r="Q1452" s="24">
        <v>0.395081967115402</v>
      </c>
      <c r="R1452" s="25">
        <v>3.7704918032786888E-2</v>
      </c>
      <c r="S1452" s="25">
        <v>4.9180327868852463E-3</v>
      </c>
      <c r="T1452" s="25">
        <v>0.21147540983606558</v>
      </c>
    </row>
    <row r="1453" spans="1:20" x14ac:dyDescent="0.25">
      <c r="A1453" s="8" t="s">
        <v>3006</v>
      </c>
      <c r="B1453" s="8" t="s">
        <v>3007</v>
      </c>
      <c r="C1453" s="8" t="s">
        <v>3540</v>
      </c>
      <c r="D1453" s="8">
        <v>1320</v>
      </c>
      <c r="E1453" s="24">
        <v>0.48484849929809498</v>
      </c>
      <c r="F1453" s="24">
        <v>0.51515150070190396</v>
      </c>
      <c r="G1453" s="23">
        <v>0</v>
      </c>
      <c r="H1453" s="24">
        <v>0.210606053471565</v>
      </c>
      <c r="I1453" s="23">
        <v>9.8484847694634992E-3</v>
      </c>
      <c r="J1453" s="23">
        <v>0.175757572054863</v>
      </c>
      <c r="K1453" s="23">
        <v>2.5000000372528999E-2</v>
      </c>
      <c r="L1453" s="23">
        <v>3.7878789007664E-3</v>
      </c>
      <c r="M1453" s="23">
        <v>0.57499998807907104</v>
      </c>
      <c r="N1453" s="23">
        <v>0</v>
      </c>
      <c r="O1453" s="23">
        <v>0.24015150964260101</v>
      </c>
      <c r="P1453" s="23">
        <v>4.54545468091965E-2</v>
      </c>
      <c r="Q1453" s="24">
        <v>0.53484851121902399</v>
      </c>
      <c r="R1453" s="25">
        <v>6.5909090909090903E-2</v>
      </c>
      <c r="S1453" s="25">
        <v>1.1363636363636364E-2</v>
      </c>
      <c r="T1453" s="25">
        <v>0.1553030303030303</v>
      </c>
    </row>
    <row r="1454" spans="1:20" x14ac:dyDescent="0.25">
      <c r="A1454" s="8" t="s">
        <v>3008</v>
      </c>
      <c r="B1454" s="8" t="s">
        <v>3009</v>
      </c>
      <c r="C1454" s="8" t="s">
        <v>3540</v>
      </c>
      <c r="D1454" s="8">
        <v>273</v>
      </c>
      <c r="E1454" s="24">
        <v>0.48717948794364901</v>
      </c>
      <c r="F1454" s="24">
        <v>0.51282054185867298</v>
      </c>
      <c r="G1454" s="23">
        <v>0</v>
      </c>
      <c r="H1454" s="24">
        <v>0.23443223536014501</v>
      </c>
      <c r="I1454" s="23">
        <v>3.2967034727334997E-2</v>
      </c>
      <c r="J1454" s="24">
        <v>0.33699634671211198</v>
      </c>
      <c r="K1454" s="23">
        <v>2.19780225306749E-2</v>
      </c>
      <c r="L1454" s="23">
        <v>0</v>
      </c>
      <c r="M1454" s="24">
        <v>0.37362638115882801</v>
      </c>
      <c r="N1454" s="23">
        <v>0</v>
      </c>
      <c r="O1454" s="23">
        <v>0.21978022158145899</v>
      </c>
      <c r="P1454" s="24">
        <v>0.13553114235401101</v>
      </c>
      <c r="Q1454" s="24">
        <v>0.61538463830947798</v>
      </c>
      <c r="R1454" s="25">
        <v>3.2967032967032968E-2</v>
      </c>
      <c r="S1454" s="25">
        <v>0</v>
      </c>
      <c r="T1454" s="25">
        <v>0.18681318681318682</v>
      </c>
    </row>
    <row r="1455" spans="1:20" x14ac:dyDescent="0.25">
      <c r="A1455" s="8" t="s">
        <v>3010</v>
      </c>
      <c r="B1455" s="8" t="s">
        <v>3011</v>
      </c>
      <c r="C1455" s="8" t="s">
        <v>3540</v>
      </c>
      <c r="D1455" s="8">
        <v>837</v>
      </c>
      <c r="E1455" s="24">
        <v>0.47431302070617598</v>
      </c>
      <c r="F1455" s="24">
        <v>0.52568697929382302</v>
      </c>
      <c r="G1455" s="23">
        <v>0</v>
      </c>
      <c r="H1455" s="24">
        <v>0.13978494703769601</v>
      </c>
      <c r="I1455" s="24">
        <v>0.19115890562534299</v>
      </c>
      <c r="J1455" s="23">
        <v>0.45878136157989502</v>
      </c>
      <c r="K1455" s="23">
        <v>2.15053763240576E-2</v>
      </c>
      <c r="L1455" s="23">
        <v>8.3632022142410001E-3</v>
      </c>
      <c r="M1455" s="23">
        <v>0.178016722202301</v>
      </c>
      <c r="N1455" s="23">
        <v>2.3894861806184001E-3</v>
      </c>
      <c r="O1455" s="24">
        <v>0.25328555703163103</v>
      </c>
      <c r="P1455" s="24">
        <v>0.103942655026912</v>
      </c>
      <c r="Q1455" s="24">
        <v>0.77538830041885298</v>
      </c>
      <c r="R1455" s="25">
        <v>7.0489844683393074E-2</v>
      </c>
      <c r="S1455" s="25">
        <v>0</v>
      </c>
      <c r="T1455" s="25">
        <v>0.18040621266427717</v>
      </c>
    </row>
    <row r="1456" spans="1:20" x14ac:dyDescent="0.25">
      <c r="A1456" s="8" t="s">
        <v>3012</v>
      </c>
      <c r="B1456" s="8" t="s">
        <v>3013</v>
      </c>
      <c r="C1456" s="8" t="s">
        <v>3540</v>
      </c>
      <c r="D1456" s="8">
        <v>284</v>
      </c>
      <c r="E1456" s="23">
        <v>0</v>
      </c>
      <c r="F1456" s="23">
        <v>1</v>
      </c>
      <c r="G1456" s="23">
        <v>0</v>
      </c>
      <c r="H1456" s="23">
        <v>1.7605634406208999E-2</v>
      </c>
      <c r="I1456" s="24">
        <v>0.52112674713134699</v>
      </c>
      <c r="J1456" s="24">
        <v>0.38732394576072599</v>
      </c>
      <c r="K1456" s="23">
        <v>2.1126760169863701E-2</v>
      </c>
      <c r="L1456" s="23">
        <v>1.0563380084931901E-2</v>
      </c>
      <c r="M1456" s="23">
        <v>4.2253520339727402E-2</v>
      </c>
      <c r="N1456" s="23">
        <v>0</v>
      </c>
      <c r="O1456" s="24">
        <v>0.46830984950065602</v>
      </c>
      <c r="P1456" s="23">
        <v>9.1549292206764193E-2</v>
      </c>
      <c r="Q1456" s="24">
        <v>0.91549295186996404</v>
      </c>
      <c r="R1456" s="25">
        <v>0.11267605633802817</v>
      </c>
      <c r="S1456" s="25">
        <v>5.9859154929577461E-2</v>
      </c>
      <c r="T1456" s="25">
        <v>0.29225352112676056</v>
      </c>
    </row>
    <row r="1457" spans="1:20" x14ac:dyDescent="0.25">
      <c r="A1457" s="8" t="s">
        <v>3014</v>
      </c>
      <c r="B1457" s="8" t="s">
        <v>3015</v>
      </c>
      <c r="C1457" s="8" t="s">
        <v>3540</v>
      </c>
      <c r="D1457" s="8">
        <v>588</v>
      </c>
      <c r="E1457" s="24">
        <v>0.44557821750640803</v>
      </c>
      <c r="F1457" s="24">
        <v>0.55442178249359098</v>
      </c>
      <c r="G1457" s="23">
        <v>0</v>
      </c>
      <c r="H1457" s="24">
        <v>0.26700681447982699</v>
      </c>
      <c r="I1457" s="23">
        <v>5.1020409911870998E-2</v>
      </c>
      <c r="J1457" s="24">
        <v>0.27040815353393499</v>
      </c>
      <c r="K1457" s="23">
        <v>3.06122452020645E-2</v>
      </c>
      <c r="L1457" s="23">
        <v>1.7006802372634001E-3</v>
      </c>
      <c r="M1457" s="24">
        <v>0.379251688718795</v>
      </c>
      <c r="N1457" s="23">
        <v>0</v>
      </c>
      <c r="O1457" s="24">
        <v>0.27721089124679499</v>
      </c>
      <c r="P1457" s="23">
        <v>7.3129251599311801E-2</v>
      </c>
      <c r="Q1457" s="23">
        <v>0.56972789764404297</v>
      </c>
      <c r="R1457" s="25">
        <v>9.3537414965986401E-2</v>
      </c>
      <c r="S1457" s="25">
        <v>1.7006802721088435E-3</v>
      </c>
      <c r="T1457" s="25">
        <v>0.1870748299319728</v>
      </c>
    </row>
    <row r="1458" spans="1:20" x14ac:dyDescent="0.25">
      <c r="A1458" s="8" t="s">
        <v>3016</v>
      </c>
      <c r="B1458" s="8" t="s">
        <v>3017</v>
      </c>
      <c r="C1458" s="8" t="s">
        <v>3540</v>
      </c>
      <c r="D1458" s="8">
        <v>691</v>
      </c>
      <c r="E1458" s="24">
        <v>0.48191028833389199</v>
      </c>
      <c r="F1458" s="24">
        <v>0.51808971166610696</v>
      </c>
      <c r="G1458" s="23">
        <v>0</v>
      </c>
      <c r="H1458" s="24">
        <v>0.16787265241145999</v>
      </c>
      <c r="I1458" s="23">
        <v>4.6309694647789001E-2</v>
      </c>
      <c r="J1458" s="24">
        <v>0.23299565911292999</v>
      </c>
      <c r="K1458" s="23">
        <v>3.6179449409246403E-2</v>
      </c>
      <c r="L1458" s="23">
        <v>1.4471779577434E-3</v>
      </c>
      <c r="M1458" s="24">
        <v>0.51374816894531194</v>
      </c>
      <c r="N1458" s="23">
        <v>1.4471779577434E-3</v>
      </c>
      <c r="O1458" s="24">
        <v>0.29232996702194203</v>
      </c>
      <c r="P1458" s="23">
        <v>7.3806077241897597E-2</v>
      </c>
      <c r="Q1458" s="24">
        <v>0.409551382064819</v>
      </c>
      <c r="R1458" s="25">
        <v>6.5123010130246017E-2</v>
      </c>
      <c r="S1458" s="25">
        <v>2.8943560057887118E-3</v>
      </c>
      <c r="T1458" s="25">
        <v>0.22431259044862517</v>
      </c>
    </row>
    <row r="1459" spans="1:20" x14ac:dyDescent="0.25">
      <c r="A1459" s="8" t="s">
        <v>3018</v>
      </c>
      <c r="B1459" s="8" t="s">
        <v>3019</v>
      </c>
      <c r="C1459" s="8" t="s">
        <v>3540</v>
      </c>
      <c r="D1459" s="8">
        <v>347</v>
      </c>
      <c r="E1459" s="24">
        <v>0.44956773519515902</v>
      </c>
      <c r="F1459" s="24">
        <v>0.55043226480483998</v>
      </c>
      <c r="G1459" s="23">
        <v>0</v>
      </c>
      <c r="H1459" s="23">
        <v>2.0172910764813399E-2</v>
      </c>
      <c r="I1459" s="24">
        <v>0.53602308034896795</v>
      </c>
      <c r="J1459" s="24">
        <v>0.36599424481391901</v>
      </c>
      <c r="K1459" s="23">
        <v>3.4582134336233097E-2</v>
      </c>
      <c r="L1459" s="23">
        <v>2.8818442951888002E-3</v>
      </c>
      <c r="M1459" s="23">
        <v>4.0345821529626798E-2</v>
      </c>
      <c r="N1459" s="23">
        <v>0</v>
      </c>
      <c r="O1459" s="24">
        <v>0.38904899358749301</v>
      </c>
      <c r="P1459" s="23">
        <v>6.6282421350479098E-2</v>
      </c>
      <c r="Q1459" s="24">
        <v>0.98559075593948298</v>
      </c>
      <c r="R1459" s="25">
        <v>0.2334293948126801</v>
      </c>
      <c r="S1459" s="25">
        <v>0</v>
      </c>
      <c r="T1459" s="25">
        <v>0.13832853025936601</v>
      </c>
    </row>
    <row r="1460" spans="1:20" x14ac:dyDescent="0.25">
      <c r="A1460" s="8" t="s">
        <v>3020</v>
      </c>
      <c r="B1460" s="8" t="s">
        <v>3021</v>
      </c>
      <c r="C1460" s="8" t="s">
        <v>3540</v>
      </c>
      <c r="D1460" s="8">
        <v>694</v>
      </c>
      <c r="E1460" s="24">
        <v>0.50144094228744496</v>
      </c>
      <c r="F1460" s="24">
        <v>0.49855908751487699</v>
      </c>
      <c r="G1460" s="23">
        <v>0</v>
      </c>
      <c r="H1460" s="24">
        <v>0.26224783062934798</v>
      </c>
      <c r="I1460" s="23">
        <v>2.4495678022503901E-2</v>
      </c>
      <c r="J1460" s="24">
        <v>0.17146974802017201</v>
      </c>
      <c r="K1460" s="23">
        <v>2.4495678022503901E-2</v>
      </c>
      <c r="L1460" s="23">
        <v>1.4409221475944001E-3</v>
      </c>
      <c r="M1460" s="24">
        <v>0.51585012674331598</v>
      </c>
      <c r="N1460" s="23">
        <v>0</v>
      </c>
      <c r="O1460" s="24">
        <v>0.28097984194755499</v>
      </c>
      <c r="P1460" s="23">
        <v>7.9250723123550401E-2</v>
      </c>
      <c r="Q1460" s="24">
        <v>0.51729106903076105</v>
      </c>
      <c r="R1460" s="25">
        <v>4.8991354466858789E-2</v>
      </c>
      <c r="S1460" s="25">
        <v>2.881844380403458E-3</v>
      </c>
      <c r="T1460" s="25">
        <v>0.19596541786743515</v>
      </c>
    </row>
    <row r="1461" spans="1:20" x14ac:dyDescent="0.25">
      <c r="A1461" s="8" t="s">
        <v>3022</v>
      </c>
      <c r="B1461" s="8" t="s">
        <v>3023</v>
      </c>
      <c r="C1461" s="8" t="s">
        <v>3540</v>
      </c>
      <c r="D1461" s="8">
        <v>1227</v>
      </c>
      <c r="E1461" s="24">
        <v>0.50366747379302901</v>
      </c>
      <c r="F1461" s="24">
        <v>0.49633252620696999</v>
      </c>
      <c r="G1461" s="23">
        <v>0</v>
      </c>
      <c r="H1461" s="24">
        <v>0.105949468910694</v>
      </c>
      <c r="I1461" s="23">
        <v>1.71149149537086E-2</v>
      </c>
      <c r="J1461" s="24">
        <v>0.17114914953708599</v>
      </c>
      <c r="K1461" s="23">
        <v>1.7929909750819199E-2</v>
      </c>
      <c r="L1461" s="23">
        <v>0</v>
      </c>
      <c r="M1461" s="24">
        <v>0.68378156423568703</v>
      </c>
      <c r="N1461" s="23">
        <v>4.0749795734881999E-3</v>
      </c>
      <c r="O1461" s="24">
        <v>0.253463745117187</v>
      </c>
      <c r="P1461" s="23">
        <v>3.0969845131039599E-2</v>
      </c>
      <c r="Q1461" s="24">
        <v>0.42379787564277599</v>
      </c>
      <c r="R1461" s="25">
        <v>5.0529747351263241E-2</v>
      </c>
      <c r="S1461" s="25">
        <v>4.8899755501222494E-3</v>
      </c>
      <c r="T1461" s="25">
        <v>0.18826405867970661</v>
      </c>
    </row>
    <row r="1462" spans="1:20" x14ac:dyDescent="0.25">
      <c r="A1462" s="8" t="s">
        <v>3024</v>
      </c>
      <c r="B1462" s="8" t="s">
        <v>3025</v>
      </c>
      <c r="C1462" s="8" t="s">
        <v>3540</v>
      </c>
      <c r="D1462" s="8">
        <v>369</v>
      </c>
      <c r="E1462" s="24">
        <v>0.51761519908904996</v>
      </c>
      <c r="F1462" s="24">
        <v>0.48238483071327198</v>
      </c>
      <c r="G1462" s="23">
        <v>0</v>
      </c>
      <c r="H1462" s="24">
        <v>0.173441737890243</v>
      </c>
      <c r="I1462" s="23">
        <v>6.7750677466392503E-2</v>
      </c>
      <c r="J1462" s="24">
        <v>0.20867209136486001</v>
      </c>
      <c r="K1462" s="23">
        <v>7.0460706949233995E-2</v>
      </c>
      <c r="L1462" s="23">
        <v>2.7100271545350998E-3</v>
      </c>
      <c r="M1462" s="24">
        <v>0.476964771747589</v>
      </c>
      <c r="N1462" s="23">
        <v>0</v>
      </c>
      <c r="O1462" s="24">
        <v>0.200542002916336</v>
      </c>
      <c r="P1462" s="23">
        <v>6.5040647983550998E-2</v>
      </c>
      <c r="Q1462" s="24">
        <v>0.41192412376403797</v>
      </c>
      <c r="R1462" s="25">
        <v>0</v>
      </c>
      <c r="S1462" s="25">
        <v>0</v>
      </c>
      <c r="T1462" s="25">
        <v>0.20596205962059622</v>
      </c>
    </row>
    <row r="1463" spans="1:20" x14ac:dyDescent="0.25">
      <c r="A1463" s="8" t="s">
        <v>3026</v>
      </c>
      <c r="B1463" s="8" t="s">
        <v>3027</v>
      </c>
      <c r="C1463" s="8" t="s">
        <v>3540</v>
      </c>
      <c r="D1463" s="8">
        <v>868</v>
      </c>
      <c r="E1463" s="24">
        <v>0.504608273506164</v>
      </c>
      <c r="F1463" s="24">
        <v>0.49539169669151301</v>
      </c>
      <c r="G1463" s="23">
        <v>0</v>
      </c>
      <c r="H1463" s="24">
        <v>0.19009216129779799</v>
      </c>
      <c r="I1463" s="23">
        <v>1.49769587442279E-2</v>
      </c>
      <c r="J1463" s="24">
        <v>0.134792625904083</v>
      </c>
      <c r="K1463" s="23">
        <v>2.6497695595025999E-2</v>
      </c>
      <c r="L1463" s="23">
        <v>4.6082949265837999E-3</v>
      </c>
      <c r="M1463" s="24">
        <v>0.62788015604019098</v>
      </c>
      <c r="N1463" s="23">
        <v>1.1520737316459001E-3</v>
      </c>
      <c r="O1463" s="24">
        <v>0.26267281174659701</v>
      </c>
      <c r="P1463" s="23">
        <v>5.0691243261098903E-2</v>
      </c>
      <c r="Q1463" s="24">
        <v>0.458525359630584</v>
      </c>
      <c r="R1463" s="25">
        <v>4.0322580645161289E-2</v>
      </c>
      <c r="S1463" s="25">
        <v>2.304147465437788E-3</v>
      </c>
      <c r="T1463" s="25">
        <v>0.19124423963133641</v>
      </c>
    </row>
    <row r="1464" spans="1:20" x14ac:dyDescent="0.25">
      <c r="A1464" s="8" t="s">
        <v>3028</v>
      </c>
      <c r="B1464" s="8" t="s">
        <v>3029</v>
      </c>
      <c r="C1464" s="8" t="s">
        <v>3540</v>
      </c>
      <c r="D1464" s="8">
        <v>349</v>
      </c>
      <c r="E1464" s="24">
        <v>0.49856734275817799</v>
      </c>
      <c r="F1464" s="24">
        <v>0.50143265724182096</v>
      </c>
      <c r="G1464" s="23">
        <v>0</v>
      </c>
      <c r="H1464" s="24">
        <v>0.30945557355880698</v>
      </c>
      <c r="I1464" s="23">
        <v>4.8710603266954401E-2</v>
      </c>
      <c r="J1464" s="24">
        <v>0.303724914789199</v>
      </c>
      <c r="K1464" s="23">
        <v>1.7191976308822601E-2</v>
      </c>
      <c r="L1464" s="23">
        <v>2.8653296176344E-3</v>
      </c>
      <c r="M1464" s="24">
        <v>0.31805157661437899</v>
      </c>
      <c r="N1464" s="23">
        <v>0</v>
      </c>
      <c r="O1464" s="24">
        <v>0.18911175429821001</v>
      </c>
      <c r="P1464" s="24">
        <v>0.28080227971076899</v>
      </c>
      <c r="Q1464" s="24">
        <v>0.79369628429412797</v>
      </c>
      <c r="R1464" s="25">
        <v>7.4498567335243557E-2</v>
      </c>
      <c r="S1464" s="25">
        <v>5.7306590257879654E-3</v>
      </c>
      <c r="T1464" s="25">
        <v>8.5959885386819479E-2</v>
      </c>
    </row>
    <row r="1465" spans="1:20" x14ac:dyDescent="0.25">
      <c r="A1465" s="8" t="s">
        <v>3030</v>
      </c>
      <c r="B1465" s="8" t="s">
        <v>3031</v>
      </c>
      <c r="C1465" s="8" t="s">
        <v>3540</v>
      </c>
      <c r="D1465" s="8">
        <v>492</v>
      </c>
      <c r="E1465" s="24">
        <v>0.45121949911117498</v>
      </c>
      <c r="F1465" s="24">
        <v>0.54878050088882402</v>
      </c>
      <c r="G1465" s="23">
        <v>0</v>
      </c>
      <c r="H1465" s="24">
        <v>0.26219511032104398</v>
      </c>
      <c r="I1465" s="23">
        <v>5.6910570710897397E-2</v>
      </c>
      <c r="J1465" s="24">
        <v>0.24796748161315901</v>
      </c>
      <c r="K1465" s="23">
        <v>2.23577227443457E-2</v>
      </c>
      <c r="L1465" s="23">
        <v>2.0325202494859999E-3</v>
      </c>
      <c r="M1465" s="24">
        <v>0.40650406479835499</v>
      </c>
      <c r="N1465" s="23">
        <v>2.0325202494859999E-3</v>
      </c>
      <c r="O1465" s="23">
        <v>0.26626017689704901</v>
      </c>
      <c r="P1465" s="24">
        <v>0.29674795269966098</v>
      </c>
      <c r="Q1465" s="24">
        <v>0.90447151660919101</v>
      </c>
      <c r="R1465" s="25">
        <v>7.5203252032520332E-2</v>
      </c>
      <c r="S1465" s="25">
        <v>0</v>
      </c>
      <c r="T1465" s="25">
        <v>0.19308943089430894</v>
      </c>
    </row>
    <row r="1466" spans="1:20" x14ac:dyDescent="0.25">
      <c r="A1466" s="8" t="s">
        <v>3032</v>
      </c>
      <c r="B1466" s="8" t="s">
        <v>3033</v>
      </c>
      <c r="C1466" s="8" t="s">
        <v>3540</v>
      </c>
      <c r="D1466" s="8">
        <v>694</v>
      </c>
      <c r="E1466" s="24">
        <v>0.49279537796974099</v>
      </c>
      <c r="F1466" s="24">
        <v>0.50720459222793501</v>
      </c>
      <c r="G1466" s="23">
        <v>0</v>
      </c>
      <c r="H1466" s="24">
        <v>0.30691641569137501</v>
      </c>
      <c r="I1466" s="23">
        <v>6.0518730431795099E-2</v>
      </c>
      <c r="J1466" s="24">
        <v>0.25072047114372198</v>
      </c>
      <c r="K1466" s="23">
        <v>1.29682999104261E-2</v>
      </c>
      <c r="L1466" s="23">
        <v>4.3227667920290999E-3</v>
      </c>
      <c r="M1466" s="23">
        <v>0.364553302526474</v>
      </c>
      <c r="N1466" s="23">
        <v>0</v>
      </c>
      <c r="O1466" s="24">
        <v>0.23775215446949</v>
      </c>
      <c r="P1466" s="24">
        <v>0.25648415088653498</v>
      </c>
      <c r="Q1466" s="24">
        <v>0.76368874311447099</v>
      </c>
      <c r="R1466" s="25">
        <v>6.6282420749279536E-2</v>
      </c>
      <c r="S1466" s="25">
        <v>0</v>
      </c>
      <c r="T1466" s="25">
        <v>0.16858789625360229</v>
      </c>
    </row>
    <row r="1467" spans="1:20" x14ac:dyDescent="0.25">
      <c r="A1467" s="8" t="s">
        <v>3034</v>
      </c>
      <c r="B1467" s="8" t="s">
        <v>3035</v>
      </c>
      <c r="C1467" s="8" t="s">
        <v>3540</v>
      </c>
      <c r="D1467" s="8">
        <v>998</v>
      </c>
      <c r="E1467" s="24">
        <v>0.47194388508796598</v>
      </c>
      <c r="F1467" s="24">
        <v>0.52805608510971003</v>
      </c>
      <c r="G1467" s="23">
        <v>0</v>
      </c>
      <c r="H1467" s="24">
        <v>0.23346693813800801</v>
      </c>
      <c r="I1467" s="23">
        <v>1.3026052154600599E-2</v>
      </c>
      <c r="J1467" s="24">
        <v>0.15531061589717801</v>
      </c>
      <c r="K1467" s="23">
        <v>1.4028056524694001E-2</v>
      </c>
      <c r="L1467" s="23">
        <v>3.0060119461268E-3</v>
      </c>
      <c r="M1467" s="24">
        <v>0.58116233348846402</v>
      </c>
      <c r="N1467" s="23">
        <v>0</v>
      </c>
      <c r="O1467" s="24">
        <v>0.25150302052497803</v>
      </c>
      <c r="P1467" s="23">
        <v>9.0180359780788394E-2</v>
      </c>
      <c r="Q1467" s="24">
        <v>0.48697394132614102</v>
      </c>
      <c r="R1467" s="25">
        <v>6.513026052104208E-2</v>
      </c>
      <c r="S1467" s="25">
        <v>3.0060120240480962E-3</v>
      </c>
      <c r="T1467" s="25">
        <v>0.17134268537074149</v>
      </c>
    </row>
    <row r="1468" spans="1:20" x14ac:dyDescent="0.25">
      <c r="A1468" s="8" t="s">
        <v>3036</v>
      </c>
      <c r="B1468" s="8" t="s">
        <v>3037</v>
      </c>
      <c r="C1468" s="8" t="s">
        <v>3540</v>
      </c>
      <c r="D1468" s="8">
        <v>513</v>
      </c>
      <c r="E1468" s="24">
        <v>0.49122807383537198</v>
      </c>
      <c r="F1468" s="24">
        <v>0.50877195596694902</v>
      </c>
      <c r="G1468" s="23">
        <v>0</v>
      </c>
      <c r="H1468" s="23">
        <v>3.5087719559669502E-2</v>
      </c>
      <c r="I1468" s="24">
        <v>0.38011696934700001</v>
      </c>
      <c r="J1468" s="24">
        <v>0.49512669444084101</v>
      </c>
      <c r="K1468" s="23">
        <v>2.1442495286464702E-2</v>
      </c>
      <c r="L1468" s="23">
        <v>7.7972710132598998E-3</v>
      </c>
      <c r="M1468" s="23">
        <v>5.8479532599449199E-2</v>
      </c>
      <c r="N1468" s="23">
        <v>1.9493177533149999E-3</v>
      </c>
      <c r="O1468" s="24">
        <v>0.358674466609954</v>
      </c>
      <c r="P1468" s="23">
        <v>8.3820663392543807E-2</v>
      </c>
      <c r="Q1468" s="24">
        <v>0.931773900985717</v>
      </c>
      <c r="R1468" s="25">
        <v>0.1617933723196881</v>
      </c>
      <c r="S1468" s="25">
        <v>1.7543859649122806E-2</v>
      </c>
      <c r="T1468" s="25">
        <v>0.15789473684210525</v>
      </c>
    </row>
    <row r="1469" spans="1:20" x14ac:dyDescent="0.25">
      <c r="A1469" s="8" t="s">
        <v>3038</v>
      </c>
      <c r="B1469" s="8" t="s">
        <v>3039</v>
      </c>
      <c r="C1469" s="8" t="s">
        <v>3540</v>
      </c>
      <c r="D1469" s="8">
        <v>752</v>
      </c>
      <c r="E1469" s="24">
        <v>0.51861703395843495</v>
      </c>
      <c r="F1469" s="24">
        <v>0.481382966041564</v>
      </c>
      <c r="G1469" s="23">
        <v>0</v>
      </c>
      <c r="H1469" s="23">
        <v>9.9734045565128299E-2</v>
      </c>
      <c r="I1469" s="24">
        <v>0.15425531566143</v>
      </c>
      <c r="J1469" s="24">
        <v>0.46143618226051297</v>
      </c>
      <c r="K1469" s="23">
        <v>4.2553190141916303E-2</v>
      </c>
      <c r="L1469" s="23">
        <v>6.6489363089203999E-3</v>
      </c>
      <c r="M1469" s="24">
        <v>0.23271276056766499</v>
      </c>
      <c r="N1469" s="23">
        <v>2.6595743838698001E-3</v>
      </c>
      <c r="O1469" s="24">
        <v>0.24601063132286</v>
      </c>
      <c r="P1469" s="23">
        <v>5.7180851697921802E-2</v>
      </c>
      <c r="Q1469" s="24">
        <v>0.62898933887481601</v>
      </c>
      <c r="R1469" s="25">
        <v>4.2553191489361701E-2</v>
      </c>
      <c r="S1469" s="25">
        <v>3.9893617021276593E-3</v>
      </c>
      <c r="T1469" s="25">
        <v>0.19813829787234041</v>
      </c>
    </row>
    <row r="1470" spans="1:20" x14ac:dyDescent="0.25">
      <c r="A1470" s="8" t="s">
        <v>3040</v>
      </c>
      <c r="B1470" s="8" t="s">
        <v>3041</v>
      </c>
      <c r="C1470" s="8" t="s">
        <v>3540</v>
      </c>
      <c r="D1470" s="8">
        <v>173</v>
      </c>
      <c r="E1470" s="24">
        <v>0.49132949113845797</v>
      </c>
      <c r="F1470" s="24">
        <v>0.50867050886154097</v>
      </c>
      <c r="G1470" s="23">
        <v>0</v>
      </c>
      <c r="H1470" s="24">
        <v>0.15606936812400801</v>
      </c>
      <c r="I1470" s="24">
        <v>0.17919075489044101</v>
      </c>
      <c r="J1470" s="24">
        <v>0.36994218826293901</v>
      </c>
      <c r="K1470" s="23">
        <v>4.6242773532867397E-2</v>
      </c>
      <c r="L1470" s="23">
        <v>0</v>
      </c>
      <c r="M1470" s="23">
        <v>0.24855491518974299</v>
      </c>
      <c r="N1470" s="23">
        <v>0</v>
      </c>
      <c r="O1470" s="23">
        <v>0.35260117053985601</v>
      </c>
      <c r="P1470" s="23">
        <v>0.16184970736503601</v>
      </c>
      <c r="Q1470" s="24">
        <v>0.90173411369323697</v>
      </c>
      <c r="R1470" s="25">
        <v>0.10982658959537572</v>
      </c>
      <c r="S1470" s="25">
        <v>0</v>
      </c>
      <c r="T1470" s="25">
        <v>0.22543352601156069</v>
      </c>
    </row>
    <row r="1471" spans="1:20" x14ac:dyDescent="0.25">
      <c r="A1471" s="8" t="s">
        <v>3042</v>
      </c>
      <c r="B1471" s="8" t="s">
        <v>3043</v>
      </c>
      <c r="C1471" s="8" t="s">
        <v>3540</v>
      </c>
      <c r="D1471" s="8">
        <v>521</v>
      </c>
      <c r="E1471" s="24">
        <v>0.48368522524833601</v>
      </c>
      <c r="F1471" s="24">
        <v>0.51631480455398504</v>
      </c>
      <c r="G1471" s="23">
        <v>0</v>
      </c>
      <c r="H1471" s="24">
        <v>0.368522077798843</v>
      </c>
      <c r="I1471" s="23">
        <v>5.7581573724746697E-2</v>
      </c>
      <c r="J1471" s="23">
        <v>0.23608444631099701</v>
      </c>
      <c r="K1471" s="23">
        <v>9.5969289541244993E-3</v>
      </c>
      <c r="L1471" s="23">
        <v>1.9193857442588E-3</v>
      </c>
      <c r="M1471" s="24">
        <v>0.32629558444023099</v>
      </c>
      <c r="N1471" s="23">
        <v>0</v>
      </c>
      <c r="O1471" s="24">
        <v>0.19769673049449901</v>
      </c>
      <c r="P1471" s="23">
        <v>1.53550859540701E-2</v>
      </c>
      <c r="Q1471" s="24">
        <v>0.64491361379623402</v>
      </c>
      <c r="R1471" s="25">
        <v>0</v>
      </c>
      <c r="S1471" s="25">
        <v>0</v>
      </c>
      <c r="T1471" s="25">
        <v>0.18809980806142035</v>
      </c>
    </row>
    <row r="1472" spans="1:20" x14ac:dyDescent="0.25">
      <c r="A1472" s="8" t="s">
        <v>3044</v>
      </c>
      <c r="B1472" s="8" t="s">
        <v>3045</v>
      </c>
      <c r="C1472" s="8" t="s">
        <v>3540</v>
      </c>
      <c r="D1472" s="8">
        <v>962</v>
      </c>
      <c r="E1472" s="23">
        <v>0.48232847452163702</v>
      </c>
      <c r="F1472" s="23">
        <v>0.51767152547836304</v>
      </c>
      <c r="G1472" s="23">
        <v>0</v>
      </c>
      <c r="H1472" s="24">
        <v>0.30457380414009</v>
      </c>
      <c r="I1472" s="23">
        <v>5.6133057922124897E-2</v>
      </c>
      <c r="J1472" s="24">
        <v>0.16839917004108401</v>
      </c>
      <c r="K1472" s="23">
        <v>1.55925154685974E-2</v>
      </c>
      <c r="L1472" s="23">
        <v>0</v>
      </c>
      <c r="M1472" s="24">
        <v>0.45322245359420699</v>
      </c>
      <c r="N1472" s="23">
        <v>2.0790020935237E-3</v>
      </c>
      <c r="O1472" s="24">
        <v>0.22661122679710299</v>
      </c>
      <c r="P1472" s="23">
        <v>9.1476090252399403E-2</v>
      </c>
      <c r="Q1472" s="24">
        <v>0.51871103048324496</v>
      </c>
      <c r="R1472" s="25">
        <v>4.781704781704782E-2</v>
      </c>
      <c r="S1472" s="25">
        <v>0</v>
      </c>
      <c r="T1472" s="25">
        <v>0.17151767151767153</v>
      </c>
    </row>
    <row r="1473" spans="1:20" x14ac:dyDescent="0.25">
      <c r="A1473" s="8" t="s">
        <v>3046</v>
      </c>
      <c r="B1473" s="8" t="s">
        <v>3047</v>
      </c>
      <c r="C1473" s="8" t="s">
        <v>3540</v>
      </c>
      <c r="D1473" s="8">
        <v>338</v>
      </c>
      <c r="E1473" s="24">
        <v>0.50295859575271595</v>
      </c>
      <c r="F1473" s="24">
        <v>0.49704143404960599</v>
      </c>
      <c r="G1473" s="23">
        <v>0</v>
      </c>
      <c r="H1473" s="24">
        <v>0.10946745425462701</v>
      </c>
      <c r="I1473" s="24">
        <v>0.28402367234230003</v>
      </c>
      <c r="J1473" s="24">
        <v>0.51479291915893499</v>
      </c>
      <c r="K1473" s="23">
        <v>1.18343196809292E-2</v>
      </c>
      <c r="L1473" s="23">
        <v>1.18343196809292E-2</v>
      </c>
      <c r="M1473" s="23">
        <v>6.8047337234020205E-2</v>
      </c>
      <c r="N1473" s="23">
        <v>0</v>
      </c>
      <c r="O1473" s="24">
        <v>0.39053255319595298</v>
      </c>
      <c r="P1473" s="24">
        <v>0.215976327657699</v>
      </c>
      <c r="Q1473" s="24">
        <v>0.94082838296890203</v>
      </c>
      <c r="R1473" s="25">
        <v>0.18047337278106509</v>
      </c>
      <c r="S1473" s="25">
        <v>1.1834319526627219E-2</v>
      </c>
      <c r="T1473" s="25">
        <v>0.19526627218934911</v>
      </c>
    </row>
    <row r="1474" spans="1:20" x14ac:dyDescent="0.25">
      <c r="A1474" s="8" t="s">
        <v>3048</v>
      </c>
      <c r="B1474" s="8" t="s">
        <v>3049</v>
      </c>
      <c r="C1474" s="8" t="s">
        <v>3540</v>
      </c>
      <c r="D1474" s="8">
        <v>750</v>
      </c>
      <c r="E1474" s="24">
        <v>0.48533332347869801</v>
      </c>
      <c r="F1474" s="24">
        <v>0.51466667652130105</v>
      </c>
      <c r="G1474" s="23">
        <v>0</v>
      </c>
      <c r="H1474" s="24">
        <v>0.32666665315628002</v>
      </c>
      <c r="I1474" s="23">
        <v>1.8666666001081501E-2</v>
      </c>
      <c r="J1474" s="24">
        <v>0.17200000584125499</v>
      </c>
      <c r="K1474" s="23">
        <v>2.4000000208616298E-2</v>
      </c>
      <c r="L1474" s="23">
        <v>2.6666666381060999E-3</v>
      </c>
      <c r="M1474" s="24">
        <v>0.45600000023841802</v>
      </c>
      <c r="N1474" s="23">
        <v>0</v>
      </c>
      <c r="O1474" s="24">
        <v>0.23733332753181399</v>
      </c>
      <c r="P1474" s="23">
        <v>6.4000003039836897E-2</v>
      </c>
      <c r="Q1474" s="24">
        <v>0.55199998617172197</v>
      </c>
      <c r="R1474" s="25">
        <v>5.6000000000000001E-2</v>
      </c>
      <c r="S1474" s="25">
        <v>0</v>
      </c>
      <c r="T1474" s="25">
        <v>0.14399999999999999</v>
      </c>
    </row>
    <row r="1475" spans="1:20" x14ac:dyDescent="0.25">
      <c r="A1475" s="8" t="s">
        <v>3050</v>
      </c>
      <c r="B1475" s="8" t="s">
        <v>3051</v>
      </c>
      <c r="C1475" s="8" t="s">
        <v>3540</v>
      </c>
      <c r="D1475" s="8">
        <v>1077</v>
      </c>
      <c r="E1475" s="24">
        <v>0.48375114798545799</v>
      </c>
      <c r="F1475" s="24">
        <v>0.51624882221221902</v>
      </c>
      <c r="G1475" s="23">
        <v>0</v>
      </c>
      <c r="H1475" s="23">
        <v>7.1494892239570604E-2</v>
      </c>
      <c r="I1475" s="24">
        <v>0.18384401500225001</v>
      </c>
      <c r="J1475" s="23">
        <v>0.53389042615890503</v>
      </c>
      <c r="K1475" s="23">
        <v>2.3212628439068801E-2</v>
      </c>
      <c r="L1475" s="23">
        <v>9.2850513756275004E-3</v>
      </c>
      <c r="M1475" s="24">
        <v>0.17548745870590199</v>
      </c>
      <c r="N1475" s="23">
        <v>2.7855152729898999E-3</v>
      </c>
      <c r="O1475" s="24">
        <v>0.308263689279556</v>
      </c>
      <c r="P1475" s="24">
        <v>0.11977715790271699</v>
      </c>
      <c r="Q1475" s="24">
        <v>0.76973074674606301</v>
      </c>
      <c r="R1475" s="25">
        <v>0.10956360259981431</v>
      </c>
      <c r="S1475" s="25">
        <v>9.2850510677808728E-4</v>
      </c>
      <c r="T1475" s="25">
        <v>0.20427112349117921</v>
      </c>
    </row>
    <row r="1476" spans="1:20" x14ac:dyDescent="0.25">
      <c r="A1476" s="8" t="s">
        <v>3052</v>
      </c>
      <c r="B1476" s="8" t="s">
        <v>3053</v>
      </c>
      <c r="C1476" s="8" t="s">
        <v>3540</v>
      </c>
      <c r="D1476" s="8">
        <v>631</v>
      </c>
      <c r="E1476" s="24">
        <v>0.46751189231872498</v>
      </c>
      <c r="F1476" s="24">
        <v>0.53248810768127397</v>
      </c>
      <c r="G1476" s="23">
        <v>0</v>
      </c>
      <c r="H1476" s="24">
        <v>0.34231379628181402</v>
      </c>
      <c r="I1476" s="23">
        <v>4.9128368496894802E-2</v>
      </c>
      <c r="J1476" s="24">
        <v>0.19334389269351901</v>
      </c>
      <c r="K1476" s="23">
        <v>2.2187003865838099E-2</v>
      </c>
      <c r="L1476" s="23">
        <v>0</v>
      </c>
      <c r="M1476" s="24">
        <v>0.39302694797515803</v>
      </c>
      <c r="N1476" s="23">
        <v>0</v>
      </c>
      <c r="O1476" s="24">
        <v>0.228209197521209</v>
      </c>
      <c r="P1476" s="24">
        <v>0.15689381957054099</v>
      </c>
      <c r="Q1476" s="23">
        <v>0.75911253690719604</v>
      </c>
      <c r="R1476" s="25">
        <v>3.8034865293185421E-2</v>
      </c>
      <c r="S1476" s="25">
        <v>0</v>
      </c>
      <c r="T1476" s="25">
        <v>0.16006339144215531</v>
      </c>
    </row>
    <row r="1477" spans="1:20" x14ac:dyDescent="0.25">
      <c r="A1477" s="8" t="s">
        <v>3054</v>
      </c>
      <c r="B1477" s="8" t="s">
        <v>3055</v>
      </c>
      <c r="C1477" s="8" t="s">
        <v>3540</v>
      </c>
      <c r="D1477" s="8">
        <v>811</v>
      </c>
      <c r="E1477" s="24">
        <v>0.49198520183563199</v>
      </c>
      <c r="F1477" s="24">
        <v>0.50801479816436701</v>
      </c>
      <c r="G1477" s="23">
        <v>0</v>
      </c>
      <c r="H1477" s="24">
        <v>0.30456227064132602</v>
      </c>
      <c r="I1477" s="23">
        <v>1.6029592603445102E-2</v>
      </c>
      <c r="J1477" s="24">
        <v>0.16029593348503099</v>
      </c>
      <c r="K1477" s="23">
        <v>2.3427866399288198E-2</v>
      </c>
      <c r="L1477" s="23">
        <v>0</v>
      </c>
      <c r="M1477" s="24">
        <v>0.49568432569503701</v>
      </c>
      <c r="N1477" s="23">
        <v>0</v>
      </c>
      <c r="O1477" s="24">
        <v>0.234278663992881</v>
      </c>
      <c r="P1477" s="23">
        <v>8.26140567660332E-2</v>
      </c>
      <c r="Q1477" s="23">
        <v>0.519112229347229</v>
      </c>
      <c r="R1477" s="25">
        <v>5.3020961775585698E-2</v>
      </c>
      <c r="S1477" s="25">
        <v>2.4660912453760789E-3</v>
      </c>
      <c r="T1477" s="25">
        <v>0.15413070283600494</v>
      </c>
    </row>
    <row r="1478" spans="1:20" x14ac:dyDescent="0.25">
      <c r="A1478" s="8" t="s">
        <v>3056</v>
      </c>
      <c r="B1478" s="8" t="s">
        <v>3057</v>
      </c>
      <c r="C1478" s="8" t="s">
        <v>3540</v>
      </c>
      <c r="D1478" s="8">
        <v>793</v>
      </c>
      <c r="E1478" s="23">
        <v>0.506935715675354</v>
      </c>
      <c r="F1478" s="24">
        <v>0.493064314126968</v>
      </c>
      <c r="G1478" s="23">
        <v>0</v>
      </c>
      <c r="H1478" s="24">
        <v>0.459016382694244</v>
      </c>
      <c r="I1478" s="23">
        <v>4.4136192649602897E-2</v>
      </c>
      <c r="J1478" s="24">
        <v>0.152585119009017</v>
      </c>
      <c r="K1478" s="23">
        <v>1.7654476687312098E-2</v>
      </c>
      <c r="L1478" s="23">
        <v>5.0441361963749001E-3</v>
      </c>
      <c r="M1478" s="24">
        <v>0.321563690900802</v>
      </c>
      <c r="N1478" s="23">
        <v>0</v>
      </c>
      <c r="O1478" s="23">
        <v>0.22320303320884699</v>
      </c>
      <c r="P1478" s="23">
        <v>7.8184112906455994E-2</v>
      </c>
      <c r="Q1478" s="24">
        <v>0.69609081745147705</v>
      </c>
      <c r="R1478" s="25">
        <v>4.4136191677175286E-2</v>
      </c>
      <c r="S1478" s="25">
        <v>1.8915510718789406E-2</v>
      </c>
      <c r="T1478" s="25">
        <v>0.13114754098360656</v>
      </c>
    </row>
    <row r="1479" spans="1:20" x14ac:dyDescent="0.25">
      <c r="A1479" s="8" t="s">
        <v>3058</v>
      </c>
      <c r="B1479" s="8" t="s">
        <v>3059</v>
      </c>
      <c r="C1479" s="8" t="s">
        <v>3540</v>
      </c>
      <c r="D1479" s="8">
        <v>512</v>
      </c>
      <c r="E1479" s="23">
        <v>0.509765625</v>
      </c>
      <c r="F1479" s="23">
        <v>0.490234375</v>
      </c>
      <c r="G1479" s="23">
        <v>0</v>
      </c>
      <c r="H1479" s="23">
        <v>0.1171875</v>
      </c>
      <c r="I1479" s="23">
        <v>1.953125E-3</v>
      </c>
      <c r="J1479" s="23">
        <v>0.142578125</v>
      </c>
      <c r="K1479" s="23">
        <v>1.953125E-2</v>
      </c>
      <c r="L1479" s="23">
        <v>1.953125E-3</v>
      </c>
      <c r="M1479" s="23">
        <v>0.716796875</v>
      </c>
      <c r="N1479" s="23">
        <v>0</v>
      </c>
      <c r="O1479" s="23">
        <v>0.310546875</v>
      </c>
      <c r="P1479" s="23">
        <v>5.6640625E-2</v>
      </c>
      <c r="Q1479" s="23">
        <v>0.4375</v>
      </c>
      <c r="R1479" s="25">
        <v>4.296875E-2</v>
      </c>
      <c r="S1479" s="25">
        <v>0</v>
      </c>
      <c r="T1479" s="25">
        <v>0.259765625</v>
      </c>
    </row>
    <row r="1480" spans="1:20" x14ac:dyDescent="0.25">
      <c r="A1480" s="8" t="s">
        <v>3060</v>
      </c>
      <c r="B1480" s="8" t="s">
        <v>3061</v>
      </c>
      <c r="C1480" s="8" t="s">
        <v>3540</v>
      </c>
      <c r="D1480" s="8">
        <v>643</v>
      </c>
      <c r="E1480" s="24">
        <v>0.48678070306777899</v>
      </c>
      <c r="F1480" s="24">
        <v>0.51321929693222001</v>
      </c>
      <c r="G1480" s="23">
        <v>0</v>
      </c>
      <c r="H1480" s="24">
        <v>0.17418351769447299</v>
      </c>
      <c r="I1480" s="23">
        <v>1.08864698559046E-2</v>
      </c>
      <c r="J1480" s="24">
        <v>0.13685847818851399</v>
      </c>
      <c r="K1480" s="23">
        <v>1.5552099794149401E-2</v>
      </c>
      <c r="L1480" s="23">
        <v>3.1104199588299001E-3</v>
      </c>
      <c r="M1480" s="24">
        <v>0.65940904617309504</v>
      </c>
      <c r="N1480" s="23">
        <v>0</v>
      </c>
      <c r="O1480" s="24">
        <v>0.29860031604766801</v>
      </c>
      <c r="P1480" s="23">
        <v>4.3545879423618303E-2</v>
      </c>
      <c r="Q1480" s="24">
        <v>0.39191290736198398</v>
      </c>
      <c r="R1480" s="25">
        <v>3.7325038880248837E-2</v>
      </c>
      <c r="S1480" s="25">
        <v>1.088646967340591E-2</v>
      </c>
      <c r="T1480" s="25">
        <v>0.22550544323483671</v>
      </c>
    </row>
    <row r="1481" spans="1:20" x14ac:dyDescent="0.25">
      <c r="A1481" s="8" t="s">
        <v>3062</v>
      </c>
      <c r="B1481" s="8" t="s">
        <v>3063</v>
      </c>
      <c r="C1481" s="8" t="s">
        <v>3540</v>
      </c>
      <c r="D1481" s="8">
        <v>392</v>
      </c>
      <c r="E1481" s="24">
        <v>0.45153060555458002</v>
      </c>
      <c r="F1481" s="24">
        <v>0.54846936464309604</v>
      </c>
      <c r="G1481" s="23">
        <v>0</v>
      </c>
      <c r="H1481" s="23">
        <v>7.39795938134193E-2</v>
      </c>
      <c r="I1481" s="24">
        <v>0.46938776969909601</v>
      </c>
      <c r="J1481" s="24">
        <v>0.39540815353393499</v>
      </c>
      <c r="K1481" s="23">
        <v>1.53061226010323E-2</v>
      </c>
      <c r="L1481" s="23">
        <v>1.2755102477967699E-2</v>
      </c>
      <c r="M1481" s="23">
        <v>3.3163264393806499E-2</v>
      </c>
      <c r="N1481" s="23">
        <v>0</v>
      </c>
      <c r="O1481" s="24">
        <v>0.41581633687019298</v>
      </c>
      <c r="P1481" s="23">
        <v>0.125</v>
      </c>
      <c r="Q1481" s="24">
        <v>0.94897961616516102</v>
      </c>
      <c r="R1481" s="25">
        <v>0.17602040816326531</v>
      </c>
      <c r="S1481" s="25">
        <v>0</v>
      </c>
      <c r="T1481" s="25">
        <v>0.2066326530612245</v>
      </c>
    </row>
    <row r="1482" spans="1:20" x14ac:dyDescent="0.25">
      <c r="A1482" s="8" t="s">
        <v>3064</v>
      </c>
      <c r="B1482" s="8" t="s">
        <v>3065</v>
      </c>
      <c r="C1482" s="8" t="s">
        <v>3540</v>
      </c>
      <c r="D1482" s="8">
        <v>721</v>
      </c>
      <c r="E1482" s="24">
        <v>0.45076283812522799</v>
      </c>
      <c r="F1482" s="24">
        <v>0.54923719167709295</v>
      </c>
      <c r="G1482" s="23">
        <v>0</v>
      </c>
      <c r="H1482" s="24">
        <v>0.32316228747367798</v>
      </c>
      <c r="I1482" s="23">
        <v>5.54785020649433E-2</v>
      </c>
      <c r="J1482" s="24">
        <v>0.230235785245895</v>
      </c>
      <c r="K1482" s="23">
        <v>1.8030513077974299E-2</v>
      </c>
      <c r="L1482" s="23">
        <v>1.3869625981897001E-3</v>
      </c>
      <c r="M1482" s="24">
        <v>0.36893203854560802</v>
      </c>
      <c r="N1482" s="23">
        <v>2.7739251963794002E-3</v>
      </c>
      <c r="O1482" s="24">
        <v>0.288488209247589</v>
      </c>
      <c r="P1482" s="24">
        <v>0.10679611563682501</v>
      </c>
      <c r="Q1482" s="24">
        <v>0.65603327751159601</v>
      </c>
      <c r="R1482" s="25">
        <v>0.10540915395284327</v>
      </c>
      <c r="S1482" s="25">
        <v>6.9348127600554789E-3</v>
      </c>
      <c r="T1482" s="25">
        <v>0.16782246879334259</v>
      </c>
    </row>
    <row r="1483" spans="1:20" x14ac:dyDescent="0.25">
      <c r="A1483" s="8" t="s">
        <v>3066</v>
      </c>
      <c r="B1483" s="8" t="s">
        <v>3067</v>
      </c>
      <c r="C1483" s="8" t="s">
        <v>3540</v>
      </c>
      <c r="D1483" s="8">
        <v>251</v>
      </c>
      <c r="E1483" s="24">
        <v>0.501992046833038</v>
      </c>
      <c r="F1483" s="24">
        <v>0.498007982969284</v>
      </c>
      <c r="G1483" s="23">
        <v>0</v>
      </c>
      <c r="H1483" s="23">
        <v>2.78884470462799E-2</v>
      </c>
      <c r="I1483" s="24">
        <v>0.39043825864791798</v>
      </c>
      <c r="J1483" s="24">
        <v>0.38645419478416398</v>
      </c>
      <c r="K1483" s="23">
        <v>3.9840638637542697E-2</v>
      </c>
      <c r="L1483" s="23">
        <v>0</v>
      </c>
      <c r="M1483" s="24">
        <v>0.15537849068641599</v>
      </c>
      <c r="N1483" s="23">
        <v>0</v>
      </c>
      <c r="O1483" s="24">
        <v>0.31075698137283297</v>
      </c>
      <c r="P1483" s="23">
        <v>3.9840638637543002E-3</v>
      </c>
      <c r="Q1483" s="24">
        <v>0.752988040447235</v>
      </c>
      <c r="R1483" s="25">
        <v>7.5697211155378488E-2</v>
      </c>
      <c r="S1483" s="25">
        <v>0</v>
      </c>
      <c r="T1483" s="25">
        <v>0.23107569721115537</v>
      </c>
    </row>
    <row r="1484" spans="1:20" x14ac:dyDescent="0.25">
      <c r="A1484" s="8" t="s">
        <v>3068</v>
      </c>
      <c r="B1484" s="8" t="s">
        <v>3069</v>
      </c>
      <c r="C1484" s="8" t="s">
        <v>3540</v>
      </c>
      <c r="D1484" s="8">
        <v>600</v>
      </c>
      <c r="E1484" s="24">
        <v>0.486666679382324</v>
      </c>
      <c r="F1484" s="24">
        <v>0.513333320617675</v>
      </c>
      <c r="G1484" s="23">
        <v>0</v>
      </c>
      <c r="H1484" s="24">
        <v>0.22166666388511599</v>
      </c>
      <c r="I1484" s="23">
        <v>5.9999998658895499E-2</v>
      </c>
      <c r="J1484" s="24">
        <v>0.245000004768371</v>
      </c>
      <c r="K1484" s="23">
        <v>1.9999999552965199E-2</v>
      </c>
      <c r="L1484" s="23">
        <v>9.9999997764825994E-3</v>
      </c>
      <c r="M1484" s="24">
        <v>0.44166666269302302</v>
      </c>
      <c r="N1484" s="23">
        <v>1.6666667070239999E-3</v>
      </c>
      <c r="O1484" s="24">
        <v>0.29166665673255898</v>
      </c>
      <c r="P1484" s="23">
        <v>7.0000000298023196E-2</v>
      </c>
      <c r="Q1484" s="24">
        <v>0.70166665315627996</v>
      </c>
      <c r="R1484" s="25">
        <v>5.0000000000000001E-3</v>
      </c>
      <c r="S1484" s="25">
        <v>0.11833333333333333</v>
      </c>
      <c r="T1484" s="25">
        <v>0.15666666666666668</v>
      </c>
    </row>
    <row r="1485" spans="1:20" x14ac:dyDescent="0.25">
      <c r="A1485" s="8" t="s">
        <v>3070</v>
      </c>
      <c r="B1485" s="8" t="s">
        <v>3071</v>
      </c>
      <c r="C1485" s="8" t="s">
        <v>3540</v>
      </c>
      <c r="D1485" s="8">
        <v>874</v>
      </c>
      <c r="E1485" s="24">
        <v>0.50228834152221602</v>
      </c>
      <c r="F1485" s="24">
        <v>0.49771165847778298</v>
      </c>
      <c r="G1485" s="23">
        <v>0</v>
      </c>
      <c r="H1485" s="23">
        <v>4.23340946435928E-2</v>
      </c>
      <c r="I1485" s="24">
        <v>0.318077802658081</v>
      </c>
      <c r="J1485" s="24">
        <v>0.50114417076110795</v>
      </c>
      <c r="K1485" s="23">
        <v>2.63157896697521E-2</v>
      </c>
      <c r="L1485" s="23">
        <v>1.14416480064392E-2</v>
      </c>
      <c r="M1485" s="24">
        <v>0.100686497986316</v>
      </c>
      <c r="N1485" s="23">
        <v>0</v>
      </c>
      <c r="O1485" s="24">
        <v>0.31350114941596902</v>
      </c>
      <c r="P1485" s="24">
        <v>0.1098398193717</v>
      </c>
      <c r="Q1485" s="24">
        <v>0.84210526943206698</v>
      </c>
      <c r="R1485" s="25">
        <v>0.12242562929061784</v>
      </c>
      <c r="S1485" s="25">
        <v>1.1441647597254005E-3</v>
      </c>
      <c r="T1485" s="25">
        <v>0.17963386727688788</v>
      </c>
    </row>
    <row r="1486" spans="1:20" x14ac:dyDescent="0.25">
      <c r="A1486" s="8" t="s">
        <v>3072</v>
      </c>
      <c r="B1486" s="8" t="s">
        <v>3073</v>
      </c>
      <c r="C1486" s="8" t="s">
        <v>3540</v>
      </c>
      <c r="D1486" s="8">
        <v>455</v>
      </c>
      <c r="E1486" s="24">
        <v>0.50769233703613204</v>
      </c>
      <c r="F1486" s="24">
        <v>0.49230769276618902</v>
      </c>
      <c r="G1486" s="23">
        <v>0</v>
      </c>
      <c r="H1486" s="24">
        <v>0.11868131905794101</v>
      </c>
      <c r="I1486" s="23">
        <v>1.3186813332140401E-2</v>
      </c>
      <c r="J1486" s="24">
        <v>0.105494506657123</v>
      </c>
      <c r="K1486" s="23">
        <v>1.3186813332140401E-2</v>
      </c>
      <c r="L1486" s="23">
        <v>4.3956045992672001E-3</v>
      </c>
      <c r="M1486" s="24">
        <v>0.74505496025085405</v>
      </c>
      <c r="N1486" s="23">
        <v>0</v>
      </c>
      <c r="O1486" s="24">
        <v>0.24835164844989699</v>
      </c>
      <c r="P1486" s="23">
        <v>4.3956045061349897E-2</v>
      </c>
      <c r="Q1486" s="24">
        <v>0.397802203893661</v>
      </c>
      <c r="R1486" s="25">
        <v>4.3956043956043959E-2</v>
      </c>
      <c r="S1486" s="25">
        <v>0</v>
      </c>
      <c r="T1486" s="25">
        <v>0.21318681318681318</v>
      </c>
    </row>
    <row r="1487" spans="1:20" x14ac:dyDescent="0.25">
      <c r="A1487" s="8" t="s">
        <v>3074</v>
      </c>
      <c r="B1487" s="8" t="s">
        <v>3075</v>
      </c>
      <c r="C1487" s="8" t="s">
        <v>3540</v>
      </c>
      <c r="D1487" s="8">
        <v>409</v>
      </c>
      <c r="E1487" s="24">
        <v>0.49877750873565602</v>
      </c>
      <c r="F1487" s="24">
        <v>0.50122249126434304</v>
      </c>
      <c r="G1487" s="23">
        <v>0</v>
      </c>
      <c r="H1487" s="24">
        <v>0.18337407708167999</v>
      </c>
      <c r="I1487" s="24">
        <v>0.10757946223020499</v>
      </c>
      <c r="J1487" s="23">
        <v>0.30562347173690801</v>
      </c>
      <c r="K1487" s="23">
        <v>3.4229829907417297E-2</v>
      </c>
      <c r="L1487" s="23">
        <v>4.8899757675827001E-3</v>
      </c>
      <c r="M1487" s="24">
        <v>0.36430317163467402</v>
      </c>
      <c r="N1487" s="23">
        <v>0</v>
      </c>
      <c r="O1487" s="24">
        <v>0.239608809351921</v>
      </c>
      <c r="P1487" s="23">
        <v>2.20048893243074E-2</v>
      </c>
      <c r="Q1487" s="23">
        <v>0.62102687358856201</v>
      </c>
      <c r="R1487" s="25">
        <v>2.4449877750611247E-3</v>
      </c>
      <c r="S1487" s="25">
        <v>5.623471882640587E-2</v>
      </c>
      <c r="T1487" s="25">
        <v>0.17359413202933985</v>
      </c>
    </row>
    <row r="1488" spans="1:20" x14ac:dyDescent="0.25">
      <c r="A1488" s="8" t="s">
        <v>3076</v>
      </c>
      <c r="B1488" s="8" t="s">
        <v>3077</v>
      </c>
      <c r="C1488" s="8" t="s">
        <v>3540</v>
      </c>
      <c r="D1488" s="8">
        <v>537</v>
      </c>
      <c r="E1488" s="24">
        <v>0.45623835921287498</v>
      </c>
      <c r="F1488" s="24">
        <v>0.54376161098480202</v>
      </c>
      <c r="G1488" s="23">
        <v>0</v>
      </c>
      <c r="H1488" s="24">
        <v>0.14711359143257099</v>
      </c>
      <c r="I1488" s="23">
        <v>4.4692736119031899E-2</v>
      </c>
      <c r="J1488" s="24">
        <v>0.27746739983558599</v>
      </c>
      <c r="K1488" s="23">
        <v>3.1657356768846498E-2</v>
      </c>
      <c r="L1488" s="23">
        <v>5.5865920148790004E-3</v>
      </c>
      <c r="M1488" s="24">
        <v>0.45810055732727001</v>
      </c>
      <c r="N1488" s="23">
        <v>3.5381749272346497E-2</v>
      </c>
      <c r="O1488" s="24">
        <v>0.26070764660835199</v>
      </c>
      <c r="P1488" s="23">
        <v>2.4208566173911102E-2</v>
      </c>
      <c r="Q1488" s="24">
        <v>0.54934823513030995</v>
      </c>
      <c r="R1488" s="25">
        <v>6.7039106145251395E-2</v>
      </c>
      <c r="S1488" s="25">
        <v>1.86219739292365E-2</v>
      </c>
      <c r="T1488" s="25">
        <v>0.1750465549348231</v>
      </c>
    </row>
    <row r="1489" spans="1:20" x14ac:dyDescent="0.25">
      <c r="A1489" s="8" t="s">
        <v>3078</v>
      </c>
      <c r="B1489" s="8" t="s">
        <v>3079</v>
      </c>
      <c r="C1489" s="8" t="s">
        <v>3540</v>
      </c>
      <c r="D1489" s="8">
        <v>340</v>
      </c>
      <c r="E1489" s="24">
        <v>0.54705882072448697</v>
      </c>
      <c r="F1489" s="24">
        <v>0.45294117927551197</v>
      </c>
      <c r="G1489" s="23">
        <v>0</v>
      </c>
      <c r="H1489" s="23">
        <v>2.05882359296083E-2</v>
      </c>
      <c r="I1489" s="24">
        <v>0.23235294222831701</v>
      </c>
      <c r="J1489" s="24">
        <v>0.53823530673980702</v>
      </c>
      <c r="K1489" s="23">
        <v>5.0000000745058101E-2</v>
      </c>
      <c r="L1489" s="23">
        <v>5.8823530562222004E-3</v>
      </c>
      <c r="M1489" s="24">
        <v>0.15000000596046401</v>
      </c>
      <c r="N1489" s="23">
        <v>2.9411765281111002E-3</v>
      </c>
      <c r="O1489" s="23">
        <v>0.30000001192092901</v>
      </c>
      <c r="P1489" s="23">
        <v>3.8235295563936199E-2</v>
      </c>
      <c r="Q1489" s="23">
        <v>0.75</v>
      </c>
      <c r="R1489" s="25">
        <v>0.1</v>
      </c>
      <c r="S1489" s="25">
        <v>0</v>
      </c>
      <c r="T1489" s="25">
        <v>0.18529411764705883</v>
      </c>
    </row>
    <row r="1490" spans="1:20" x14ac:dyDescent="0.25">
      <c r="A1490" s="8" t="s">
        <v>3080</v>
      </c>
      <c r="B1490" s="8" t="s">
        <v>3081</v>
      </c>
      <c r="C1490" s="8" t="s">
        <v>3540</v>
      </c>
      <c r="D1490" s="8">
        <v>379</v>
      </c>
      <c r="E1490" s="24">
        <v>0.49340370297431901</v>
      </c>
      <c r="F1490" s="24">
        <v>0.50659632682800204</v>
      </c>
      <c r="G1490" s="23">
        <v>0</v>
      </c>
      <c r="H1490" s="23">
        <v>0.100263848900795</v>
      </c>
      <c r="I1490" s="24">
        <v>0.21372032165527299</v>
      </c>
      <c r="J1490" s="24">
        <v>0.50131928920745805</v>
      </c>
      <c r="K1490" s="23">
        <v>3.9577838033437701E-2</v>
      </c>
      <c r="L1490" s="23">
        <v>2.6385225355625001E-3</v>
      </c>
      <c r="M1490" s="24">
        <v>0.14248020946979501</v>
      </c>
      <c r="N1490" s="23">
        <v>0</v>
      </c>
      <c r="O1490" s="24">
        <v>0.30079156160354598</v>
      </c>
      <c r="P1490" s="23">
        <v>6.8601585924625397E-2</v>
      </c>
      <c r="Q1490" s="24">
        <v>0.82058048248291005</v>
      </c>
      <c r="R1490" s="25">
        <v>1.5831134564643801E-2</v>
      </c>
      <c r="S1490" s="25">
        <v>0.10290237467018469</v>
      </c>
      <c r="T1490" s="25">
        <v>0.16358839050131926</v>
      </c>
    </row>
    <row r="1491" spans="1:20" x14ac:dyDescent="0.25">
      <c r="A1491" s="8" t="s">
        <v>3082</v>
      </c>
      <c r="B1491" s="8" t="s">
        <v>3083</v>
      </c>
      <c r="C1491" s="8" t="s">
        <v>3540</v>
      </c>
      <c r="D1491" s="8">
        <v>676</v>
      </c>
      <c r="E1491" s="24">
        <v>0.46301776170730502</v>
      </c>
      <c r="F1491" s="24">
        <v>0.53698223829269398</v>
      </c>
      <c r="G1491" s="23">
        <v>0</v>
      </c>
      <c r="H1491" s="24">
        <v>0.36538460850715598</v>
      </c>
      <c r="I1491" s="23">
        <v>3.1065089628100399E-2</v>
      </c>
      <c r="J1491" s="24">
        <v>0.233727812767028</v>
      </c>
      <c r="K1491" s="23">
        <v>1.4792899601161501E-2</v>
      </c>
      <c r="L1491" s="23">
        <v>2.9585799202322999E-3</v>
      </c>
      <c r="M1491" s="24">
        <v>0.35207101702690102</v>
      </c>
      <c r="N1491" s="23">
        <v>0</v>
      </c>
      <c r="O1491" s="24">
        <v>0.25887572765350297</v>
      </c>
      <c r="P1491" s="24">
        <v>0.14940828084945601</v>
      </c>
      <c r="Q1491" s="24">
        <v>0.72928994894027699</v>
      </c>
      <c r="R1491" s="25">
        <v>2.3668639053254437E-2</v>
      </c>
      <c r="S1491" s="25">
        <v>5.9171597633136093E-3</v>
      </c>
      <c r="T1491" s="25">
        <v>0.22633136094674555</v>
      </c>
    </row>
    <row r="1492" spans="1:20" x14ac:dyDescent="0.25">
      <c r="A1492" s="8" t="s">
        <v>3084</v>
      </c>
      <c r="B1492" s="8" t="s">
        <v>3085</v>
      </c>
      <c r="C1492" s="8" t="s">
        <v>3540</v>
      </c>
      <c r="D1492" s="8">
        <v>1539</v>
      </c>
      <c r="E1492" s="24">
        <v>0.48927876353263799</v>
      </c>
      <c r="F1492" s="24">
        <v>0.51072126626968295</v>
      </c>
      <c r="G1492" s="23">
        <v>0</v>
      </c>
      <c r="H1492" s="24">
        <v>0.315139710903167</v>
      </c>
      <c r="I1492" s="23">
        <v>4.15854454040527E-2</v>
      </c>
      <c r="J1492" s="24">
        <v>0.26575699448585499</v>
      </c>
      <c r="K1492" s="23">
        <v>2.0142950117588002E-2</v>
      </c>
      <c r="L1492" s="23">
        <v>6.4977258443831998E-3</v>
      </c>
      <c r="M1492" s="23">
        <v>0.35022741556167603</v>
      </c>
      <c r="N1492" s="23">
        <v>6.4977258443830001E-4</v>
      </c>
      <c r="O1492" s="24">
        <v>0.230669260025024</v>
      </c>
      <c r="P1492" s="23">
        <v>7.8622482717037201E-2</v>
      </c>
      <c r="Q1492" s="24">
        <v>0.68356072902679399</v>
      </c>
      <c r="R1492" s="25">
        <v>6.8875893437296942E-2</v>
      </c>
      <c r="S1492" s="25">
        <v>3.2488628979857048E-3</v>
      </c>
      <c r="T1492" s="25">
        <v>0.15464587394411955</v>
      </c>
    </row>
    <row r="1493" spans="1:20" x14ac:dyDescent="0.25">
      <c r="A1493" s="8" t="s">
        <v>3086</v>
      </c>
      <c r="B1493" s="8" t="s">
        <v>3087</v>
      </c>
      <c r="C1493" s="8" t="s">
        <v>3540</v>
      </c>
      <c r="D1493" s="8">
        <v>259</v>
      </c>
      <c r="E1493" s="24">
        <v>0.50579148530960005</v>
      </c>
      <c r="F1493" s="24">
        <v>0.49420848488807601</v>
      </c>
      <c r="G1493" s="23">
        <v>0</v>
      </c>
      <c r="H1493" s="23">
        <v>5.7915057986974702E-2</v>
      </c>
      <c r="I1493" s="24">
        <v>0.28957527875900202</v>
      </c>
      <c r="J1493" s="24">
        <v>0.57915055751800504</v>
      </c>
      <c r="K1493" s="23">
        <v>7.7220075763761997E-3</v>
      </c>
      <c r="L1493" s="23">
        <v>3.8610037881880999E-3</v>
      </c>
      <c r="M1493" s="23">
        <v>6.1776060611009598E-2</v>
      </c>
      <c r="N1493" s="23">
        <v>0</v>
      </c>
      <c r="O1493" s="24">
        <v>0.39768341183662398</v>
      </c>
      <c r="P1493" s="24">
        <v>0.20849420130252799</v>
      </c>
      <c r="Q1493" s="24">
        <v>0.97297298908233598</v>
      </c>
      <c r="R1493" s="25">
        <v>0.15830115830115829</v>
      </c>
      <c r="S1493" s="25">
        <v>1.1583011583011582E-2</v>
      </c>
      <c r="T1493" s="25">
        <v>0.26254826254826252</v>
      </c>
    </row>
    <row r="1494" spans="1:20" x14ac:dyDescent="0.25">
      <c r="A1494" s="8" t="s">
        <v>3088</v>
      </c>
      <c r="B1494" s="8" t="s">
        <v>3089</v>
      </c>
      <c r="C1494" s="8" t="s">
        <v>3540</v>
      </c>
      <c r="D1494" s="8">
        <v>1514</v>
      </c>
      <c r="E1494" s="24">
        <v>0.48546895384788502</v>
      </c>
      <c r="F1494" s="24">
        <v>0.51453101634979204</v>
      </c>
      <c r="G1494" s="23">
        <v>0</v>
      </c>
      <c r="H1494" s="24">
        <v>0.23117569088935799</v>
      </c>
      <c r="I1494" s="23">
        <v>7.2655216790735999E-3</v>
      </c>
      <c r="J1494" s="24">
        <v>0.153236463665962</v>
      </c>
      <c r="K1494" s="23">
        <v>2.1796565502882E-2</v>
      </c>
      <c r="L1494" s="23">
        <v>3.9630117826164003E-3</v>
      </c>
      <c r="M1494" s="24">
        <v>0.58256274461746205</v>
      </c>
      <c r="N1494" s="23">
        <v>0</v>
      </c>
      <c r="O1494" s="24">
        <v>0.21664464473724299</v>
      </c>
      <c r="P1494" s="23">
        <v>2.64200791716576E-2</v>
      </c>
      <c r="Q1494" s="24">
        <v>0.48612946271896301</v>
      </c>
      <c r="R1494" s="25">
        <v>4.2932628797886396E-2</v>
      </c>
      <c r="S1494" s="25">
        <v>7.9260237780713338E-3</v>
      </c>
      <c r="T1494" s="25">
        <v>0.16248348745046234</v>
      </c>
    </row>
    <row r="1495" spans="1:20" x14ac:dyDescent="0.25">
      <c r="A1495" s="8" t="s">
        <v>3090</v>
      </c>
      <c r="B1495" s="8" t="s">
        <v>3091</v>
      </c>
      <c r="C1495" s="8" t="s">
        <v>3540</v>
      </c>
      <c r="D1495" s="8">
        <v>458</v>
      </c>
      <c r="E1495" s="24">
        <v>0.506550192832946</v>
      </c>
      <c r="F1495" s="24">
        <v>0.49344977736473</v>
      </c>
      <c r="G1495" s="23">
        <v>0</v>
      </c>
      <c r="H1495" s="23">
        <v>3.9301309734582901E-2</v>
      </c>
      <c r="I1495" s="24">
        <v>0.40611353516578602</v>
      </c>
      <c r="J1495" s="24">
        <v>0.49781659245491</v>
      </c>
      <c r="K1495" s="23">
        <v>4.3668122962117004E-3</v>
      </c>
      <c r="L1495" s="23">
        <v>8.7336245924234009E-3</v>
      </c>
      <c r="M1495" s="23">
        <v>4.3668121099471997E-2</v>
      </c>
      <c r="N1495" s="23">
        <v>0</v>
      </c>
      <c r="O1495" s="24">
        <v>0.43013101816177302</v>
      </c>
      <c r="P1495" s="24">
        <v>0.115720525383949</v>
      </c>
      <c r="Q1495" s="24">
        <v>0.94541484117507901</v>
      </c>
      <c r="R1495" s="25">
        <v>0.18558951965065501</v>
      </c>
      <c r="S1495" s="25">
        <v>4.3668122270742356E-3</v>
      </c>
      <c r="T1495" s="25">
        <v>0.2423580786026201</v>
      </c>
    </row>
    <row r="1496" spans="1:20" x14ac:dyDescent="0.25">
      <c r="A1496" s="8" t="s">
        <v>3092</v>
      </c>
      <c r="B1496" s="8" t="s">
        <v>3093</v>
      </c>
      <c r="C1496" s="8" t="s">
        <v>3540</v>
      </c>
      <c r="D1496" s="8">
        <v>1446</v>
      </c>
      <c r="E1496" s="23">
        <v>0.47648686170577997</v>
      </c>
      <c r="F1496" s="23">
        <v>0.52351313829421997</v>
      </c>
      <c r="G1496" s="23">
        <v>0</v>
      </c>
      <c r="H1496" s="24">
        <v>0.12586446106433799</v>
      </c>
      <c r="I1496" s="24">
        <v>0.208852007985115</v>
      </c>
      <c r="J1496" s="24">
        <v>0.35062241554260198</v>
      </c>
      <c r="K1496" s="23">
        <v>2.8354080393910401E-2</v>
      </c>
      <c r="L1496" s="23">
        <v>4.8409407027065997E-3</v>
      </c>
      <c r="M1496" s="24">
        <v>0.27662518620491</v>
      </c>
      <c r="N1496" s="23">
        <v>4.8409407027065997E-3</v>
      </c>
      <c r="O1496" s="24">
        <v>0.32157677412032998</v>
      </c>
      <c r="P1496" s="23">
        <v>2.76625175029039E-2</v>
      </c>
      <c r="Q1496" s="23">
        <v>0.67911481857299805</v>
      </c>
      <c r="R1496" s="25">
        <v>2.6279391424619641E-2</v>
      </c>
      <c r="S1496" s="25">
        <v>1.5214384508990318E-2</v>
      </c>
      <c r="T1496" s="25">
        <v>0.27939142461964039</v>
      </c>
    </row>
    <row r="1497" spans="1:20" x14ac:dyDescent="0.25">
      <c r="A1497" s="8" t="s">
        <v>3094</v>
      </c>
      <c r="B1497" s="8" t="s">
        <v>3095</v>
      </c>
      <c r="C1497" s="8" t="s">
        <v>3540</v>
      </c>
      <c r="D1497" s="8">
        <v>161</v>
      </c>
      <c r="E1497" s="24">
        <v>0.52795028686523404</v>
      </c>
      <c r="F1497" s="24">
        <v>0.47204968333244302</v>
      </c>
      <c r="G1497" s="23">
        <v>0</v>
      </c>
      <c r="H1497" s="23">
        <v>3.7267081439495101E-2</v>
      </c>
      <c r="I1497" s="24">
        <v>0.354037255048751</v>
      </c>
      <c r="J1497" s="24">
        <v>0.52795028686523404</v>
      </c>
      <c r="K1497" s="23">
        <v>1.2422360479831701E-2</v>
      </c>
      <c r="L1497" s="23">
        <v>2.4844720959663402E-2</v>
      </c>
      <c r="M1497" s="23">
        <v>4.34782616794109E-2</v>
      </c>
      <c r="N1497" s="23">
        <v>0</v>
      </c>
      <c r="O1497" s="24">
        <v>0.50310558080673196</v>
      </c>
      <c r="P1497" s="24">
        <v>0.217391297221183</v>
      </c>
      <c r="Q1497" s="23">
        <v>0.95652174949645996</v>
      </c>
      <c r="R1497" s="25">
        <v>0.14906832298136646</v>
      </c>
      <c r="S1497" s="25">
        <v>2.4844720496894408E-2</v>
      </c>
      <c r="T1497" s="25">
        <v>0.31677018633540371</v>
      </c>
    </row>
    <row r="1498" spans="1:20" x14ac:dyDescent="0.25">
      <c r="A1498" s="8" t="s">
        <v>3096</v>
      </c>
      <c r="B1498" s="8" t="s">
        <v>3097</v>
      </c>
      <c r="C1498" s="8" t="s">
        <v>3540</v>
      </c>
      <c r="D1498" s="8">
        <v>180</v>
      </c>
      <c r="E1498" s="23">
        <v>1</v>
      </c>
      <c r="F1498" s="23">
        <v>0</v>
      </c>
      <c r="G1498" s="23">
        <v>0</v>
      </c>
      <c r="H1498" s="23">
        <v>5.55555559694767E-2</v>
      </c>
      <c r="I1498" s="24">
        <v>0.40555554628372098</v>
      </c>
      <c r="J1498" s="24">
        <v>0.39444443583488398</v>
      </c>
      <c r="K1498" s="23">
        <v>3.88888902962208E-2</v>
      </c>
      <c r="L1498" s="23">
        <v>1.11111113801599E-2</v>
      </c>
      <c r="M1498" s="23">
        <v>4.4444445520639399E-2</v>
      </c>
      <c r="N1498" s="23">
        <v>5.0000000745058101E-2</v>
      </c>
      <c r="O1498" s="24">
        <v>0.32222223281860302</v>
      </c>
      <c r="P1498" s="23">
        <v>4.4444445520639399E-2</v>
      </c>
      <c r="Q1498" s="24">
        <v>0.91666668653488104</v>
      </c>
      <c r="R1498" s="25">
        <v>0</v>
      </c>
      <c r="S1498" s="25">
        <v>0.18333333333333332</v>
      </c>
      <c r="T1498" s="25">
        <v>0.12777777777777777</v>
      </c>
    </row>
    <row r="1499" spans="1:20" x14ac:dyDescent="0.25">
      <c r="A1499" s="8" t="s">
        <v>3098</v>
      </c>
      <c r="B1499" s="8" t="s">
        <v>3099</v>
      </c>
      <c r="C1499" s="8" t="s">
        <v>3540</v>
      </c>
      <c r="D1499" s="8">
        <v>3060</v>
      </c>
      <c r="E1499" s="23">
        <v>0.47745096683502197</v>
      </c>
      <c r="F1499" s="24">
        <v>0.52156865596771196</v>
      </c>
      <c r="G1499" s="23">
        <v>9.8039221484209991E-4</v>
      </c>
      <c r="H1499" s="24">
        <v>0.19281046092510201</v>
      </c>
      <c r="I1499" s="23">
        <v>8.0065362155437497E-2</v>
      </c>
      <c r="J1499" s="24">
        <v>0.300653606653213</v>
      </c>
      <c r="K1499" s="23">
        <v>1.1764706112444401E-2</v>
      </c>
      <c r="L1499" s="23">
        <v>3.9215688593686E-3</v>
      </c>
      <c r="M1499" s="24">
        <v>0.40392157435417098</v>
      </c>
      <c r="N1499" s="23">
        <v>6.8627451546490002E-3</v>
      </c>
      <c r="O1499" s="24">
        <v>0.21535947918891901</v>
      </c>
      <c r="P1499" s="23">
        <v>9.1176472604274694E-2</v>
      </c>
      <c r="Q1499" s="24">
        <v>0.66274511814117398</v>
      </c>
      <c r="R1499" s="25">
        <v>6.5359477124183002E-4</v>
      </c>
      <c r="S1499" s="25">
        <v>6.4705882352941183E-2</v>
      </c>
      <c r="T1499" s="25">
        <v>0.14705882352941177</v>
      </c>
    </row>
    <row r="1500" spans="1:20" x14ac:dyDescent="0.25">
      <c r="A1500" s="8" t="s">
        <v>3100</v>
      </c>
      <c r="B1500" s="8" t="s">
        <v>3101</v>
      </c>
      <c r="C1500" s="8" t="s">
        <v>3540</v>
      </c>
      <c r="D1500" s="8">
        <v>1700</v>
      </c>
      <c r="E1500" s="24">
        <v>0.47294119000434798</v>
      </c>
      <c r="F1500" s="24">
        <v>0.52647060155868497</v>
      </c>
      <c r="G1500" s="23">
        <v>5.8823527069759996E-4</v>
      </c>
      <c r="H1500" s="23">
        <v>7.1764707565307603E-2</v>
      </c>
      <c r="I1500" s="24">
        <v>0.22823528945446001</v>
      </c>
      <c r="J1500" s="24">
        <v>0.53764706850051802</v>
      </c>
      <c r="K1500" s="23">
        <v>2.1176470443606401E-2</v>
      </c>
      <c r="L1500" s="23">
        <v>7.0588234812021004E-3</v>
      </c>
      <c r="M1500" s="24">
        <v>0.13235294818878099</v>
      </c>
      <c r="N1500" s="23">
        <v>1.7647058703004999E-3</v>
      </c>
      <c r="O1500" s="24">
        <v>0.29352942109107899</v>
      </c>
      <c r="P1500" s="24">
        <v>0.13823530077934201</v>
      </c>
      <c r="Q1500" s="23">
        <v>0.81882351636886597</v>
      </c>
      <c r="R1500" s="25">
        <v>2.7058823529411764E-2</v>
      </c>
      <c r="S1500" s="25">
        <v>9.2941176470588235E-2</v>
      </c>
      <c r="T1500" s="25">
        <v>0.15647058823529411</v>
      </c>
    </row>
    <row r="1501" spans="1:20" x14ac:dyDescent="0.25">
      <c r="A1501" s="8" t="s">
        <v>3102</v>
      </c>
      <c r="B1501" s="8" t="s">
        <v>3103</v>
      </c>
      <c r="C1501" s="8" t="s">
        <v>3540</v>
      </c>
      <c r="D1501" s="8">
        <v>2425</v>
      </c>
      <c r="E1501" s="24">
        <v>0.53237116336822499</v>
      </c>
      <c r="F1501" s="24">
        <v>0.46762886643409701</v>
      </c>
      <c r="G1501" s="23">
        <v>0</v>
      </c>
      <c r="H1501" s="23">
        <v>7.2989687323570293E-2</v>
      </c>
      <c r="I1501" s="24">
        <v>0.302680402994155</v>
      </c>
      <c r="J1501" s="24">
        <v>0.48989689350128102</v>
      </c>
      <c r="K1501" s="23">
        <v>2.8041237965226201E-2</v>
      </c>
      <c r="L1501" s="23">
        <v>5.3608245216309998E-3</v>
      </c>
      <c r="M1501" s="23">
        <v>9.9793814122676794E-2</v>
      </c>
      <c r="N1501" s="23">
        <v>1.2371133780107E-3</v>
      </c>
      <c r="O1501" s="24">
        <v>0.208659797906875</v>
      </c>
      <c r="P1501" s="24">
        <v>0.109278351068496</v>
      </c>
      <c r="Q1501" s="24">
        <v>0.786804139614105</v>
      </c>
      <c r="R1501" s="25">
        <v>2.4742268041237111E-3</v>
      </c>
      <c r="S1501" s="25">
        <v>2.5567010309278351E-2</v>
      </c>
      <c r="T1501" s="25">
        <v>0.16164948453608247</v>
      </c>
    </row>
    <row r="1502" spans="1:20" x14ac:dyDescent="0.25">
      <c r="A1502" s="8" t="s">
        <v>3104</v>
      </c>
      <c r="B1502" s="8" t="s">
        <v>3105</v>
      </c>
      <c r="C1502" s="8" t="s">
        <v>3540</v>
      </c>
      <c r="D1502" s="8">
        <v>3754</v>
      </c>
      <c r="E1502" s="24">
        <v>0.49627065658569303</v>
      </c>
      <c r="F1502" s="24">
        <v>0.50346297025680498</v>
      </c>
      <c r="G1502" s="23">
        <v>2.6638252893460002E-4</v>
      </c>
      <c r="H1502" s="24">
        <v>0.16142781078815399</v>
      </c>
      <c r="I1502" s="23">
        <v>2.1310601383447599E-2</v>
      </c>
      <c r="J1502" s="24">
        <v>0.18193925917148501</v>
      </c>
      <c r="K1502" s="23">
        <v>1.9978689029812799E-2</v>
      </c>
      <c r="L1502" s="23">
        <v>4.5285029336809999E-3</v>
      </c>
      <c r="M1502" s="24">
        <v>0.610015988349914</v>
      </c>
      <c r="N1502" s="23">
        <v>7.9914758680390001E-4</v>
      </c>
      <c r="O1502" s="23">
        <v>0.22163026034832001</v>
      </c>
      <c r="P1502" s="23">
        <v>3.8359083235263797E-2</v>
      </c>
      <c r="Q1502" s="23">
        <v>0.563132643699646</v>
      </c>
      <c r="R1502" s="25">
        <v>4.5285029302077782E-3</v>
      </c>
      <c r="S1502" s="25">
        <v>4.6084176877996805E-2</v>
      </c>
      <c r="T1502" s="25">
        <v>0.17101758124667021</v>
      </c>
    </row>
    <row r="1503" spans="1:20" x14ac:dyDescent="0.25">
      <c r="A1503" s="8" t="s">
        <v>3106</v>
      </c>
      <c r="B1503" s="8" t="s">
        <v>3107</v>
      </c>
      <c r="C1503" s="8" t="s">
        <v>3540</v>
      </c>
      <c r="D1503" s="8">
        <v>2740</v>
      </c>
      <c r="E1503" s="24">
        <v>0.50802922248840299</v>
      </c>
      <c r="F1503" s="24">
        <v>0.49160584807395902</v>
      </c>
      <c r="G1503" s="23">
        <v>3.6496348911900002E-4</v>
      </c>
      <c r="H1503" s="24">
        <v>0.228102192282676</v>
      </c>
      <c r="I1503" s="23">
        <v>8.5036493837833405E-2</v>
      </c>
      <c r="J1503" s="24">
        <v>0.34124088287353499</v>
      </c>
      <c r="K1503" s="23">
        <v>2.3722628131508799E-2</v>
      </c>
      <c r="L1503" s="23">
        <v>1.4598539564759001E-3</v>
      </c>
      <c r="M1503" s="24">
        <v>0.32007297873496998</v>
      </c>
      <c r="N1503" s="23">
        <v>3.6496348911900002E-4</v>
      </c>
      <c r="O1503" s="24">
        <v>0.20437955856323201</v>
      </c>
      <c r="P1503" s="23">
        <v>6.5693430602550507E-2</v>
      </c>
      <c r="Q1503" s="24">
        <v>0.68248176574706998</v>
      </c>
      <c r="R1503" s="25">
        <v>0</v>
      </c>
      <c r="S1503" s="25">
        <v>6.9343065693430656E-2</v>
      </c>
      <c r="T1503" s="25">
        <v>0.13248175182481753</v>
      </c>
    </row>
    <row r="1504" spans="1:20" x14ac:dyDescent="0.25">
      <c r="A1504" s="8" t="s">
        <v>3108</v>
      </c>
      <c r="B1504" s="8" t="s">
        <v>3109</v>
      </c>
      <c r="C1504" s="8" t="s">
        <v>3540</v>
      </c>
      <c r="D1504" s="8">
        <v>202</v>
      </c>
      <c r="E1504" s="24">
        <v>0.51485151052474898</v>
      </c>
      <c r="F1504" s="24">
        <v>0.48514851927757202</v>
      </c>
      <c r="G1504" s="23">
        <v>0</v>
      </c>
      <c r="H1504" s="23">
        <v>3.9603959769010502E-2</v>
      </c>
      <c r="I1504" s="24">
        <v>0.31188118457794101</v>
      </c>
      <c r="J1504" s="24">
        <v>0.54455447196960405</v>
      </c>
      <c r="K1504" s="23">
        <v>4.9504949711262998E-3</v>
      </c>
      <c r="L1504" s="23">
        <v>4.9504949711262998E-3</v>
      </c>
      <c r="M1504" s="23">
        <v>9.4059407711029094E-2</v>
      </c>
      <c r="N1504" s="23">
        <v>0</v>
      </c>
      <c r="O1504" s="24">
        <v>0.34158414602279602</v>
      </c>
      <c r="P1504" s="23">
        <v>6.9306932389736203E-2</v>
      </c>
      <c r="Q1504" s="24">
        <v>0.90099012851714999</v>
      </c>
      <c r="R1504" s="25">
        <v>0</v>
      </c>
      <c r="S1504" s="25">
        <v>0</v>
      </c>
      <c r="T1504" s="25">
        <v>0.29702970297029702</v>
      </c>
    </row>
    <row r="1505" spans="1:20" x14ac:dyDescent="0.25">
      <c r="A1505" s="8" t="s">
        <v>3110</v>
      </c>
      <c r="B1505" s="8" t="s">
        <v>3111</v>
      </c>
      <c r="C1505" s="8" t="s">
        <v>3540</v>
      </c>
      <c r="D1505" s="8">
        <v>625</v>
      </c>
      <c r="E1505" s="23">
        <v>0.21920000016689301</v>
      </c>
      <c r="F1505" s="24">
        <v>0.78079998493194502</v>
      </c>
      <c r="G1505" s="23">
        <v>0</v>
      </c>
      <c r="H1505" s="23">
        <v>1.60000007599592E-2</v>
      </c>
      <c r="I1505" s="24">
        <v>0.22400000691413799</v>
      </c>
      <c r="J1505" s="24">
        <v>0.58880001306533802</v>
      </c>
      <c r="K1505" s="23">
        <v>2.0800000056624399E-2</v>
      </c>
      <c r="L1505" s="23">
        <v>9.6000004559754996E-3</v>
      </c>
      <c r="M1505" s="24">
        <v>0.113600000739097</v>
      </c>
      <c r="N1505" s="23">
        <v>2.7200000360608101E-2</v>
      </c>
      <c r="O1505" s="24">
        <v>0.37279999256134</v>
      </c>
      <c r="P1505" s="23">
        <v>5.7599999010562897E-2</v>
      </c>
      <c r="Q1505" s="24">
        <v>0.81599998474121005</v>
      </c>
      <c r="R1505" s="25">
        <v>0</v>
      </c>
      <c r="S1505" s="25">
        <v>0.1472</v>
      </c>
      <c r="T1505" s="25">
        <v>0.2064</v>
      </c>
    </row>
    <row r="1506" spans="1:20" x14ac:dyDescent="0.25">
      <c r="A1506" s="8" t="s">
        <v>3112</v>
      </c>
      <c r="B1506" s="8" t="s">
        <v>3113</v>
      </c>
      <c r="C1506" s="8" t="s">
        <v>3540</v>
      </c>
      <c r="D1506" s="8">
        <v>1425</v>
      </c>
      <c r="E1506" s="24">
        <v>0.45122808218002303</v>
      </c>
      <c r="F1506" s="24">
        <v>0.54877191781997603</v>
      </c>
      <c r="G1506" s="23">
        <v>0</v>
      </c>
      <c r="H1506" s="24">
        <v>0.66807019710540705</v>
      </c>
      <c r="I1506" s="23">
        <v>9.1228066012263003E-3</v>
      </c>
      <c r="J1506" s="23">
        <v>4.3508771806955303E-2</v>
      </c>
      <c r="K1506" s="23">
        <v>1.12280705943704E-2</v>
      </c>
      <c r="L1506" s="23">
        <v>2.1052630618215002E-3</v>
      </c>
      <c r="M1506" s="24">
        <v>0.265964925289154</v>
      </c>
      <c r="N1506" s="23">
        <v>0</v>
      </c>
      <c r="O1506" s="23">
        <v>1.47368423640728E-2</v>
      </c>
      <c r="P1506" s="23">
        <v>0</v>
      </c>
      <c r="Q1506" s="24">
        <v>0.54315787553787198</v>
      </c>
      <c r="R1506" s="25">
        <v>0</v>
      </c>
      <c r="S1506" s="25">
        <v>0</v>
      </c>
      <c r="T1506" s="25">
        <v>1.3333333333333334E-2</v>
      </c>
    </row>
    <row r="1507" spans="1:20" x14ac:dyDescent="0.25">
      <c r="A1507" s="8" t="s">
        <v>3114</v>
      </c>
      <c r="B1507" s="8" t="s">
        <v>3115</v>
      </c>
      <c r="C1507" s="8" t="s">
        <v>3540</v>
      </c>
      <c r="D1507" s="8">
        <v>839</v>
      </c>
      <c r="E1507" s="24">
        <v>0.49463647603988598</v>
      </c>
      <c r="F1507" s="24">
        <v>0.50536352396011297</v>
      </c>
      <c r="G1507" s="23">
        <v>0</v>
      </c>
      <c r="H1507" s="24">
        <v>0.207389757037162</v>
      </c>
      <c r="I1507" s="24">
        <v>0.249106079339981</v>
      </c>
      <c r="J1507" s="24">
        <v>0.36114421486854498</v>
      </c>
      <c r="K1507" s="23">
        <v>2.8605483472347301E-2</v>
      </c>
      <c r="L1507" s="23">
        <v>4.7675804235041003E-3</v>
      </c>
      <c r="M1507" s="24">
        <v>0.14779499173164301</v>
      </c>
      <c r="N1507" s="23">
        <v>1.1918951058759999E-3</v>
      </c>
      <c r="O1507" s="24">
        <v>0.24195471405982899</v>
      </c>
      <c r="P1507" s="23">
        <v>6.1978545039892197E-2</v>
      </c>
      <c r="Q1507" s="24">
        <v>0.78784269094467096</v>
      </c>
      <c r="R1507" s="25">
        <v>4.6483909415971393E-2</v>
      </c>
      <c r="S1507" s="25">
        <v>2.1454112038140644E-2</v>
      </c>
      <c r="T1507" s="25">
        <v>0.17282479141835519</v>
      </c>
    </row>
    <row r="1508" spans="1:20" x14ac:dyDescent="0.25">
      <c r="A1508" s="8" t="s">
        <v>3116</v>
      </c>
      <c r="B1508" s="8" t="s">
        <v>3117</v>
      </c>
      <c r="C1508" s="8" t="s">
        <v>3540</v>
      </c>
      <c r="D1508" s="8">
        <v>445</v>
      </c>
      <c r="E1508" s="24">
        <v>0.53483146429061801</v>
      </c>
      <c r="F1508" s="24">
        <v>0.46516853570938099</v>
      </c>
      <c r="G1508" s="23">
        <v>0</v>
      </c>
      <c r="H1508" s="23">
        <v>2.2471910342574099E-2</v>
      </c>
      <c r="I1508" s="24">
        <v>0.38202247023582397</v>
      </c>
      <c r="J1508" s="24">
        <v>0.55730336904525701</v>
      </c>
      <c r="K1508" s="23">
        <v>6.7415731027722003E-3</v>
      </c>
      <c r="L1508" s="23">
        <v>2.2471910342573998E-3</v>
      </c>
      <c r="M1508" s="23">
        <v>2.9213482514023802E-2</v>
      </c>
      <c r="N1508" s="23">
        <v>0</v>
      </c>
      <c r="O1508" s="23">
        <v>0.21348313987255099</v>
      </c>
      <c r="P1508" s="24">
        <v>0.23820224404335</v>
      </c>
      <c r="Q1508" s="24">
        <v>0.86067414283752397</v>
      </c>
      <c r="R1508" s="25">
        <v>7.8651685393258425E-2</v>
      </c>
      <c r="S1508" s="25">
        <v>8.988764044943821E-3</v>
      </c>
      <c r="T1508" s="25">
        <v>0.12359550561797752</v>
      </c>
    </row>
    <row r="1509" spans="1:20" x14ac:dyDescent="0.25">
      <c r="A1509" s="8" t="s">
        <v>3118</v>
      </c>
      <c r="B1509" s="8" t="s">
        <v>3119</v>
      </c>
      <c r="C1509" s="8" t="s">
        <v>3540</v>
      </c>
      <c r="D1509" s="8">
        <v>181</v>
      </c>
      <c r="E1509" s="24">
        <v>0.43646410107612599</v>
      </c>
      <c r="F1509" s="24">
        <v>0.56353592872619596</v>
      </c>
      <c r="G1509" s="23">
        <v>0</v>
      </c>
      <c r="H1509" s="23">
        <v>1.6574585810303698E-2</v>
      </c>
      <c r="I1509" s="24">
        <v>0.17127071321010501</v>
      </c>
      <c r="J1509" s="24">
        <v>0.79005527496337802</v>
      </c>
      <c r="K1509" s="23">
        <v>5.5248620919883E-3</v>
      </c>
      <c r="L1509" s="23">
        <v>0</v>
      </c>
      <c r="M1509" s="23">
        <v>1.6574585810303698E-2</v>
      </c>
      <c r="N1509" s="23">
        <v>0</v>
      </c>
      <c r="O1509" s="24">
        <v>0.17679558694362599</v>
      </c>
      <c r="P1509" s="24">
        <v>0.23204420506954099</v>
      </c>
      <c r="Q1509" s="24">
        <v>0.97790056467056197</v>
      </c>
      <c r="R1509" s="25">
        <v>0</v>
      </c>
      <c r="S1509" s="25">
        <v>0</v>
      </c>
      <c r="T1509" s="25">
        <v>0.17127071823204421</v>
      </c>
    </row>
    <row r="1510" spans="1:20" x14ac:dyDescent="0.25">
      <c r="A1510" s="8" t="s">
        <v>3120</v>
      </c>
      <c r="B1510" s="8" t="s">
        <v>3121</v>
      </c>
      <c r="C1510" s="8" t="s">
        <v>3540</v>
      </c>
      <c r="D1510" s="8">
        <v>352</v>
      </c>
      <c r="E1510" s="24">
        <v>0.556818187236785</v>
      </c>
      <c r="F1510" s="24">
        <v>0.443181812763214</v>
      </c>
      <c r="G1510" s="23">
        <v>0</v>
      </c>
      <c r="H1510" s="23">
        <v>2.8409091755747999E-3</v>
      </c>
      <c r="I1510" s="23">
        <v>2.8409091755747999E-3</v>
      </c>
      <c r="J1510" s="24">
        <v>0.960227251052856</v>
      </c>
      <c r="K1510" s="23">
        <v>8.5227275267243004E-3</v>
      </c>
      <c r="L1510" s="23">
        <v>5.6818183511495998E-3</v>
      </c>
      <c r="M1510" s="23">
        <v>1.9886363297700899E-2</v>
      </c>
      <c r="N1510" s="23">
        <v>0</v>
      </c>
      <c r="O1510" s="24">
        <v>0.213068187236785</v>
      </c>
      <c r="P1510" s="24">
        <v>0.627840936183929</v>
      </c>
      <c r="Q1510" s="24">
        <v>0.982954561710357</v>
      </c>
      <c r="R1510" s="25">
        <v>4.8295454545454544E-2</v>
      </c>
      <c r="S1510" s="25">
        <v>0</v>
      </c>
      <c r="T1510" s="25">
        <v>0.17613636363636365</v>
      </c>
    </row>
    <row r="1511" spans="1:20" x14ac:dyDescent="0.25">
      <c r="A1511" s="8" t="s">
        <v>3122</v>
      </c>
      <c r="B1511" s="8" t="s">
        <v>3123</v>
      </c>
      <c r="C1511" s="8" t="s">
        <v>3540</v>
      </c>
      <c r="D1511" s="8">
        <v>334</v>
      </c>
      <c r="E1511" s="23">
        <v>0.45808383822441101</v>
      </c>
      <c r="F1511" s="24">
        <v>0.54191619157791104</v>
      </c>
      <c r="G1511" s="23">
        <v>0</v>
      </c>
      <c r="H1511" s="23">
        <v>8.9820362627505996E-3</v>
      </c>
      <c r="I1511" s="23">
        <v>7.1856290102005005E-2</v>
      </c>
      <c r="J1511" s="24">
        <v>0.89820361137390103</v>
      </c>
      <c r="K1511" s="23">
        <v>0</v>
      </c>
      <c r="L1511" s="23">
        <v>2.9940120875834998E-3</v>
      </c>
      <c r="M1511" s="23">
        <v>1.49700595065951E-2</v>
      </c>
      <c r="N1511" s="23">
        <v>2.9940120875834998E-3</v>
      </c>
      <c r="O1511" s="24">
        <v>0.26347306370735102</v>
      </c>
      <c r="P1511" s="23">
        <v>0.34431138634681702</v>
      </c>
      <c r="Q1511" s="24">
        <v>0.90718561410903897</v>
      </c>
      <c r="R1511" s="25">
        <v>0.17065868263473055</v>
      </c>
      <c r="S1511" s="25">
        <v>5.9880239520958087E-3</v>
      </c>
      <c r="T1511" s="25">
        <v>9.880239520958084E-2</v>
      </c>
    </row>
    <row r="1512" spans="1:20" x14ac:dyDescent="0.25">
      <c r="A1512" s="8" t="s">
        <v>3124</v>
      </c>
      <c r="B1512" s="8" t="s">
        <v>3125</v>
      </c>
      <c r="C1512" s="8" t="s">
        <v>3540</v>
      </c>
      <c r="D1512" s="8">
        <v>304</v>
      </c>
      <c r="E1512" s="23">
        <v>0.47697368264198298</v>
      </c>
      <c r="F1512" s="24">
        <v>0.52302628755569402</v>
      </c>
      <c r="G1512" s="23">
        <v>0</v>
      </c>
      <c r="H1512" s="23">
        <v>6.5789474174379999E-3</v>
      </c>
      <c r="I1512" s="23">
        <v>2.3026315495371801E-2</v>
      </c>
      <c r="J1512" s="24">
        <v>0.95065790414810103</v>
      </c>
      <c r="K1512" s="23">
        <v>3.2894737087189999E-3</v>
      </c>
      <c r="L1512" s="23">
        <v>0</v>
      </c>
      <c r="M1512" s="23">
        <v>1.31578948348761E-2</v>
      </c>
      <c r="N1512" s="23">
        <v>3.2894737087189999E-3</v>
      </c>
      <c r="O1512" s="24">
        <v>0.15789473056793199</v>
      </c>
      <c r="P1512" s="24">
        <v>0.50657892227172796</v>
      </c>
      <c r="Q1512" s="24">
        <v>0.90460526943206698</v>
      </c>
      <c r="R1512" s="25">
        <v>5.2631578947368418E-2</v>
      </c>
      <c r="S1512" s="25">
        <v>0</v>
      </c>
      <c r="T1512" s="25">
        <v>0.1118421052631579</v>
      </c>
    </row>
    <row r="1513" spans="1:20" x14ac:dyDescent="0.25">
      <c r="A1513" s="8" t="s">
        <v>3126</v>
      </c>
      <c r="B1513" s="8" t="s">
        <v>3127</v>
      </c>
      <c r="C1513" s="8" t="s">
        <v>3540</v>
      </c>
      <c r="D1513" s="8">
        <v>457</v>
      </c>
      <c r="E1513" s="24">
        <v>0.487964987754821</v>
      </c>
      <c r="F1513" s="24">
        <v>0.512035012245178</v>
      </c>
      <c r="G1513" s="23">
        <v>0</v>
      </c>
      <c r="H1513" s="23">
        <v>1.7505470663309101E-2</v>
      </c>
      <c r="I1513" s="23">
        <v>4.8140045255422599E-2</v>
      </c>
      <c r="J1513" s="24">
        <v>0.90590810775756803</v>
      </c>
      <c r="K1513" s="23">
        <v>0</v>
      </c>
      <c r="L1513" s="23">
        <v>8.7527353316545001E-3</v>
      </c>
      <c r="M1513" s="23">
        <v>1.9693654030561399E-2</v>
      </c>
      <c r="N1513" s="23">
        <v>0</v>
      </c>
      <c r="O1513" s="24">
        <v>0.21881838142871801</v>
      </c>
      <c r="P1513" s="24">
        <v>0.367614865303039</v>
      </c>
      <c r="Q1513" s="24">
        <v>0.951859951019287</v>
      </c>
      <c r="R1513" s="25">
        <v>0</v>
      </c>
      <c r="S1513" s="25">
        <v>9.6280087527352301E-2</v>
      </c>
      <c r="T1513" s="25">
        <v>0.12910284463894967</v>
      </c>
    </row>
    <row r="1514" spans="1:20" x14ac:dyDescent="0.25">
      <c r="A1514" s="8" t="s">
        <v>3128</v>
      </c>
      <c r="B1514" s="8" t="s">
        <v>3129</v>
      </c>
      <c r="C1514" s="8" t="s">
        <v>3540</v>
      </c>
      <c r="D1514" s="8">
        <v>439</v>
      </c>
      <c r="E1514" s="24">
        <v>0.466970384120941</v>
      </c>
      <c r="F1514" s="24">
        <v>0.53302961587905795</v>
      </c>
      <c r="G1514" s="23">
        <v>0</v>
      </c>
      <c r="H1514" s="23">
        <v>1.1389521881938E-2</v>
      </c>
      <c r="I1514" s="24">
        <v>0.11389521509408899</v>
      </c>
      <c r="J1514" s="24">
        <v>0.83371299505233698</v>
      </c>
      <c r="K1514" s="23">
        <v>2.2779044229537001E-3</v>
      </c>
      <c r="L1514" s="23">
        <v>0</v>
      </c>
      <c r="M1514" s="23">
        <v>3.41685637831688E-2</v>
      </c>
      <c r="N1514" s="23">
        <v>4.5558088459074003E-3</v>
      </c>
      <c r="O1514" s="24">
        <v>0.346241444349288</v>
      </c>
      <c r="P1514" s="24">
        <v>0.148063778877258</v>
      </c>
      <c r="Q1514" s="24">
        <v>0.87699317932128895</v>
      </c>
      <c r="R1514" s="25">
        <v>0.16173120728929385</v>
      </c>
      <c r="S1514" s="25">
        <v>2.2779043280182231E-3</v>
      </c>
      <c r="T1514" s="25">
        <v>0.15489749430523919</v>
      </c>
    </row>
    <row r="1515" spans="1:20" x14ac:dyDescent="0.25">
      <c r="A1515" s="8" t="s">
        <v>3130</v>
      </c>
      <c r="B1515" s="8" t="s">
        <v>3131</v>
      </c>
      <c r="C1515" s="8" t="s">
        <v>3540</v>
      </c>
      <c r="D1515" s="8">
        <v>266</v>
      </c>
      <c r="E1515" s="24">
        <v>0.47744360566139199</v>
      </c>
      <c r="F1515" s="24">
        <v>0.52255636453628496</v>
      </c>
      <c r="G1515" s="23">
        <v>0</v>
      </c>
      <c r="H1515" s="23">
        <v>1.12781953066587E-2</v>
      </c>
      <c r="I1515" s="23">
        <v>7.5187966227531405E-2</v>
      </c>
      <c r="J1515" s="24">
        <v>0.87218046188354403</v>
      </c>
      <c r="K1515" s="23">
        <v>1.50375943630934E-2</v>
      </c>
      <c r="L1515" s="23">
        <v>3.7593985907732998E-3</v>
      </c>
      <c r="M1515" s="23">
        <v>2.25563906133175E-2</v>
      </c>
      <c r="N1515" s="23">
        <v>0</v>
      </c>
      <c r="O1515" s="24">
        <v>0.13909775018692</v>
      </c>
      <c r="P1515" s="24">
        <v>0.43233081698417603</v>
      </c>
      <c r="Q1515" s="24">
        <v>0.86842107772827104</v>
      </c>
      <c r="R1515" s="25">
        <v>0</v>
      </c>
      <c r="S1515" s="25">
        <v>0</v>
      </c>
      <c r="T1515" s="25">
        <v>0.12030075187969924</v>
      </c>
    </row>
    <row r="1516" spans="1:20" x14ac:dyDescent="0.25">
      <c r="A1516" s="8" t="s">
        <v>3132</v>
      </c>
      <c r="B1516" s="8" t="s">
        <v>3133</v>
      </c>
      <c r="C1516" s="8" t="s">
        <v>3540</v>
      </c>
      <c r="D1516" s="8">
        <v>283</v>
      </c>
      <c r="E1516" s="24">
        <v>0.50530034303665095</v>
      </c>
      <c r="F1516" s="24">
        <v>0.494699656963348</v>
      </c>
      <c r="G1516" s="23">
        <v>0</v>
      </c>
      <c r="H1516" s="23">
        <v>3.8869258016347899E-2</v>
      </c>
      <c r="I1516" s="23">
        <v>5.3003534674644498E-2</v>
      </c>
      <c r="J1516" s="24">
        <v>0.88339221477508501</v>
      </c>
      <c r="K1516" s="23">
        <v>0</v>
      </c>
      <c r="L1516" s="23">
        <v>7.067137863487E-3</v>
      </c>
      <c r="M1516" s="23">
        <v>1.4134275726974E-2</v>
      </c>
      <c r="N1516" s="23">
        <v>3.5335689317435E-3</v>
      </c>
      <c r="O1516" s="24">
        <v>0.21908126771450001</v>
      </c>
      <c r="P1516" s="24">
        <v>0.34275618195533702</v>
      </c>
      <c r="Q1516" s="24">
        <v>0.94346290826797397</v>
      </c>
      <c r="R1516" s="25">
        <v>0.10247349823321555</v>
      </c>
      <c r="S1516" s="25">
        <v>3.5335689045936395E-3</v>
      </c>
      <c r="T1516" s="25">
        <v>0.12720848056537101</v>
      </c>
    </row>
    <row r="1517" spans="1:20" x14ac:dyDescent="0.25">
      <c r="A1517" s="8" t="s">
        <v>3134</v>
      </c>
      <c r="B1517" s="8" t="s">
        <v>3135</v>
      </c>
      <c r="C1517" s="8" t="s">
        <v>3540</v>
      </c>
      <c r="D1517" s="8">
        <v>337</v>
      </c>
      <c r="E1517" s="23">
        <v>0.359050452709198</v>
      </c>
      <c r="F1517" s="23">
        <v>0.640949547290802</v>
      </c>
      <c r="G1517" s="23">
        <v>0</v>
      </c>
      <c r="H1517" s="23">
        <v>7.7151335775852203E-2</v>
      </c>
      <c r="I1517" s="24">
        <v>0.27596437931060702</v>
      </c>
      <c r="J1517" s="24">
        <v>0.59643918275833097</v>
      </c>
      <c r="K1517" s="23">
        <v>0</v>
      </c>
      <c r="L1517" s="23">
        <v>0</v>
      </c>
      <c r="M1517" s="23">
        <v>3.5608310252428103E-2</v>
      </c>
      <c r="N1517" s="23">
        <v>1.48367956280708E-2</v>
      </c>
      <c r="O1517" s="24">
        <v>0.16617210209369601</v>
      </c>
      <c r="P1517" s="24">
        <v>0.29376855492591802</v>
      </c>
      <c r="Q1517" s="24">
        <v>0.97032642364501898</v>
      </c>
      <c r="R1517" s="25">
        <v>0</v>
      </c>
      <c r="S1517" s="25">
        <v>5.9347181008902079E-3</v>
      </c>
      <c r="T1517" s="25">
        <v>0.15727002967359049</v>
      </c>
    </row>
    <row r="1518" spans="1:20" x14ac:dyDescent="0.25">
      <c r="A1518" s="8" t="s">
        <v>3137</v>
      </c>
      <c r="B1518" s="8" t="s">
        <v>3138</v>
      </c>
      <c r="C1518" s="8" t="s">
        <v>3540</v>
      </c>
      <c r="D1518" s="8">
        <v>296</v>
      </c>
      <c r="E1518" s="24">
        <v>0.51013511419296198</v>
      </c>
      <c r="F1518" s="23">
        <v>0.48986485600471502</v>
      </c>
      <c r="G1518" s="23">
        <v>0</v>
      </c>
      <c r="H1518" s="23">
        <v>1.01351346820593E-2</v>
      </c>
      <c r="I1518" s="24">
        <v>0.128378376364707</v>
      </c>
      <c r="J1518" s="24">
        <v>0.80067569017410201</v>
      </c>
      <c r="K1518" s="23">
        <v>1.01351346820593E-2</v>
      </c>
      <c r="L1518" s="23">
        <v>1.6891891136765501E-2</v>
      </c>
      <c r="M1518" s="23">
        <v>3.3783782273531002E-2</v>
      </c>
      <c r="N1518" s="23">
        <v>0</v>
      </c>
      <c r="O1518" s="24">
        <v>0.18918919563293399</v>
      </c>
      <c r="P1518" s="24">
        <v>0.45945945382118197</v>
      </c>
      <c r="Q1518" s="24">
        <v>0.90540540218353205</v>
      </c>
      <c r="R1518" s="25">
        <v>5.7432432432432436E-2</v>
      </c>
      <c r="S1518" s="25">
        <v>6.7567567567567571E-3</v>
      </c>
      <c r="T1518" s="25">
        <v>0.11486486486486487</v>
      </c>
    </row>
    <row r="1519" spans="1:20" x14ac:dyDescent="0.25">
      <c r="A1519" s="8" t="s">
        <v>3139</v>
      </c>
      <c r="B1519" s="8" t="s">
        <v>3140</v>
      </c>
      <c r="C1519" s="8" t="s">
        <v>3540</v>
      </c>
      <c r="D1519" s="8">
        <v>296</v>
      </c>
      <c r="E1519" s="24">
        <v>0.418918907642364</v>
      </c>
      <c r="F1519" s="24">
        <v>0.58108109235763505</v>
      </c>
      <c r="G1519" s="23">
        <v>0</v>
      </c>
      <c r="H1519" s="23">
        <v>1.6891891136765501E-2</v>
      </c>
      <c r="I1519" s="23">
        <v>9.4594597816467299E-2</v>
      </c>
      <c r="J1519" s="24">
        <v>0.84459459781646695</v>
      </c>
      <c r="K1519" s="23">
        <v>6.7567569203675001E-3</v>
      </c>
      <c r="L1519" s="23">
        <v>1.01351346820593E-2</v>
      </c>
      <c r="M1519" s="23">
        <v>1.3513513840735E-2</v>
      </c>
      <c r="N1519" s="23">
        <v>1.3513513840735E-2</v>
      </c>
      <c r="O1519" s="24">
        <v>0.22972972691059099</v>
      </c>
      <c r="P1519" s="24">
        <v>0.462837845087051</v>
      </c>
      <c r="Q1519" s="23">
        <v>0.875</v>
      </c>
      <c r="R1519" s="25">
        <v>8.4459459459459457E-2</v>
      </c>
      <c r="S1519" s="25">
        <v>3.7162162162162164E-2</v>
      </c>
      <c r="T1519" s="25">
        <v>0.11486486486486487</v>
      </c>
    </row>
    <row r="1520" spans="1:20" x14ac:dyDescent="0.25">
      <c r="A1520" s="8" t="s">
        <v>3141</v>
      </c>
      <c r="B1520" s="8" t="s">
        <v>3142</v>
      </c>
      <c r="C1520" s="8" t="s">
        <v>3540</v>
      </c>
      <c r="D1520" s="8">
        <v>223</v>
      </c>
      <c r="E1520" s="24">
        <v>0.46636772155761702</v>
      </c>
      <c r="F1520" s="24">
        <v>0.53363227844238204</v>
      </c>
      <c r="G1520" s="23">
        <v>0</v>
      </c>
      <c r="H1520" s="23">
        <v>4.4843051582575E-3</v>
      </c>
      <c r="I1520" s="24">
        <v>0.29147982597351002</v>
      </c>
      <c r="J1520" s="24">
        <v>0.64125561714172297</v>
      </c>
      <c r="K1520" s="23">
        <v>8.9686103165150001E-3</v>
      </c>
      <c r="L1520" s="23">
        <v>0</v>
      </c>
      <c r="M1520" s="23">
        <v>5.3811658173799501E-2</v>
      </c>
      <c r="N1520" s="23">
        <v>0</v>
      </c>
      <c r="O1520" s="24">
        <v>0.183856502175331</v>
      </c>
      <c r="P1520" s="23">
        <v>0.34080716967582703</v>
      </c>
      <c r="Q1520" s="24">
        <v>0.90582960844039895</v>
      </c>
      <c r="R1520" s="25">
        <v>8.520179372197309E-2</v>
      </c>
      <c r="S1520" s="25">
        <v>4.4843049327354259E-3</v>
      </c>
      <c r="T1520" s="25">
        <v>7.1748878923766815E-2</v>
      </c>
    </row>
    <row r="1521" spans="1:20" x14ac:dyDescent="0.25">
      <c r="A1521" s="8" t="s">
        <v>3143</v>
      </c>
      <c r="B1521" s="8" t="s">
        <v>3144</v>
      </c>
      <c r="C1521" s="8" t="s">
        <v>3540</v>
      </c>
      <c r="D1521" s="8">
        <v>193</v>
      </c>
      <c r="E1521" s="24">
        <v>0.47150260210037198</v>
      </c>
      <c r="F1521" s="24">
        <v>0.52849739789962702</v>
      </c>
      <c r="G1521" s="23">
        <v>0</v>
      </c>
      <c r="H1521" s="23">
        <v>1.0362694039940799E-2</v>
      </c>
      <c r="I1521" s="23">
        <v>7.7720209956169101E-2</v>
      </c>
      <c r="J1521" s="24">
        <v>0.87564766407012895</v>
      </c>
      <c r="K1521" s="23">
        <v>5.1813470199703997E-3</v>
      </c>
      <c r="L1521" s="23">
        <v>5.1813470199703997E-3</v>
      </c>
      <c r="M1521" s="23">
        <v>2.5906736031174701E-2</v>
      </c>
      <c r="N1521" s="23">
        <v>0</v>
      </c>
      <c r="O1521" s="24">
        <v>0.207253888249397</v>
      </c>
      <c r="P1521" s="24">
        <v>0.388601034879684</v>
      </c>
      <c r="Q1521" s="24">
        <v>0.95854920148849398</v>
      </c>
      <c r="R1521" s="25">
        <v>8.8082901554404139E-2</v>
      </c>
      <c r="S1521" s="25">
        <v>1.5544041450777202E-2</v>
      </c>
      <c r="T1521" s="25">
        <v>0.11917098445595854</v>
      </c>
    </row>
    <row r="1522" spans="1:20" x14ac:dyDescent="0.25">
      <c r="A1522" s="8" t="s">
        <v>3145</v>
      </c>
      <c r="B1522" s="8" t="s">
        <v>3146</v>
      </c>
      <c r="C1522" s="8" t="s">
        <v>3540</v>
      </c>
      <c r="D1522" s="8">
        <v>178</v>
      </c>
      <c r="E1522" s="24">
        <v>0.43258425593376099</v>
      </c>
      <c r="F1522" s="23">
        <v>0.56741571426391602</v>
      </c>
      <c r="G1522" s="23">
        <v>0</v>
      </c>
      <c r="H1522" s="23">
        <v>1.12359551712871E-2</v>
      </c>
      <c r="I1522" s="24">
        <v>0.106741569936275</v>
      </c>
      <c r="J1522" s="24">
        <v>0.85393255949020297</v>
      </c>
      <c r="K1522" s="23">
        <v>0</v>
      </c>
      <c r="L1522" s="23">
        <v>2.2471910342574099E-2</v>
      </c>
      <c r="M1522" s="23">
        <v>5.6179775856435004E-3</v>
      </c>
      <c r="N1522" s="23">
        <v>0</v>
      </c>
      <c r="O1522" s="24">
        <v>0.264044940471649</v>
      </c>
      <c r="P1522" s="24">
        <v>0.29775279760360701</v>
      </c>
      <c r="Q1522" s="23">
        <v>0.91573035717010498</v>
      </c>
      <c r="R1522" s="25">
        <v>0.12359550561797752</v>
      </c>
      <c r="S1522" s="25">
        <v>5.6179775280898875E-3</v>
      </c>
      <c r="T1522" s="25">
        <v>0.1348314606741573</v>
      </c>
    </row>
    <row r="1523" spans="1:20" x14ac:dyDescent="0.25">
      <c r="A1523" s="8" t="s">
        <v>3147</v>
      </c>
      <c r="B1523" s="8" t="s">
        <v>2521</v>
      </c>
      <c r="C1523" s="8" t="s">
        <v>3540</v>
      </c>
      <c r="D1523" s="8">
        <v>468</v>
      </c>
      <c r="E1523" s="24">
        <v>0.50854700803756703</v>
      </c>
      <c r="F1523" s="24">
        <v>0.49145299196243197</v>
      </c>
      <c r="G1523" s="23">
        <v>0</v>
      </c>
      <c r="H1523" s="23">
        <v>2.7777777984738301E-2</v>
      </c>
      <c r="I1523" s="23">
        <v>5.7692307978868498E-2</v>
      </c>
      <c r="J1523" s="24">
        <v>0.818376064300537</v>
      </c>
      <c r="K1523" s="23">
        <v>1.28205129876733E-2</v>
      </c>
      <c r="L1523" s="23">
        <v>6.4102564938365997E-3</v>
      </c>
      <c r="M1523" s="23">
        <v>7.4786327779293102E-2</v>
      </c>
      <c r="N1523" s="23">
        <v>2.1367522422224001E-3</v>
      </c>
      <c r="O1523" s="24">
        <v>0.17521367967128701</v>
      </c>
      <c r="P1523" s="24">
        <v>0.27350428700446999</v>
      </c>
      <c r="Q1523" s="24">
        <v>0.78205126523971502</v>
      </c>
      <c r="R1523" s="25">
        <v>1.9230769230769232E-2</v>
      </c>
      <c r="S1523" s="25">
        <v>0</v>
      </c>
      <c r="T1523" s="25">
        <v>0.16880341880341881</v>
      </c>
    </row>
    <row r="1524" spans="1:20" x14ac:dyDescent="0.25">
      <c r="A1524" s="8" t="s">
        <v>3148</v>
      </c>
      <c r="B1524" s="8" t="s">
        <v>3149</v>
      </c>
      <c r="C1524" s="8" t="s">
        <v>3540</v>
      </c>
      <c r="D1524" s="8">
        <v>207</v>
      </c>
      <c r="E1524" s="24">
        <v>0.44444444775581299</v>
      </c>
      <c r="F1524" s="24">
        <v>0.55072462558746305</v>
      </c>
      <c r="G1524" s="23">
        <v>4.8309178091586E-3</v>
      </c>
      <c r="H1524" s="23">
        <v>0</v>
      </c>
      <c r="I1524" s="23">
        <v>8.2125604152679402E-2</v>
      </c>
      <c r="J1524" s="24">
        <v>0.90338164567947299</v>
      </c>
      <c r="K1524" s="23">
        <v>0</v>
      </c>
      <c r="L1524" s="23">
        <v>4.8309178091586E-3</v>
      </c>
      <c r="M1524" s="23">
        <v>9.6618356183170995E-3</v>
      </c>
      <c r="N1524" s="23">
        <v>0</v>
      </c>
      <c r="O1524" s="24">
        <v>0.16908212006091999</v>
      </c>
      <c r="P1524" s="24">
        <v>0.42028984427451999</v>
      </c>
      <c r="Q1524" s="24">
        <v>0.88405799865722601</v>
      </c>
      <c r="R1524" s="25">
        <v>7.2463768115942032E-2</v>
      </c>
      <c r="S1524" s="25">
        <v>0</v>
      </c>
      <c r="T1524" s="25">
        <v>7.7294685990338161E-2</v>
      </c>
    </row>
    <row r="1525" spans="1:20" x14ac:dyDescent="0.25">
      <c r="A1525" s="8" t="s">
        <v>3151</v>
      </c>
      <c r="B1525" s="8" t="s">
        <v>3152</v>
      </c>
      <c r="C1525" s="8" t="s">
        <v>3540</v>
      </c>
      <c r="D1525" s="8">
        <v>648</v>
      </c>
      <c r="E1525" s="24">
        <v>0.518518507480621</v>
      </c>
      <c r="F1525" s="24">
        <v>0.481481492519378</v>
      </c>
      <c r="G1525" s="23">
        <v>0</v>
      </c>
      <c r="H1525" s="23">
        <v>2.31481473892927E-2</v>
      </c>
      <c r="I1525" s="24">
        <v>0.23919753730297</v>
      </c>
      <c r="J1525" s="24">
        <v>0.70061731338500899</v>
      </c>
      <c r="K1525" s="23">
        <v>6.1728395521641003E-3</v>
      </c>
      <c r="L1525" s="23">
        <v>6.1728395521641003E-3</v>
      </c>
      <c r="M1525" s="23">
        <v>1.2345679104328201E-2</v>
      </c>
      <c r="N1525" s="23">
        <v>1.2345679104328201E-2</v>
      </c>
      <c r="O1525" s="24">
        <v>0.19444444775581299</v>
      </c>
      <c r="P1525" s="24">
        <v>0.21450617909431399</v>
      </c>
      <c r="Q1525" s="24">
        <v>0.86419755220413197</v>
      </c>
      <c r="R1525" s="25">
        <v>2.0061728395061727E-2</v>
      </c>
      <c r="S1525" s="25">
        <v>4.7839506172839504E-2</v>
      </c>
      <c r="T1525" s="25">
        <v>0.12345679012345678</v>
      </c>
    </row>
    <row r="1526" spans="1:20" x14ac:dyDescent="0.25">
      <c r="A1526" s="8" t="s">
        <v>3153</v>
      </c>
      <c r="B1526" s="8" t="s">
        <v>3154</v>
      </c>
      <c r="C1526" s="8" t="s">
        <v>3540</v>
      </c>
      <c r="D1526" s="8">
        <v>343</v>
      </c>
      <c r="E1526" s="24">
        <v>0.51895046234130804</v>
      </c>
      <c r="F1526" s="24">
        <v>0.48104956746101302</v>
      </c>
      <c r="G1526" s="23">
        <v>0</v>
      </c>
      <c r="H1526" s="23">
        <v>2.9154520016164E-3</v>
      </c>
      <c r="I1526" s="24">
        <v>0.116618074476718</v>
      </c>
      <c r="J1526" s="24">
        <v>0.85714286565780595</v>
      </c>
      <c r="K1526" s="23">
        <v>5.8309040032327002E-3</v>
      </c>
      <c r="L1526" s="23">
        <v>5.8309040032327002E-3</v>
      </c>
      <c r="M1526" s="23">
        <v>1.16618080064654E-2</v>
      </c>
      <c r="N1526" s="23">
        <v>0</v>
      </c>
      <c r="O1526" s="24">
        <v>0.239067062735557</v>
      </c>
      <c r="P1526" s="24">
        <v>0.21282799541950201</v>
      </c>
      <c r="Q1526" s="24">
        <v>0.932944595813751</v>
      </c>
      <c r="R1526" s="25">
        <v>0.11661807580174927</v>
      </c>
      <c r="S1526" s="25">
        <v>0</v>
      </c>
      <c r="T1526" s="25">
        <v>0.13119533527696792</v>
      </c>
    </row>
    <row r="1527" spans="1:20" x14ac:dyDescent="0.25">
      <c r="A1527" s="8" t="s">
        <v>3155</v>
      </c>
      <c r="B1527" s="8" t="s">
        <v>3156</v>
      </c>
      <c r="C1527" s="8" t="s">
        <v>3540</v>
      </c>
      <c r="D1527" s="8">
        <v>277</v>
      </c>
      <c r="E1527" s="24">
        <v>0.41877254843711798</v>
      </c>
      <c r="F1527" s="24">
        <v>0.58122742176055897</v>
      </c>
      <c r="G1527" s="23">
        <v>0</v>
      </c>
      <c r="H1527" s="23">
        <v>3.6101082805543999E-3</v>
      </c>
      <c r="I1527" s="23">
        <v>0.144404336810112</v>
      </c>
      <c r="J1527" s="24">
        <v>0.74729239940643299</v>
      </c>
      <c r="K1527" s="23">
        <v>0</v>
      </c>
      <c r="L1527" s="23">
        <v>1.0830325074493901E-2</v>
      </c>
      <c r="M1527" s="23">
        <v>1.44404331222177E-2</v>
      </c>
      <c r="N1527" s="23">
        <v>7.9422384500503498E-2</v>
      </c>
      <c r="O1527" s="24">
        <v>0.21299639344215299</v>
      </c>
      <c r="P1527" s="24">
        <v>0.40433213114738398</v>
      </c>
      <c r="Q1527" s="24">
        <v>0.97472923994064298</v>
      </c>
      <c r="R1527" s="25">
        <v>0</v>
      </c>
      <c r="S1527" s="25">
        <v>0</v>
      </c>
      <c r="T1527" s="25">
        <v>0.22021660649819494</v>
      </c>
    </row>
    <row r="1528" spans="1:20" x14ac:dyDescent="0.25">
      <c r="A1528" s="8" t="s">
        <v>3157</v>
      </c>
      <c r="B1528" s="8" t="s">
        <v>3158</v>
      </c>
      <c r="C1528" s="8" t="s">
        <v>3540</v>
      </c>
      <c r="D1528" s="8">
        <v>413</v>
      </c>
      <c r="E1528" s="24">
        <v>0.430992722511291</v>
      </c>
      <c r="F1528" s="24">
        <v>0.56900727748870805</v>
      </c>
      <c r="G1528" s="23">
        <v>0</v>
      </c>
      <c r="H1528" s="23">
        <v>7.2639225982129999E-3</v>
      </c>
      <c r="I1528" s="24">
        <v>0.116222761571407</v>
      </c>
      <c r="J1528" s="24">
        <v>0.84503632783889704</v>
      </c>
      <c r="K1528" s="23">
        <v>2.4213076103479E-3</v>
      </c>
      <c r="L1528" s="23">
        <v>4.8426152206957002E-3</v>
      </c>
      <c r="M1528" s="23">
        <v>2.4213076103479E-3</v>
      </c>
      <c r="N1528" s="23">
        <v>2.1791767328977599E-2</v>
      </c>
      <c r="O1528" s="24">
        <v>0.242130756378173</v>
      </c>
      <c r="P1528" s="24">
        <v>0.29055690765380798</v>
      </c>
      <c r="Q1528" s="24">
        <v>0.92251813411712602</v>
      </c>
      <c r="R1528" s="25">
        <v>0</v>
      </c>
      <c r="S1528" s="25">
        <v>4.8426150121065378E-3</v>
      </c>
      <c r="T1528" s="25">
        <v>0.23728813559322035</v>
      </c>
    </row>
    <row r="1529" spans="1:20" x14ac:dyDescent="0.25">
      <c r="A1529" s="8" t="s">
        <v>3159</v>
      </c>
      <c r="B1529" s="8" t="s">
        <v>3160</v>
      </c>
      <c r="C1529" s="8" t="s">
        <v>3540</v>
      </c>
      <c r="D1529" s="8">
        <v>268</v>
      </c>
      <c r="E1529" s="24">
        <v>0.52611941099166804</v>
      </c>
      <c r="F1529" s="24">
        <v>0.47388058900833102</v>
      </c>
      <c r="G1529" s="23">
        <v>0</v>
      </c>
      <c r="H1529" s="23">
        <v>1.11940298229456E-2</v>
      </c>
      <c r="I1529" s="23">
        <v>9.7014926373958602E-2</v>
      </c>
      <c r="J1529" s="23">
        <v>0.86194032430648804</v>
      </c>
      <c r="K1529" s="23">
        <v>0</v>
      </c>
      <c r="L1529" s="23">
        <v>3.7313431967050002E-3</v>
      </c>
      <c r="M1529" s="23">
        <v>1.8656715750694299E-2</v>
      </c>
      <c r="N1529" s="23">
        <v>7.4626863934100004E-3</v>
      </c>
      <c r="O1529" s="24">
        <v>0.17910447716712899</v>
      </c>
      <c r="P1529" s="24">
        <v>0.376865684986114</v>
      </c>
      <c r="Q1529" s="23">
        <v>0.89552241563796997</v>
      </c>
      <c r="R1529" s="25">
        <v>0</v>
      </c>
      <c r="S1529" s="25">
        <v>0</v>
      </c>
      <c r="T1529" s="25">
        <v>0.17164179104477612</v>
      </c>
    </row>
    <row r="1530" spans="1:20" x14ac:dyDescent="0.25">
      <c r="A1530" s="8" t="s">
        <v>3161</v>
      </c>
      <c r="B1530" s="8" t="s">
        <v>3162</v>
      </c>
      <c r="C1530" s="8" t="s">
        <v>3540</v>
      </c>
      <c r="D1530" s="8">
        <v>419</v>
      </c>
      <c r="E1530" s="24">
        <v>0.35083532333374001</v>
      </c>
      <c r="F1530" s="24">
        <v>0.64916467666625899</v>
      </c>
      <c r="G1530" s="23">
        <v>0</v>
      </c>
      <c r="H1530" s="23">
        <v>3.1026253476738899E-2</v>
      </c>
      <c r="I1530" s="24">
        <v>0.17422434687614399</v>
      </c>
      <c r="J1530" s="24">
        <v>0.71121716499328602</v>
      </c>
      <c r="K1530" s="23">
        <v>4.7732698731124002E-3</v>
      </c>
      <c r="L1530" s="23">
        <v>1.1933173984289201E-2</v>
      </c>
      <c r="M1530" s="23">
        <v>3.5799521952867501E-2</v>
      </c>
      <c r="N1530" s="23">
        <v>3.1026253476738899E-2</v>
      </c>
      <c r="O1530" s="24">
        <v>0.18138425052165899</v>
      </c>
      <c r="P1530" s="24">
        <v>0.21718376874923701</v>
      </c>
      <c r="Q1530" s="24">
        <v>0.96658712625503496</v>
      </c>
      <c r="R1530" s="25">
        <v>0</v>
      </c>
      <c r="S1530" s="25">
        <v>3.1026252983293555E-2</v>
      </c>
      <c r="T1530" s="25">
        <v>0.15513126491646778</v>
      </c>
    </row>
    <row r="1531" spans="1:20" x14ac:dyDescent="0.25">
      <c r="A1531" s="8" t="s">
        <v>3163</v>
      </c>
      <c r="B1531" s="8" t="s">
        <v>3164</v>
      </c>
      <c r="C1531" s="8" t="s">
        <v>3540</v>
      </c>
      <c r="D1531" s="8">
        <v>414</v>
      </c>
      <c r="E1531" s="24">
        <v>0.475845396518707</v>
      </c>
      <c r="F1531" s="24">
        <v>0.52415460348129195</v>
      </c>
      <c r="G1531" s="23">
        <v>0</v>
      </c>
      <c r="H1531" s="23">
        <v>9.6618354320526095E-2</v>
      </c>
      <c r="I1531" s="24">
        <v>0.108695648610591</v>
      </c>
      <c r="J1531" s="24">
        <v>0.62801933288574197</v>
      </c>
      <c r="K1531" s="23">
        <v>7.2463769465685004E-3</v>
      </c>
      <c r="L1531" s="23">
        <v>7.2463769465685004E-3</v>
      </c>
      <c r="M1531" s="24">
        <v>0.118357487022876</v>
      </c>
      <c r="N1531" s="23">
        <v>3.3816423267126097E-2</v>
      </c>
      <c r="O1531" s="24">
        <v>0.159420296549797</v>
      </c>
      <c r="P1531" s="23">
        <v>1.4492753893137001E-2</v>
      </c>
      <c r="Q1531" s="23">
        <v>0.76086956262588501</v>
      </c>
      <c r="R1531" s="25">
        <v>0</v>
      </c>
      <c r="S1531" s="25">
        <v>0</v>
      </c>
      <c r="T1531" s="25">
        <v>0.16183574879227053</v>
      </c>
    </row>
    <row r="1532" spans="1:20" x14ac:dyDescent="0.25">
      <c r="A1532" s="8" t="s">
        <v>3165</v>
      </c>
      <c r="B1532" s="8" t="s">
        <v>3166</v>
      </c>
      <c r="C1532" s="8" t="s">
        <v>3540</v>
      </c>
      <c r="D1532" s="8">
        <v>359</v>
      </c>
      <c r="E1532" s="24">
        <v>0.48746517300605702</v>
      </c>
      <c r="F1532" s="24">
        <v>0.51253479719161898</v>
      </c>
      <c r="G1532" s="23">
        <v>0</v>
      </c>
      <c r="H1532" s="23">
        <v>2.2284122183919002E-2</v>
      </c>
      <c r="I1532" s="24">
        <v>0.13091921806335399</v>
      </c>
      <c r="J1532" s="24">
        <v>0.79387187957763605</v>
      </c>
      <c r="K1532" s="23">
        <v>5.5710305459797001E-3</v>
      </c>
      <c r="L1532" s="23">
        <v>2.7855152729898999E-3</v>
      </c>
      <c r="M1532" s="23">
        <v>3.0640669167041799E-2</v>
      </c>
      <c r="N1532" s="23">
        <v>1.3927577063441301E-2</v>
      </c>
      <c r="O1532" s="24">
        <v>0.23398329317569699</v>
      </c>
      <c r="P1532" s="24">
        <v>0.36768803000450101</v>
      </c>
      <c r="Q1532" s="24">
        <v>0.913649022579193</v>
      </c>
      <c r="R1532" s="25">
        <v>0</v>
      </c>
      <c r="S1532" s="25">
        <v>2.7855153203342618E-3</v>
      </c>
      <c r="T1532" s="25">
        <v>0.21727019498607242</v>
      </c>
    </row>
    <row r="1533" spans="1:20" x14ac:dyDescent="0.25">
      <c r="A1533" s="8" t="s">
        <v>3167</v>
      </c>
      <c r="B1533" s="8" t="s">
        <v>3168</v>
      </c>
      <c r="C1533" s="8" t="s">
        <v>3540</v>
      </c>
      <c r="D1533" s="8">
        <v>354</v>
      </c>
      <c r="E1533" s="24">
        <v>0.460451990365982</v>
      </c>
      <c r="F1533" s="24">
        <v>0.53954803943634</v>
      </c>
      <c r="G1533" s="23">
        <v>0</v>
      </c>
      <c r="H1533" s="23">
        <v>2.8248587623239002E-3</v>
      </c>
      <c r="I1533" s="24">
        <v>0.138418078422546</v>
      </c>
      <c r="J1533" s="24">
        <v>0.83615821599960305</v>
      </c>
      <c r="K1533" s="23">
        <v>0</v>
      </c>
      <c r="L1533" s="23">
        <v>0</v>
      </c>
      <c r="M1533" s="23">
        <v>1.69491525739431E-2</v>
      </c>
      <c r="N1533" s="23">
        <v>5.6497175246476997E-3</v>
      </c>
      <c r="O1533" s="24">
        <v>0.20903955399990001</v>
      </c>
      <c r="P1533" s="24">
        <v>0.31638416647911</v>
      </c>
      <c r="Q1533" s="24">
        <v>0.90677964687347401</v>
      </c>
      <c r="R1533" s="25">
        <v>2.8248587570621469E-3</v>
      </c>
      <c r="S1533" s="25">
        <v>7.0621468926553674E-2</v>
      </c>
      <c r="T1533" s="25">
        <v>0.13559322033898305</v>
      </c>
    </row>
    <row r="1534" spans="1:20" x14ac:dyDescent="0.25">
      <c r="A1534" s="8" t="s">
        <v>3169</v>
      </c>
      <c r="B1534" s="8" t="s">
        <v>3170</v>
      </c>
      <c r="C1534" s="8" t="s">
        <v>3540</v>
      </c>
      <c r="D1534" s="8">
        <v>102</v>
      </c>
      <c r="E1534" s="24">
        <v>0.44117647409438998</v>
      </c>
      <c r="F1534" s="24">
        <v>0.55882352590560902</v>
      </c>
      <c r="G1534" s="23">
        <v>0</v>
      </c>
      <c r="H1534" s="23">
        <v>1.9607843831181498E-2</v>
      </c>
      <c r="I1534" s="24">
        <v>0.186274513602256</v>
      </c>
      <c r="J1534" s="24">
        <v>0.78431373834609897</v>
      </c>
      <c r="K1534" s="23">
        <v>0</v>
      </c>
      <c r="L1534" s="23">
        <v>0</v>
      </c>
      <c r="M1534" s="23">
        <v>9.8039219155907995E-3</v>
      </c>
      <c r="N1534" s="23">
        <v>0</v>
      </c>
      <c r="O1534" s="23">
        <v>0.14705882966518399</v>
      </c>
      <c r="P1534" s="24">
        <v>0.33333334326744002</v>
      </c>
      <c r="Q1534" s="24">
        <v>0.85294115543365401</v>
      </c>
      <c r="R1534" s="25">
        <v>0</v>
      </c>
      <c r="S1534" s="25">
        <v>0</v>
      </c>
      <c r="T1534" s="25">
        <v>0.19607843137254902</v>
      </c>
    </row>
    <row r="1535" spans="1:20" x14ac:dyDescent="0.25">
      <c r="A1535" s="8" t="s">
        <v>3171</v>
      </c>
      <c r="B1535" s="8" t="s">
        <v>3172</v>
      </c>
      <c r="C1535" s="8" t="s">
        <v>3540</v>
      </c>
      <c r="D1535" s="8">
        <v>414</v>
      </c>
      <c r="E1535" s="24">
        <v>0.27294686436653098</v>
      </c>
      <c r="F1535" s="23">
        <v>0.72705316543579102</v>
      </c>
      <c r="G1535" s="23">
        <v>0</v>
      </c>
      <c r="H1535" s="23">
        <v>7.9710148274898501E-2</v>
      </c>
      <c r="I1535" s="24">
        <v>0.56763285398483199</v>
      </c>
      <c r="J1535" s="24">
        <v>0.287439614534378</v>
      </c>
      <c r="K1535" s="23">
        <v>4.8309178091586E-3</v>
      </c>
      <c r="L1535" s="23">
        <v>2.1739130839705498E-2</v>
      </c>
      <c r="M1535" s="23">
        <v>3.8647342473268502E-2</v>
      </c>
      <c r="N1535" s="23">
        <v>0</v>
      </c>
      <c r="O1535" s="24">
        <v>0.99758452177047696</v>
      </c>
      <c r="P1535" s="24">
        <v>0.21497584879398299</v>
      </c>
      <c r="Q1535" s="24">
        <v>0.90096616744995095</v>
      </c>
      <c r="R1535" s="25">
        <v>0.96658711217183768</v>
      </c>
      <c r="S1535" s="25">
        <v>2.386634844868735E-2</v>
      </c>
      <c r="T1535" s="25">
        <v>9.5465393794749408E-3</v>
      </c>
    </row>
    <row r="1536" spans="1:20" x14ac:dyDescent="0.25">
      <c r="A1536" s="8" t="s">
        <v>3173</v>
      </c>
      <c r="B1536" s="8" t="s">
        <v>3174</v>
      </c>
      <c r="C1536" s="8" t="s">
        <v>3540</v>
      </c>
      <c r="D1536" s="8">
        <v>467</v>
      </c>
      <c r="E1536" s="24">
        <v>0.190578162670135</v>
      </c>
      <c r="F1536" s="24">
        <v>0.80942183732986395</v>
      </c>
      <c r="G1536" s="23">
        <v>0</v>
      </c>
      <c r="H1536" s="23">
        <v>7.2805136442184407E-2</v>
      </c>
      <c r="I1536" s="24">
        <v>0.61241972446441595</v>
      </c>
      <c r="J1536" s="24">
        <v>0.239828690886497</v>
      </c>
      <c r="K1536" s="23">
        <v>6.4239827916026003E-3</v>
      </c>
      <c r="L1536" s="23">
        <v>1.0706637986004399E-2</v>
      </c>
      <c r="M1536" s="23">
        <v>5.7815846055746099E-2</v>
      </c>
      <c r="N1536" s="23">
        <v>0</v>
      </c>
      <c r="O1536" s="24">
        <v>0.99357599020004195</v>
      </c>
      <c r="P1536" s="23">
        <v>0.15203426778316501</v>
      </c>
      <c r="Q1536" s="24">
        <v>0.92933619022369296</v>
      </c>
      <c r="R1536" s="25">
        <v>0.98717948717948723</v>
      </c>
      <c r="S1536" s="25">
        <v>1.282051282051282E-2</v>
      </c>
      <c r="T1536" s="25">
        <v>0</v>
      </c>
    </row>
    <row r="1537" spans="1:20" x14ac:dyDescent="0.25">
      <c r="A1537" s="8" t="s">
        <v>3175</v>
      </c>
      <c r="B1537" s="8" t="s">
        <v>3176</v>
      </c>
      <c r="C1537" s="8" t="s">
        <v>3540</v>
      </c>
      <c r="D1537" s="8">
        <v>439</v>
      </c>
      <c r="E1537" s="24">
        <v>0.275626420974731</v>
      </c>
      <c r="F1537" s="24">
        <v>0.724373579025268</v>
      </c>
      <c r="G1537" s="23">
        <v>0</v>
      </c>
      <c r="H1537" s="24">
        <v>0.145785883069038</v>
      </c>
      <c r="I1537" s="24">
        <v>0.29612755775451599</v>
      </c>
      <c r="J1537" s="24">
        <v>0.41685649752616799</v>
      </c>
      <c r="K1537" s="23">
        <v>2.2779043763875999E-2</v>
      </c>
      <c r="L1537" s="23">
        <v>1.8223235383629799E-2</v>
      </c>
      <c r="M1537" s="24">
        <v>0.100227788090705</v>
      </c>
      <c r="N1537" s="23">
        <v>0</v>
      </c>
      <c r="O1537" s="23">
        <v>1</v>
      </c>
      <c r="P1537" s="23">
        <v>0.33029612898826599</v>
      </c>
      <c r="Q1537" s="24">
        <v>0.95444190502166704</v>
      </c>
      <c r="R1537" s="25">
        <v>4.5558086560364463E-3</v>
      </c>
      <c r="S1537" s="25">
        <v>0.86560364464692485</v>
      </c>
      <c r="T1537" s="25">
        <v>0.12528473804100229</v>
      </c>
    </row>
    <row r="1538" spans="1:20" x14ac:dyDescent="0.25">
      <c r="A1538" s="8" t="s">
        <v>3177</v>
      </c>
      <c r="B1538" s="8" t="s">
        <v>3178</v>
      </c>
      <c r="C1538" s="8" t="s">
        <v>3540</v>
      </c>
      <c r="D1538" s="8">
        <v>422</v>
      </c>
      <c r="E1538" s="23">
        <v>0.25355449318885798</v>
      </c>
      <c r="F1538" s="24">
        <v>0.74644547700881902</v>
      </c>
      <c r="G1538" s="23">
        <v>0</v>
      </c>
      <c r="H1538" s="24">
        <v>0.18246445059776301</v>
      </c>
      <c r="I1538" s="24">
        <v>0.40995261073112399</v>
      </c>
      <c r="J1538" s="24">
        <v>0.258293837308883</v>
      </c>
      <c r="K1538" s="23">
        <v>7.1090045385062998E-3</v>
      </c>
      <c r="L1538" s="23">
        <v>1.18483416736126E-2</v>
      </c>
      <c r="M1538" s="24">
        <v>0.13033175468444799</v>
      </c>
      <c r="N1538" s="23">
        <v>0</v>
      </c>
      <c r="O1538" s="23">
        <v>1</v>
      </c>
      <c r="P1538" s="24">
        <v>0.24881516396999301</v>
      </c>
      <c r="Q1538" s="23">
        <v>0.92890995740890503</v>
      </c>
      <c r="R1538" s="25">
        <v>0.93127962085308058</v>
      </c>
      <c r="S1538" s="25">
        <v>9.4786729857819912E-3</v>
      </c>
      <c r="T1538" s="25">
        <v>4.5023696682464455E-2</v>
      </c>
    </row>
    <row r="1539" spans="1:20" x14ac:dyDescent="0.25">
      <c r="A1539" s="8" t="s">
        <v>3179</v>
      </c>
      <c r="B1539" s="8" t="s">
        <v>3180</v>
      </c>
      <c r="C1539" s="8" t="s">
        <v>3540</v>
      </c>
      <c r="D1539" s="8">
        <v>344</v>
      </c>
      <c r="E1539" s="24">
        <v>0.22093023359775499</v>
      </c>
      <c r="F1539" s="24">
        <v>0.77906978130340498</v>
      </c>
      <c r="G1539" s="23">
        <v>0</v>
      </c>
      <c r="H1539" s="23">
        <v>3.7790697067975998E-2</v>
      </c>
      <c r="I1539" s="24">
        <v>0.56104654073715199</v>
      </c>
      <c r="J1539" s="24">
        <v>0.34593021869659402</v>
      </c>
      <c r="K1539" s="23">
        <v>2.32558138668537E-2</v>
      </c>
      <c r="L1539" s="23">
        <v>5.8139534667133999E-3</v>
      </c>
      <c r="M1539" s="23">
        <v>2.6162790134549099E-2</v>
      </c>
      <c r="N1539" s="23">
        <v>0</v>
      </c>
      <c r="O1539" s="24">
        <v>0.99127906560897805</v>
      </c>
      <c r="P1539" s="24">
        <v>0.119186043739318</v>
      </c>
      <c r="Q1539" s="24">
        <v>0.95348834991455</v>
      </c>
      <c r="R1539" s="25">
        <v>0.59289617486338797</v>
      </c>
      <c r="S1539" s="25">
        <v>0.31147540983606559</v>
      </c>
      <c r="T1539" s="25">
        <v>9.5628415300546443E-2</v>
      </c>
    </row>
    <row r="1540" spans="1:20" x14ac:dyDescent="0.25">
      <c r="A1540" s="8" t="s">
        <v>3181</v>
      </c>
      <c r="B1540" s="8" t="s">
        <v>3182</v>
      </c>
      <c r="C1540" s="8" t="s">
        <v>3540</v>
      </c>
      <c r="D1540" s="8">
        <v>386</v>
      </c>
      <c r="E1540" s="24">
        <v>0.33160620927810602</v>
      </c>
      <c r="F1540" s="24">
        <v>0.66839379072189298</v>
      </c>
      <c r="G1540" s="23">
        <v>0</v>
      </c>
      <c r="H1540" s="23">
        <v>5.6994818150997197E-2</v>
      </c>
      <c r="I1540" s="24">
        <v>0.39119172096252403</v>
      </c>
      <c r="J1540" s="24">
        <v>0.34715026617050099</v>
      </c>
      <c r="K1540" s="23">
        <v>1.55440410599113E-2</v>
      </c>
      <c r="L1540" s="23">
        <v>7.7720205299556004E-3</v>
      </c>
      <c r="M1540" s="24">
        <v>0.181347146630287</v>
      </c>
      <c r="N1540" s="23">
        <v>0</v>
      </c>
      <c r="O1540" s="24">
        <v>0.99740934371948198</v>
      </c>
      <c r="P1540" s="24">
        <v>0.20207254588603901</v>
      </c>
      <c r="Q1540" s="24">
        <v>0.93264245986938399</v>
      </c>
      <c r="R1540" s="25">
        <v>0.65544041450777202</v>
      </c>
      <c r="S1540" s="25">
        <v>0.28238341968911918</v>
      </c>
      <c r="T1540" s="25">
        <v>1.5544041450777202E-2</v>
      </c>
    </row>
    <row r="1541" spans="1:20" x14ac:dyDescent="0.25">
      <c r="A1541" s="8" t="s">
        <v>3183</v>
      </c>
      <c r="B1541" s="8" t="s">
        <v>3184</v>
      </c>
      <c r="C1541" s="8" t="s">
        <v>3540</v>
      </c>
      <c r="D1541" s="8">
        <v>373</v>
      </c>
      <c r="E1541" s="24">
        <v>0.26809650659561102</v>
      </c>
      <c r="F1541" s="24">
        <v>0.73190349340438798</v>
      </c>
      <c r="G1541" s="23">
        <v>0</v>
      </c>
      <c r="H1541" s="23">
        <v>0.30294907093048101</v>
      </c>
      <c r="I1541" s="24">
        <v>0.13941018283367099</v>
      </c>
      <c r="J1541" s="23">
        <v>0.22252011299133301</v>
      </c>
      <c r="K1541" s="23">
        <v>1.0723860934376699E-2</v>
      </c>
      <c r="L1541" s="23">
        <v>8.0428952351213005E-3</v>
      </c>
      <c r="M1541" s="24">
        <v>0.31635388731956399</v>
      </c>
      <c r="N1541" s="23">
        <v>0</v>
      </c>
      <c r="O1541" s="23">
        <v>1</v>
      </c>
      <c r="P1541" s="23">
        <v>0.33780160546302801</v>
      </c>
      <c r="Q1541" s="24">
        <v>0.89812332391738803</v>
      </c>
      <c r="R1541" s="25">
        <v>0.92978208232445525</v>
      </c>
      <c r="S1541" s="25">
        <v>2.1791767554479417E-2</v>
      </c>
      <c r="T1541" s="25">
        <v>4.8426150121065374E-2</v>
      </c>
    </row>
    <row r="1542" spans="1:20" x14ac:dyDescent="0.25">
      <c r="A1542" s="8" t="s">
        <v>3185</v>
      </c>
      <c r="B1542" s="8" t="s">
        <v>3186</v>
      </c>
      <c r="C1542" s="8" t="s">
        <v>3540</v>
      </c>
      <c r="D1542" s="8">
        <v>263</v>
      </c>
      <c r="E1542" s="24">
        <v>0.34980988502502403</v>
      </c>
      <c r="F1542" s="24">
        <v>0.65019011497497503</v>
      </c>
      <c r="G1542" s="23">
        <v>0</v>
      </c>
      <c r="H1542" s="23">
        <v>4.1825093328952803E-2</v>
      </c>
      <c r="I1542" s="24">
        <v>0.43346008658409102</v>
      </c>
      <c r="J1542" s="23">
        <v>0.41064637899398798</v>
      </c>
      <c r="K1542" s="23">
        <v>1.52091253548861E-2</v>
      </c>
      <c r="L1542" s="23">
        <v>1.52091253548861E-2</v>
      </c>
      <c r="M1542" s="23">
        <v>8.3650186657905606E-2</v>
      </c>
      <c r="N1542" s="23">
        <v>0</v>
      </c>
      <c r="O1542" s="24">
        <v>0.93536120653152399</v>
      </c>
      <c r="P1542" s="24">
        <v>0.110266156494617</v>
      </c>
      <c r="Q1542" s="24">
        <v>0.95057034492492598</v>
      </c>
      <c r="R1542" s="25">
        <v>0.42585551330798477</v>
      </c>
      <c r="S1542" s="25">
        <v>0.40684410646387831</v>
      </c>
      <c r="T1542" s="25">
        <v>3.4220532319391636E-2</v>
      </c>
    </row>
    <row r="1543" spans="1:20" x14ac:dyDescent="0.25">
      <c r="A1543" s="8" t="s">
        <v>3187</v>
      </c>
      <c r="B1543" s="8" t="s">
        <v>3188</v>
      </c>
      <c r="C1543" s="8" t="s">
        <v>3540</v>
      </c>
      <c r="D1543" s="8">
        <v>490</v>
      </c>
      <c r="E1543" s="24">
        <v>0.21428571641445099</v>
      </c>
      <c r="F1543" s="24">
        <v>0.78571426868438698</v>
      </c>
      <c r="G1543" s="23">
        <v>0</v>
      </c>
      <c r="H1543" s="23">
        <v>8.7755098938941997E-2</v>
      </c>
      <c r="I1543" s="24">
        <v>0.442857146263122</v>
      </c>
      <c r="J1543" s="23">
        <v>0.34285715222358698</v>
      </c>
      <c r="K1543" s="23">
        <v>2.2448979318141899E-2</v>
      </c>
      <c r="L1543" s="23">
        <v>1.2244897894561299E-2</v>
      </c>
      <c r="M1543" s="23">
        <v>9.1836735606193501E-2</v>
      </c>
      <c r="N1543" s="23">
        <v>0</v>
      </c>
      <c r="O1543" s="23">
        <v>1</v>
      </c>
      <c r="P1543" s="24">
        <v>0.179591834545135</v>
      </c>
      <c r="Q1543" s="24">
        <v>0.89795917272567705</v>
      </c>
      <c r="R1543" s="25">
        <v>0.72448979591836737</v>
      </c>
      <c r="S1543" s="25">
        <v>0.18367346938775511</v>
      </c>
      <c r="T1543" s="25">
        <v>8.1632653061224483E-2</v>
      </c>
    </row>
    <row r="1544" spans="1:20" x14ac:dyDescent="0.25">
      <c r="A1544" s="8" t="s">
        <v>3189</v>
      </c>
      <c r="B1544" s="8" t="s">
        <v>3190</v>
      </c>
      <c r="C1544" s="8" t="s">
        <v>3540</v>
      </c>
      <c r="D1544" s="8">
        <v>242</v>
      </c>
      <c r="E1544" s="24">
        <v>0.26033058762550298</v>
      </c>
      <c r="F1544" s="24">
        <v>0.73966944217681796</v>
      </c>
      <c r="G1544" s="23">
        <v>0</v>
      </c>
      <c r="H1544" s="24">
        <v>0.26033058762550298</v>
      </c>
      <c r="I1544" s="24">
        <v>0.19008263945579501</v>
      </c>
      <c r="J1544" s="24">
        <v>0.247933879494667</v>
      </c>
      <c r="K1544" s="23">
        <v>2.0661156624555602E-2</v>
      </c>
      <c r="L1544" s="23">
        <v>4.1322312317789E-3</v>
      </c>
      <c r="M1544" s="24">
        <v>0.27685949206352201</v>
      </c>
      <c r="N1544" s="23">
        <v>0</v>
      </c>
      <c r="O1544" s="24">
        <v>0.99586778879165605</v>
      </c>
      <c r="P1544" s="24">
        <v>0.363636374473571</v>
      </c>
      <c r="Q1544" s="24">
        <v>0.88429754972457797</v>
      </c>
      <c r="R1544" s="25">
        <v>0.69847328244274809</v>
      </c>
      <c r="S1544" s="25">
        <v>0.18702290076335878</v>
      </c>
      <c r="T1544" s="25">
        <v>0.11450381679389313</v>
      </c>
    </row>
    <row r="1545" spans="1:20" x14ac:dyDescent="0.25">
      <c r="A1545" s="8" t="s">
        <v>3191</v>
      </c>
      <c r="B1545" s="8" t="s">
        <v>3192</v>
      </c>
      <c r="C1545" s="8" t="s">
        <v>3540</v>
      </c>
      <c r="D1545" s="8">
        <v>246</v>
      </c>
      <c r="E1545" s="24">
        <v>0.292682915925979</v>
      </c>
      <c r="F1545" s="24">
        <v>0.70325201749801602</v>
      </c>
      <c r="G1545" s="23">
        <v>4.0650404989719001E-3</v>
      </c>
      <c r="H1545" s="24">
        <v>0.101626016199588</v>
      </c>
      <c r="I1545" s="23">
        <v>0.43495935201644897</v>
      </c>
      <c r="J1545" s="24">
        <v>0.30894309282302801</v>
      </c>
      <c r="K1545" s="23">
        <v>4.0650404989719001E-3</v>
      </c>
      <c r="L1545" s="23">
        <v>2.43902429938316E-2</v>
      </c>
      <c r="M1545" s="24">
        <v>0.12601625919341999</v>
      </c>
      <c r="N1545" s="23">
        <v>0</v>
      </c>
      <c r="O1545" s="24">
        <v>0.99186992645263605</v>
      </c>
      <c r="P1545" s="23">
        <v>0.211382120847702</v>
      </c>
      <c r="Q1545" s="24">
        <v>0.930894315242767</v>
      </c>
      <c r="R1545" s="25">
        <v>0.56201550387596899</v>
      </c>
      <c r="S1545" s="25">
        <v>0.33333333333333331</v>
      </c>
      <c r="T1545" s="25">
        <v>0.10465116279069768</v>
      </c>
    </row>
    <row r="1546" spans="1:20" x14ac:dyDescent="0.25">
      <c r="A1546" s="8" t="s">
        <v>3193</v>
      </c>
      <c r="B1546" s="8" t="s">
        <v>3194</v>
      </c>
      <c r="C1546" s="8" t="s">
        <v>3540</v>
      </c>
      <c r="D1546" s="8">
        <v>256</v>
      </c>
      <c r="E1546" s="23">
        <v>0.265625</v>
      </c>
      <c r="F1546" s="23">
        <v>0.73046875</v>
      </c>
      <c r="G1546" s="23">
        <v>3.90625E-3</v>
      </c>
      <c r="H1546" s="23">
        <v>0.15625</v>
      </c>
      <c r="I1546" s="23">
        <v>0.23046875</v>
      </c>
      <c r="J1546" s="23">
        <v>0.2734375</v>
      </c>
      <c r="K1546" s="23">
        <v>2.734375E-2</v>
      </c>
      <c r="L1546" s="23">
        <v>0</v>
      </c>
      <c r="M1546" s="23">
        <v>0.3125</v>
      </c>
      <c r="N1546" s="23">
        <v>0</v>
      </c>
      <c r="O1546" s="23">
        <v>1</v>
      </c>
      <c r="P1546" s="23">
        <v>0.16015625</v>
      </c>
      <c r="Q1546" s="23">
        <v>0.625</v>
      </c>
      <c r="R1546" s="25">
        <v>0.99624060150375937</v>
      </c>
      <c r="S1546" s="25">
        <v>0</v>
      </c>
      <c r="T1546" s="25">
        <v>3.7593984962406013E-3</v>
      </c>
    </row>
    <row r="1547" spans="1:20" x14ac:dyDescent="0.25">
      <c r="A1547" s="8" t="s">
        <v>3195</v>
      </c>
      <c r="B1547" s="8" t="s">
        <v>3196</v>
      </c>
      <c r="C1547" s="8" t="s">
        <v>3540</v>
      </c>
      <c r="D1547" s="8">
        <v>499</v>
      </c>
      <c r="E1547" s="24">
        <v>0.28857716917991599</v>
      </c>
      <c r="F1547" s="23">
        <v>0.71142286062240601</v>
      </c>
      <c r="G1547" s="23">
        <v>0</v>
      </c>
      <c r="H1547" s="23">
        <v>4.0080159902572597E-2</v>
      </c>
      <c r="I1547" s="24">
        <v>0.547094166278839</v>
      </c>
      <c r="J1547" s="24">
        <v>0.33667334914207397</v>
      </c>
      <c r="K1547" s="23">
        <v>1.4028056524694001E-2</v>
      </c>
      <c r="L1547" s="23">
        <v>1.4028056524694001E-2</v>
      </c>
      <c r="M1547" s="23">
        <v>4.8096191138029099E-2</v>
      </c>
      <c r="N1547" s="23">
        <v>0</v>
      </c>
      <c r="O1547" s="24">
        <v>0.99799597263336104</v>
      </c>
      <c r="P1547" s="24">
        <v>0.19639278948307001</v>
      </c>
      <c r="Q1547" s="24">
        <v>0.94989979267120295</v>
      </c>
      <c r="R1547" s="25">
        <v>0.81362725450901807</v>
      </c>
      <c r="S1547" s="25">
        <v>8.4168336673346694E-2</v>
      </c>
      <c r="T1547" s="25">
        <v>5.2104208416833664E-2</v>
      </c>
    </row>
    <row r="1548" spans="1:20" x14ac:dyDescent="0.25">
      <c r="A1548" s="8" t="s">
        <v>3197</v>
      </c>
      <c r="B1548" s="8" t="s">
        <v>3198</v>
      </c>
      <c r="C1548" s="8" t="s">
        <v>3540</v>
      </c>
      <c r="D1548" s="8">
        <v>624</v>
      </c>
      <c r="E1548" s="24">
        <v>0.27083334326744002</v>
      </c>
      <c r="F1548" s="24">
        <v>0.72916668653488104</v>
      </c>
      <c r="G1548" s="23">
        <v>0</v>
      </c>
      <c r="H1548" s="23">
        <v>6.25E-2</v>
      </c>
      <c r="I1548" s="24">
        <v>0.59615385532379095</v>
      </c>
      <c r="J1548" s="24">
        <v>0.20833332836627899</v>
      </c>
      <c r="K1548" s="23">
        <v>9.6153849735856004E-3</v>
      </c>
      <c r="L1548" s="23">
        <v>6.0897435992956203E-2</v>
      </c>
      <c r="M1548" s="23">
        <v>6.25E-2</v>
      </c>
      <c r="N1548" s="23">
        <v>0</v>
      </c>
      <c r="O1548" s="24">
        <v>0.99679487943649203</v>
      </c>
      <c r="P1548" s="24">
        <v>0.19711539149284299</v>
      </c>
      <c r="Q1548" s="24">
        <v>0.91666668653488104</v>
      </c>
      <c r="R1548" s="25">
        <v>0.94548286604361376</v>
      </c>
      <c r="S1548" s="25">
        <v>3.1152647975077882E-2</v>
      </c>
      <c r="T1548" s="25">
        <v>2.336448598130841E-2</v>
      </c>
    </row>
    <row r="1549" spans="1:20" x14ac:dyDescent="0.25">
      <c r="A1549" s="8" t="s">
        <v>3199</v>
      </c>
      <c r="B1549" s="8" t="s">
        <v>3200</v>
      </c>
      <c r="C1549" s="8" t="s">
        <v>3540</v>
      </c>
      <c r="D1549" s="8">
        <v>467</v>
      </c>
      <c r="E1549" s="24">
        <v>0.33190578222274703</v>
      </c>
      <c r="F1549" s="24">
        <v>0.66809421777725198</v>
      </c>
      <c r="G1549" s="23">
        <v>0</v>
      </c>
      <c r="H1549" s="24">
        <v>0.134903639554977</v>
      </c>
      <c r="I1549" s="24">
        <v>0.368308365345001</v>
      </c>
      <c r="J1549" s="24">
        <v>0.246252670884132</v>
      </c>
      <c r="K1549" s="23">
        <v>1.4989293180406101E-2</v>
      </c>
      <c r="L1549" s="23">
        <v>2.9978586360812201E-2</v>
      </c>
      <c r="M1549" s="24">
        <v>0.20556744933128299</v>
      </c>
      <c r="N1549" s="23">
        <v>0</v>
      </c>
      <c r="O1549" s="24">
        <v>0.99357599020004195</v>
      </c>
      <c r="P1549" s="24">
        <v>0.295503199100494</v>
      </c>
      <c r="Q1549" s="24">
        <v>0.93147748708724898</v>
      </c>
      <c r="R1549" s="25">
        <v>0.87366167023554608</v>
      </c>
      <c r="S1549" s="25">
        <v>7.0663811563169171E-2</v>
      </c>
      <c r="T1549" s="25">
        <v>3.4261241970021415E-2</v>
      </c>
    </row>
    <row r="1550" spans="1:20" x14ac:dyDescent="0.25">
      <c r="A1550" s="8" t="s">
        <v>3201</v>
      </c>
      <c r="B1550" s="8" t="s">
        <v>3202</v>
      </c>
      <c r="C1550" s="8" t="s">
        <v>3540</v>
      </c>
      <c r="D1550" s="8">
        <v>450</v>
      </c>
      <c r="E1550" s="24">
        <v>0.21999999880790699</v>
      </c>
      <c r="F1550" s="24">
        <v>0.77999997138976995</v>
      </c>
      <c r="G1550" s="23">
        <v>0</v>
      </c>
      <c r="H1550" s="23">
        <v>3.1111111864447601E-2</v>
      </c>
      <c r="I1550" s="24">
        <v>0.65555554628372104</v>
      </c>
      <c r="J1550" s="24">
        <v>0.246666669845581</v>
      </c>
      <c r="K1550" s="23">
        <v>6.6666668280958999E-3</v>
      </c>
      <c r="L1550" s="23">
        <v>1.33333336561918E-2</v>
      </c>
      <c r="M1550" s="23">
        <v>4.6666666865348802E-2</v>
      </c>
      <c r="N1550" s="23">
        <v>0</v>
      </c>
      <c r="O1550" s="24">
        <v>0.991111099720001</v>
      </c>
      <c r="P1550" s="24">
        <v>0.14666666090488401</v>
      </c>
      <c r="Q1550" s="24">
        <v>0.93111109733581499</v>
      </c>
      <c r="R1550" s="25">
        <v>0.31372549019607843</v>
      </c>
      <c r="S1550" s="25">
        <v>0.63398692810457513</v>
      </c>
      <c r="T1550" s="25">
        <v>5.2287581699346407E-2</v>
      </c>
    </row>
    <row r="1551" spans="1:20" x14ac:dyDescent="0.25">
      <c r="A1551" s="8" t="s">
        <v>3203</v>
      </c>
      <c r="B1551" s="8" t="s">
        <v>3204</v>
      </c>
      <c r="C1551" s="8" t="s">
        <v>3540</v>
      </c>
      <c r="D1551" s="8">
        <v>567</v>
      </c>
      <c r="E1551" s="24">
        <v>0.23809523880481701</v>
      </c>
      <c r="F1551" s="23">
        <v>0.76190477609634399</v>
      </c>
      <c r="G1551" s="23">
        <v>0</v>
      </c>
      <c r="H1551" s="24">
        <v>0.20634920895099601</v>
      </c>
      <c r="I1551" s="24">
        <v>0.32098764181137002</v>
      </c>
      <c r="J1551" s="24">
        <v>0.22222222387790599</v>
      </c>
      <c r="K1551" s="23">
        <v>1.9400352612137801E-2</v>
      </c>
      <c r="L1551" s="23">
        <v>1.05820102617145E-2</v>
      </c>
      <c r="M1551" s="24">
        <v>0.22045855224132499</v>
      </c>
      <c r="N1551" s="23">
        <v>0</v>
      </c>
      <c r="O1551" s="23">
        <v>0.99823635816574097</v>
      </c>
      <c r="P1551" s="24">
        <v>0.25396826863288802</v>
      </c>
      <c r="Q1551" s="23">
        <v>0.87125217914581299</v>
      </c>
      <c r="R1551" s="25">
        <v>0.32118055555555558</v>
      </c>
      <c r="S1551" s="25">
        <v>0.52604166666666663</v>
      </c>
      <c r="T1551" s="25">
        <v>0.15277777777777779</v>
      </c>
    </row>
    <row r="1552" spans="1:20" x14ac:dyDescent="0.25">
      <c r="A1552" s="8" t="s">
        <v>3205</v>
      </c>
      <c r="B1552" s="8" t="s">
        <v>3206</v>
      </c>
      <c r="C1552" s="8" t="s">
        <v>3540</v>
      </c>
      <c r="D1552" s="8">
        <v>304</v>
      </c>
      <c r="E1552" s="24">
        <v>0.39473685622215199</v>
      </c>
      <c r="F1552" s="24">
        <v>0.60526317358016901</v>
      </c>
      <c r="G1552" s="23">
        <v>0</v>
      </c>
      <c r="H1552" s="24">
        <v>0.105263158679008</v>
      </c>
      <c r="I1552" s="24">
        <v>0.45065790414810097</v>
      </c>
      <c r="J1552" s="24">
        <v>0.25328946113586398</v>
      </c>
      <c r="K1552" s="23">
        <v>6.5789474174379999E-3</v>
      </c>
      <c r="L1552" s="23">
        <v>3.61842103302479E-2</v>
      </c>
      <c r="M1552" s="23">
        <v>0.148026317358017</v>
      </c>
      <c r="N1552" s="23">
        <v>0</v>
      </c>
      <c r="O1552" s="24">
        <v>0.99342107772827104</v>
      </c>
      <c r="P1552" s="23">
        <v>0.28947368264198298</v>
      </c>
      <c r="Q1552" s="23">
        <v>0.9375</v>
      </c>
      <c r="R1552" s="25">
        <v>0.87171052631578949</v>
      </c>
      <c r="S1552" s="25">
        <v>4.9342105263157895E-2</v>
      </c>
      <c r="T1552" s="25">
        <v>4.9342105263157895E-2</v>
      </c>
    </row>
    <row r="1553" spans="1:20" x14ac:dyDescent="0.25">
      <c r="A1553" s="8" t="s">
        <v>3207</v>
      </c>
      <c r="B1553" s="8" t="s">
        <v>3208</v>
      </c>
      <c r="C1553" s="8" t="s">
        <v>3540</v>
      </c>
      <c r="D1553" s="8">
        <v>271</v>
      </c>
      <c r="E1553" s="24">
        <v>0.38007381558418202</v>
      </c>
      <c r="F1553" s="24">
        <v>0.61992621421813898</v>
      </c>
      <c r="G1553" s="23">
        <v>0</v>
      </c>
      <c r="H1553" s="23">
        <v>4.4280443340539898E-2</v>
      </c>
      <c r="I1553" s="24">
        <v>0.40959408879280002</v>
      </c>
      <c r="J1553" s="24">
        <v>0.42804428935050898</v>
      </c>
      <c r="K1553" s="23">
        <v>7.38007389009E-3</v>
      </c>
      <c r="L1553" s="23">
        <v>1.476014778018E-2</v>
      </c>
      <c r="M1553" s="23">
        <v>9.5940962433815002E-2</v>
      </c>
      <c r="N1553" s="23">
        <v>0</v>
      </c>
      <c r="O1553" s="24">
        <v>0.91143912076949996</v>
      </c>
      <c r="P1553" s="23">
        <v>6.6420666873455006E-2</v>
      </c>
      <c r="Q1553" s="24">
        <v>0.88191884756088201</v>
      </c>
      <c r="R1553" s="25">
        <v>0.39852398523985239</v>
      </c>
      <c r="S1553" s="25">
        <v>0.37269372693726938</v>
      </c>
      <c r="T1553" s="25">
        <v>5.5350553505535055E-2</v>
      </c>
    </row>
    <row r="1554" spans="1:20" x14ac:dyDescent="0.25">
      <c r="A1554" s="8" t="s">
        <v>3209</v>
      </c>
      <c r="B1554" s="8" t="s">
        <v>3210</v>
      </c>
      <c r="C1554" s="8" t="s">
        <v>3540</v>
      </c>
      <c r="D1554" s="8">
        <v>285</v>
      </c>
      <c r="E1554" s="24">
        <v>0.22807016968727101</v>
      </c>
      <c r="F1554" s="24">
        <v>0.77192980051040605</v>
      </c>
      <c r="G1554" s="23">
        <v>0</v>
      </c>
      <c r="H1554" s="23">
        <v>2.8070176020264601E-2</v>
      </c>
      <c r="I1554" s="24">
        <v>0.38245615363120999</v>
      </c>
      <c r="J1554" s="24">
        <v>0.54736840724945002</v>
      </c>
      <c r="K1554" s="23">
        <v>3.5087720025330999E-3</v>
      </c>
      <c r="L1554" s="23">
        <v>0</v>
      </c>
      <c r="M1554" s="23">
        <v>3.8596492260694497E-2</v>
      </c>
      <c r="N1554" s="23">
        <v>0</v>
      </c>
      <c r="O1554" s="23">
        <v>1</v>
      </c>
      <c r="P1554" s="24">
        <v>0.29824560880661</v>
      </c>
      <c r="Q1554" s="24">
        <v>0.94736844301223699</v>
      </c>
      <c r="R1554" s="25">
        <v>0.83508771929824566</v>
      </c>
      <c r="S1554" s="25">
        <v>0.16140350877192983</v>
      </c>
      <c r="T1554" s="25">
        <v>0</v>
      </c>
    </row>
    <row r="1555" spans="1:20" x14ac:dyDescent="0.25">
      <c r="A1555" s="8" t="s">
        <v>3211</v>
      </c>
      <c r="B1555" s="8" t="s">
        <v>3212</v>
      </c>
      <c r="C1555" s="8" t="s">
        <v>3540</v>
      </c>
      <c r="D1555" s="8">
        <v>468</v>
      </c>
      <c r="E1555" s="24">
        <v>0.22649572789669001</v>
      </c>
      <c r="F1555" s="24">
        <v>0.77350425720214799</v>
      </c>
      <c r="G1555" s="23">
        <v>0</v>
      </c>
      <c r="H1555" s="24">
        <v>0.11965811997652</v>
      </c>
      <c r="I1555" s="24">
        <v>0.31196582317352201</v>
      </c>
      <c r="J1555" s="24">
        <v>0.431623935699462</v>
      </c>
      <c r="K1555" s="23">
        <v>1.9230769947171201E-2</v>
      </c>
      <c r="L1555" s="23">
        <v>2.1367522422224001E-3</v>
      </c>
      <c r="M1555" s="23">
        <v>0.115384615957737</v>
      </c>
      <c r="N1555" s="23">
        <v>0</v>
      </c>
      <c r="O1555" s="23">
        <v>0.99786323308944702</v>
      </c>
      <c r="P1555" s="23">
        <v>0.170940175652504</v>
      </c>
      <c r="Q1555" s="24">
        <v>0.863247871398925</v>
      </c>
      <c r="R1555" s="25">
        <v>0.54584221748400852</v>
      </c>
      <c r="S1555" s="25">
        <v>0.35820895522388058</v>
      </c>
      <c r="T1555" s="25">
        <v>9.5948827292110878E-2</v>
      </c>
    </row>
    <row r="1556" spans="1:20" x14ac:dyDescent="0.25">
      <c r="A1556" s="8" t="s">
        <v>3213</v>
      </c>
      <c r="B1556" s="8" t="s">
        <v>3214</v>
      </c>
      <c r="C1556" s="8" t="s">
        <v>3540</v>
      </c>
      <c r="D1556" s="8">
        <v>709</v>
      </c>
      <c r="E1556" s="24">
        <v>0.30042314529418901</v>
      </c>
      <c r="F1556" s="24">
        <v>0.69957685470580999</v>
      </c>
      <c r="G1556" s="23">
        <v>0</v>
      </c>
      <c r="H1556" s="23">
        <v>2.8208743780851399E-2</v>
      </c>
      <c r="I1556" s="24">
        <v>0.27785614132881098</v>
      </c>
      <c r="J1556" s="24">
        <v>0.630465447902679</v>
      </c>
      <c r="K1556" s="23">
        <v>9.8730605095624993E-3</v>
      </c>
      <c r="L1556" s="23">
        <v>4.2313118465245004E-3</v>
      </c>
      <c r="M1556" s="23">
        <v>4.9365304410457597E-2</v>
      </c>
      <c r="N1556" s="23">
        <v>0</v>
      </c>
      <c r="O1556" s="24">
        <v>0.99153739213943404</v>
      </c>
      <c r="P1556" s="24">
        <v>0.28208744525909402</v>
      </c>
      <c r="Q1556" s="24">
        <v>0.94499295949935902</v>
      </c>
      <c r="R1556" s="25">
        <v>0.88434414668547245</v>
      </c>
      <c r="S1556" s="25">
        <v>8.4626234132581107E-3</v>
      </c>
      <c r="T1556" s="25">
        <v>7.1932299012693934E-2</v>
      </c>
    </row>
    <row r="1557" spans="1:20" x14ac:dyDescent="0.25">
      <c r="A1557" s="8" t="s">
        <v>3215</v>
      </c>
      <c r="B1557" s="8" t="s">
        <v>3216</v>
      </c>
      <c r="C1557" s="8" t="s">
        <v>3540</v>
      </c>
      <c r="D1557" s="8">
        <v>412</v>
      </c>
      <c r="E1557" s="23">
        <v>0.235436886548996</v>
      </c>
      <c r="F1557" s="24">
        <v>0.76456308364868097</v>
      </c>
      <c r="G1557" s="23">
        <v>0</v>
      </c>
      <c r="H1557" s="23">
        <v>2.6699028909206401E-2</v>
      </c>
      <c r="I1557" s="24">
        <v>0.38592234253883301</v>
      </c>
      <c r="J1557" s="23">
        <v>0.51213592290878296</v>
      </c>
      <c r="K1557" s="23">
        <v>9.7087379544972992E-3</v>
      </c>
      <c r="L1557" s="23">
        <v>3.6407768726348898E-2</v>
      </c>
      <c r="M1557" s="23">
        <v>2.9126213863492002E-2</v>
      </c>
      <c r="N1557" s="23">
        <v>0</v>
      </c>
      <c r="O1557" s="24">
        <v>0.99757283926010099</v>
      </c>
      <c r="P1557" s="24">
        <v>0.13106796145439101</v>
      </c>
      <c r="Q1557" s="24">
        <v>0.91504853963851895</v>
      </c>
      <c r="R1557" s="25">
        <v>0.73598130841121501</v>
      </c>
      <c r="S1557" s="25">
        <v>0.21495327102803738</v>
      </c>
      <c r="T1557" s="25">
        <v>4.9065420560747662E-2</v>
      </c>
    </row>
    <row r="1558" spans="1:20" x14ac:dyDescent="0.25">
      <c r="A1558" s="8" t="s">
        <v>3217</v>
      </c>
      <c r="B1558" s="8" t="s">
        <v>3218</v>
      </c>
      <c r="C1558" s="8" t="s">
        <v>3540</v>
      </c>
      <c r="D1558" s="8">
        <v>286</v>
      </c>
      <c r="E1558" s="24">
        <v>0.26223775744438099</v>
      </c>
      <c r="F1558" s="24">
        <v>0.73426574468612604</v>
      </c>
      <c r="G1558" s="23">
        <v>3.4965034574270001E-3</v>
      </c>
      <c r="H1558" s="23">
        <v>3.8461539894342402E-2</v>
      </c>
      <c r="I1558" s="24">
        <v>0.36013984680175698</v>
      </c>
      <c r="J1558" s="24">
        <v>0.51398599147796598</v>
      </c>
      <c r="K1558" s="23">
        <v>1.0489510372281101E-2</v>
      </c>
      <c r="L1558" s="23">
        <v>1.3986013829708099E-2</v>
      </c>
      <c r="M1558" s="23">
        <v>6.2937065958976704E-2</v>
      </c>
      <c r="N1558" s="23">
        <v>0</v>
      </c>
      <c r="O1558" s="23">
        <v>0.99650347232818604</v>
      </c>
      <c r="P1558" s="24">
        <v>0.153846159577369</v>
      </c>
      <c r="Q1558" s="24">
        <v>0.92657345533370905</v>
      </c>
      <c r="R1558" s="25">
        <v>0.42657342657342656</v>
      </c>
      <c r="S1558" s="25">
        <v>0.3776223776223776</v>
      </c>
      <c r="T1558" s="25">
        <v>0.15734265734265734</v>
      </c>
    </row>
    <row r="1559" spans="1:20" x14ac:dyDescent="0.25">
      <c r="A1559" s="8" t="s">
        <v>3219</v>
      </c>
      <c r="B1559" s="8" t="s">
        <v>3220</v>
      </c>
      <c r="C1559" s="8" t="s">
        <v>3540</v>
      </c>
      <c r="D1559" s="8">
        <v>71</v>
      </c>
      <c r="E1559" s="23">
        <v>0.49295774102210999</v>
      </c>
      <c r="F1559" s="24">
        <v>0.50704222917556696</v>
      </c>
      <c r="G1559" s="23">
        <v>0</v>
      </c>
      <c r="H1559" s="23">
        <v>7.0422537624835996E-2</v>
      </c>
      <c r="I1559" s="24">
        <v>0.28169015049934298</v>
      </c>
      <c r="J1559" s="24">
        <v>0.47887325286865201</v>
      </c>
      <c r="K1559" s="23">
        <v>2.8169013559818299E-2</v>
      </c>
      <c r="L1559" s="23">
        <v>0</v>
      </c>
      <c r="M1559" s="24">
        <v>0.14084507524967099</v>
      </c>
      <c r="N1559" s="23">
        <v>0</v>
      </c>
      <c r="O1559" s="24">
        <v>0.54929578304290705</v>
      </c>
      <c r="P1559" s="23">
        <v>8.4507040679454803E-2</v>
      </c>
      <c r="Q1559" s="24">
        <v>0.87323945760726895</v>
      </c>
      <c r="R1559" s="25">
        <v>0.12676056338028169</v>
      </c>
      <c r="S1559" s="25">
        <v>7.0422535211267609E-2</v>
      </c>
      <c r="T1559" s="25">
        <v>0.16901408450704225</v>
      </c>
    </row>
    <row r="1560" spans="1:20" x14ac:dyDescent="0.25">
      <c r="A1560" s="8" t="s">
        <v>3221</v>
      </c>
      <c r="B1560" s="8" t="s">
        <v>3222</v>
      </c>
      <c r="C1560" s="8" t="s">
        <v>3540</v>
      </c>
      <c r="D1560" s="8">
        <v>18</v>
      </c>
      <c r="E1560" s="24">
        <v>0.38888889551162698</v>
      </c>
      <c r="F1560" s="24">
        <v>0.61111110448837203</v>
      </c>
      <c r="G1560" s="23">
        <v>0</v>
      </c>
      <c r="H1560" s="23">
        <v>0</v>
      </c>
      <c r="I1560" s="24">
        <v>0.16666667163372001</v>
      </c>
      <c r="J1560" s="24">
        <v>0.16666667163372001</v>
      </c>
      <c r="K1560" s="24">
        <v>0.16666667163372001</v>
      </c>
      <c r="L1560" s="23">
        <v>5.55555559694767E-2</v>
      </c>
      <c r="M1560" s="24">
        <v>0.44444444775581299</v>
      </c>
      <c r="N1560" s="23">
        <v>0</v>
      </c>
      <c r="O1560" s="24">
        <v>0.83333331346511796</v>
      </c>
      <c r="P1560" s="23">
        <v>0</v>
      </c>
      <c r="Q1560" s="24">
        <v>0.83333331346511796</v>
      </c>
      <c r="R1560" s="25">
        <v>0.33333333333333331</v>
      </c>
      <c r="S1560" s="25">
        <v>5.5555555555555552E-2</v>
      </c>
      <c r="T1560" s="25">
        <v>0.5</v>
      </c>
    </row>
    <row r="1561" spans="1:20" x14ac:dyDescent="0.25">
      <c r="A1561" s="8" t="s">
        <v>3223</v>
      </c>
      <c r="B1561" s="8" t="s">
        <v>3224</v>
      </c>
      <c r="C1561" s="8" t="s">
        <v>3540</v>
      </c>
      <c r="D1561" s="8">
        <v>210</v>
      </c>
      <c r="E1561" s="24">
        <v>0.33333334326744002</v>
      </c>
      <c r="F1561" s="24">
        <v>0.66666668653488104</v>
      </c>
      <c r="G1561" s="23">
        <v>0</v>
      </c>
      <c r="H1561" s="23">
        <v>3.3333335071802098E-2</v>
      </c>
      <c r="I1561" s="24">
        <v>0.36190477013587902</v>
      </c>
      <c r="J1561" s="23">
        <v>0.52380955219268799</v>
      </c>
      <c r="K1561" s="23">
        <v>4.7619049437343996E-3</v>
      </c>
      <c r="L1561" s="23">
        <v>4.7619049437343996E-3</v>
      </c>
      <c r="M1561" s="23">
        <v>6.6666670143604306E-2</v>
      </c>
      <c r="N1561" s="23">
        <v>4.7619049437343996E-3</v>
      </c>
      <c r="O1561" s="24">
        <v>0.99523806571960405</v>
      </c>
      <c r="P1561" s="23">
        <v>0.30000001192092901</v>
      </c>
      <c r="Q1561" s="24">
        <v>0.942857146263122</v>
      </c>
      <c r="R1561" s="25">
        <v>0.84761904761904761</v>
      </c>
      <c r="S1561" s="25">
        <v>3.3333333333333333E-2</v>
      </c>
      <c r="T1561" s="25">
        <v>8.5714285714285715E-2</v>
      </c>
    </row>
    <row r="1562" spans="1:20" x14ac:dyDescent="0.25">
      <c r="A1562" s="8" t="s">
        <v>3225</v>
      </c>
      <c r="B1562" s="8" t="s">
        <v>3226</v>
      </c>
      <c r="C1562" s="8" t="s">
        <v>3540</v>
      </c>
      <c r="D1562" s="8">
        <v>213</v>
      </c>
      <c r="E1562" s="24">
        <v>0.211267605423927</v>
      </c>
      <c r="F1562" s="24">
        <v>0.788732409477233</v>
      </c>
      <c r="G1562" s="23">
        <v>0</v>
      </c>
      <c r="H1562" s="23">
        <v>2.8169013559818299E-2</v>
      </c>
      <c r="I1562" s="24">
        <v>0.33333334326744002</v>
      </c>
      <c r="J1562" s="24">
        <v>0.54460096359252896</v>
      </c>
      <c r="K1562" s="23">
        <v>9.3896714970469006E-3</v>
      </c>
      <c r="L1562" s="23">
        <v>4.6948357485234998E-3</v>
      </c>
      <c r="M1562" s="23">
        <v>7.9812206327915206E-2</v>
      </c>
      <c r="N1562" s="23">
        <v>0</v>
      </c>
      <c r="O1562" s="24">
        <v>0.99530518054962103</v>
      </c>
      <c r="P1562" s="24">
        <v>0.201877936720848</v>
      </c>
      <c r="Q1562" s="24">
        <v>0.94366198778152399</v>
      </c>
      <c r="R1562" s="25">
        <v>0.5258215962441315</v>
      </c>
      <c r="S1562" s="25">
        <v>0.26291079812206575</v>
      </c>
      <c r="T1562" s="25">
        <v>0.16901408450704225</v>
      </c>
    </row>
    <row r="1563" spans="1:20" x14ac:dyDescent="0.25">
      <c r="A1563" s="8" t="s">
        <v>3227</v>
      </c>
      <c r="B1563" s="8" t="s">
        <v>3228</v>
      </c>
      <c r="C1563" s="8" t="s">
        <v>3540</v>
      </c>
      <c r="D1563" s="8">
        <v>542</v>
      </c>
      <c r="E1563" s="24">
        <v>0.236162364482879</v>
      </c>
      <c r="F1563" s="24">
        <v>0.76383763551712003</v>
      </c>
      <c r="G1563" s="23">
        <v>0</v>
      </c>
      <c r="H1563" s="23">
        <v>2.58302576839924E-2</v>
      </c>
      <c r="I1563" s="24">
        <v>0.36715868115425099</v>
      </c>
      <c r="J1563" s="24">
        <v>0.53690034151077204</v>
      </c>
      <c r="K1563" s="23">
        <v>5.5350554175675002E-3</v>
      </c>
      <c r="L1563" s="23">
        <v>1.1070110835135E-2</v>
      </c>
      <c r="M1563" s="23">
        <v>5.3505536168813699E-2</v>
      </c>
      <c r="N1563" s="23">
        <v>0</v>
      </c>
      <c r="O1563" s="23">
        <v>1</v>
      </c>
      <c r="P1563" s="24">
        <v>0.13284133374691001</v>
      </c>
      <c r="Q1563" s="24">
        <v>0.92804425954818703</v>
      </c>
      <c r="R1563" s="25">
        <v>0.78413284132841332</v>
      </c>
      <c r="S1563" s="25">
        <v>7.7490774907749083E-2</v>
      </c>
      <c r="T1563" s="25">
        <v>7.0110701107011064E-2</v>
      </c>
    </row>
    <row r="1564" spans="1:20" x14ac:dyDescent="0.25">
      <c r="A1564" s="8" t="s">
        <v>3229</v>
      </c>
      <c r="B1564" s="8" t="s">
        <v>3230</v>
      </c>
      <c r="C1564" s="8" t="s">
        <v>3540</v>
      </c>
      <c r="D1564" s="8">
        <v>534</v>
      </c>
      <c r="E1564" s="24">
        <v>0.21910113096237099</v>
      </c>
      <c r="F1564" s="24">
        <v>0.78089886903762795</v>
      </c>
      <c r="G1564" s="23">
        <v>0</v>
      </c>
      <c r="H1564" s="24">
        <v>0.28651684522628701</v>
      </c>
      <c r="I1564" s="24">
        <v>0.254681646823883</v>
      </c>
      <c r="J1564" s="24">
        <v>0.28277152776718101</v>
      </c>
      <c r="K1564" s="23">
        <v>1.12359551712871E-2</v>
      </c>
      <c r="L1564" s="23">
        <v>2.62172278016806E-2</v>
      </c>
      <c r="M1564" s="24">
        <v>0.136704117059707</v>
      </c>
      <c r="N1564" s="23">
        <v>1.8726591952145E-3</v>
      </c>
      <c r="O1564" s="23">
        <v>1</v>
      </c>
      <c r="P1564" s="24">
        <v>0.260299623012542</v>
      </c>
      <c r="Q1564" s="24">
        <v>0.83895128965377797</v>
      </c>
      <c r="R1564" s="25">
        <v>0.9550561797752809</v>
      </c>
      <c r="S1564" s="25">
        <v>5.6179775280898875E-3</v>
      </c>
      <c r="T1564" s="25">
        <v>1.4981273408239701E-2</v>
      </c>
    </row>
    <row r="1565" spans="1:20" x14ac:dyDescent="0.25">
      <c r="A1565" s="8" t="s">
        <v>3231</v>
      </c>
      <c r="B1565" s="8" t="s">
        <v>3232</v>
      </c>
      <c r="C1565" s="8" t="s">
        <v>3540</v>
      </c>
      <c r="D1565" s="8">
        <v>649</v>
      </c>
      <c r="E1565" s="24">
        <v>0.30354392528533902</v>
      </c>
      <c r="F1565" s="23">
        <v>0.69491523504257202</v>
      </c>
      <c r="G1565" s="23">
        <v>1.5408321050927E-3</v>
      </c>
      <c r="H1565" s="24">
        <v>0.26040062308311401</v>
      </c>
      <c r="I1565" s="24">
        <v>0.237288132309913</v>
      </c>
      <c r="J1565" s="24">
        <v>0.38520801067352201</v>
      </c>
      <c r="K1565" s="23">
        <v>9.2449923977255995E-3</v>
      </c>
      <c r="L1565" s="23">
        <v>2.3112481459975201E-2</v>
      </c>
      <c r="M1565" s="23">
        <v>8.4745764732360798E-2</v>
      </c>
      <c r="N1565" s="23">
        <v>0</v>
      </c>
      <c r="O1565" s="24">
        <v>0.99383670091628995</v>
      </c>
      <c r="P1565" s="24">
        <v>0.32357472181320102</v>
      </c>
      <c r="Q1565" s="24">
        <v>0.88751924037933305</v>
      </c>
      <c r="R1565" s="25">
        <v>0.81415929203539827</v>
      </c>
      <c r="S1565" s="25">
        <v>0.16076696165191739</v>
      </c>
      <c r="T1565" s="25">
        <v>2.5073746312684365E-2</v>
      </c>
    </row>
    <row r="1566" spans="1:20" x14ac:dyDescent="0.25">
      <c r="A1566" s="8" t="s">
        <v>3233</v>
      </c>
      <c r="B1566" s="8" t="s">
        <v>3234</v>
      </c>
      <c r="C1566" s="8" t="s">
        <v>3540</v>
      </c>
      <c r="D1566" s="8">
        <v>434</v>
      </c>
      <c r="E1566" s="24">
        <v>0.38709676265716497</v>
      </c>
      <c r="F1566" s="24">
        <v>0.61290323734283403</v>
      </c>
      <c r="G1566" s="23">
        <v>0</v>
      </c>
      <c r="H1566" s="24">
        <v>0.16820275783538799</v>
      </c>
      <c r="I1566" s="24">
        <v>0.25576037168502802</v>
      </c>
      <c r="J1566" s="24">
        <v>0.41474655270576399</v>
      </c>
      <c r="K1566" s="23">
        <v>1.1520737782120699E-2</v>
      </c>
      <c r="L1566" s="23">
        <v>9.2165898531674992E-3</v>
      </c>
      <c r="M1566" s="24">
        <v>0.140552997589111</v>
      </c>
      <c r="N1566" s="23">
        <v>0</v>
      </c>
      <c r="O1566" s="24">
        <v>0.89631336927413896</v>
      </c>
      <c r="P1566" s="24">
        <v>0.17511521279811801</v>
      </c>
      <c r="Q1566" s="24">
        <v>0.89170509576797397</v>
      </c>
      <c r="R1566" s="25">
        <v>0.34792626728110598</v>
      </c>
      <c r="S1566" s="25">
        <v>0.54608294930875578</v>
      </c>
      <c r="T1566" s="25">
        <v>3.9170506912442393E-2</v>
      </c>
    </row>
    <row r="1567" spans="1:20" x14ac:dyDescent="0.25">
      <c r="A1567" s="8" t="s">
        <v>3235</v>
      </c>
      <c r="B1567" s="8" t="s">
        <v>3236</v>
      </c>
      <c r="C1567" s="8" t="s">
        <v>3540</v>
      </c>
      <c r="D1567" s="8">
        <v>609</v>
      </c>
      <c r="E1567" s="24">
        <v>0.26272577047348</v>
      </c>
      <c r="F1567" s="24">
        <v>0.737274229526519</v>
      </c>
      <c r="G1567" s="23">
        <v>0</v>
      </c>
      <c r="H1567" s="24">
        <v>0.17077176272869099</v>
      </c>
      <c r="I1567" s="24">
        <v>0.27093595266342102</v>
      </c>
      <c r="J1567" s="24">
        <v>0.44170773029327298</v>
      </c>
      <c r="K1567" s="23">
        <v>1.14942528307438E-2</v>
      </c>
      <c r="L1567" s="23">
        <v>2.95566506683826E-2</v>
      </c>
      <c r="M1567" s="23">
        <v>7.5533658266067505E-2</v>
      </c>
      <c r="N1567" s="23">
        <v>0</v>
      </c>
      <c r="O1567" s="24">
        <v>0.99507391452789296</v>
      </c>
      <c r="P1567" s="24">
        <v>0.28899836540222101</v>
      </c>
      <c r="Q1567" s="24">
        <v>0.862068951129913</v>
      </c>
      <c r="R1567" s="25">
        <v>0.97536945812807885</v>
      </c>
      <c r="S1567" s="25">
        <v>6.5681444991789817E-3</v>
      </c>
      <c r="T1567" s="25">
        <v>1.4778325123152709E-2</v>
      </c>
    </row>
    <row r="1568" spans="1:20" x14ac:dyDescent="0.25">
      <c r="A1568" s="8" t="s">
        <v>3237</v>
      </c>
      <c r="B1568" s="8" t="s">
        <v>3238</v>
      </c>
      <c r="C1568" s="8" t="s">
        <v>3540</v>
      </c>
      <c r="D1568" s="8">
        <v>642</v>
      </c>
      <c r="E1568" s="24">
        <v>0.235202491283416</v>
      </c>
      <c r="F1568" s="24">
        <v>0.76479750871658303</v>
      </c>
      <c r="G1568" s="23">
        <v>0</v>
      </c>
      <c r="H1568" s="24">
        <v>0.25077882409095698</v>
      </c>
      <c r="I1568" s="24">
        <v>0.285046726465225</v>
      </c>
      <c r="J1568" s="24">
        <v>0.26012462377548201</v>
      </c>
      <c r="K1568" s="23">
        <v>1.40186911448836E-2</v>
      </c>
      <c r="L1568" s="23">
        <v>2.95950155705214E-2</v>
      </c>
      <c r="M1568" s="23">
        <v>0.16043613851070401</v>
      </c>
      <c r="N1568" s="23">
        <v>0</v>
      </c>
      <c r="O1568" s="24">
        <v>0.99844235181808405</v>
      </c>
      <c r="P1568" s="24">
        <v>0.26635512709617598</v>
      </c>
      <c r="Q1568" s="24">
        <v>0.88006228208541804</v>
      </c>
      <c r="R1568" s="25">
        <v>0.90031152647975077</v>
      </c>
      <c r="S1568" s="25">
        <v>3.8940809968847349E-2</v>
      </c>
      <c r="T1568" s="25">
        <v>3.7383177570093455E-2</v>
      </c>
    </row>
    <row r="1569" spans="1:20" x14ac:dyDescent="0.25">
      <c r="A1569" s="8" t="s">
        <v>3239</v>
      </c>
      <c r="B1569" s="8" t="s">
        <v>3240</v>
      </c>
      <c r="C1569" s="8" t="s">
        <v>3540</v>
      </c>
      <c r="D1569" s="8">
        <v>439</v>
      </c>
      <c r="E1569" s="24">
        <v>0.28929385542869501</v>
      </c>
      <c r="F1569" s="24">
        <v>0.71070617437362604</v>
      </c>
      <c r="G1569" s="23">
        <v>0</v>
      </c>
      <c r="H1569" s="24">
        <v>0.293849647045135</v>
      </c>
      <c r="I1569" s="24">
        <v>0.15489749610424</v>
      </c>
      <c r="J1569" s="24">
        <v>0.39407745003700201</v>
      </c>
      <c r="K1569" s="23">
        <v>1.36674260720611E-2</v>
      </c>
      <c r="L1569" s="23">
        <v>6.8337127566337599E-2</v>
      </c>
      <c r="M1569" s="23">
        <v>7.5170844793319702E-2</v>
      </c>
      <c r="N1569" s="23">
        <v>0</v>
      </c>
      <c r="O1569" s="24">
        <v>0.99772208929061801</v>
      </c>
      <c r="P1569" s="24">
        <v>0.27334851026535001</v>
      </c>
      <c r="Q1569" s="24">
        <v>0.78359907865524203</v>
      </c>
      <c r="R1569" s="25">
        <v>0.51936218678815493</v>
      </c>
      <c r="S1569" s="25">
        <v>0.38496583143507973</v>
      </c>
      <c r="T1569" s="25">
        <v>3.1890660592255128E-2</v>
      </c>
    </row>
    <row r="1570" spans="1:20" x14ac:dyDescent="0.25">
      <c r="A1570" s="8" t="s">
        <v>3241</v>
      </c>
      <c r="B1570" s="8" t="s">
        <v>3242</v>
      </c>
      <c r="C1570" s="8" t="s">
        <v>3540</v>
      </c>
      <c r="D1570" s="8">
        <v>544</v>
      </c>
      <c r="E1570" s="24">
        <v>0.25919118523597701</v>
      </c>
      <c r="F1570" s="24">
        <v>0.74080884456634499</v>
      </c>
      <c r="G1570" s="23">
        <v>0</v>
      </c>
      <c r="H1570" s="24">
        <v>0.176470592617988</v>
      </c>
      <c r="I1570" s="24">
        <v>0.31801471114158603</v>
      </c>
      <c r="J1570" s="24">
        <v>0.34558823704719499</v>
      </c>
      <c r="K1570" s="23">
        <v>5.5147060193121E-3</v>
      </c>
      <c r="L1570" s="23">
        <v>3.125E-2</v>
      </c>
      <c r="M1570" s="24">
        <v>0.123161762952804</v>
      </c>
      <c r="N1570" s="23">
        <v>0</v>
      </c>
      <c r="O1570" s="23">
        <v>1</v>
      </c>
      <c r="P1570" s="24">
        <v>0.292279422283172</v>
      </c>
      <c r="Q1570" s="23">
        <v>0.87316179275512695</v>
      </c>
      <c r="R1570" s="25">
        <v>0.49910554561717352</v>
      </c>
      <c r="S1570" s="25">
        <v>0.46511627906976744</v>
      </c>
      <c r="T1570" s="25">
        <v>3.5778175313059032E-2</v>
      </c>
    </row>
    <row r="1571" spans="1:20" x14ac:dyDescent="0.25">
      <c r="A1571" s="8" t="s">
        <v>3243</v>
      </c>
      <c r="B1571" s="8" t="s">
        <v>3244</v>
      </c>
      <c r="C1571" s="8" t="s">
        <v>3540</v>
      </c>
      <c r="D1571" s="8">
        <v>579</v>
      </c>
      <c r="E1571" s="24">
        <v>0.20034542679786599</v>
      </c>
      <c r="F1571" s="24">
        <v>0.79965460300445501</v>
      </c>
      <c r="G1571" s="23">
        <v>0</v>
      </c>
      <c r="H1571" s="24">
        <v>0.25561311841010997</v>
      </c>
      <c r="I1571" s="24">
        <v>0.10017271339893299</v>
      </c>
      <c r="J1571" s="24">
        <v>0.390328139066696</v>
      </c>
      <c r="K1571" s="23">
        <v>8.8082902133464799E-2</v>
      </c>
      <c r="L1571" s="23">
        <v>1.55440410599113E-2</v>
      </c>
      <c r="M1571" s="24">
        <v>0.14335060119628901</v>
      </c>
      <c r="N1571" s="23">
        <v>6.9084628485143003E-3</v>
      </c>
      <c r="O1571" s="24">
        <v>0.99827289581298795</v>
      </c>
      <c r="P1571" s="23">
        <v>0.39378237724304199</v>
      </c>
      <c r="Q1571" s="23">
        <v>0.87219345569610596</v>
      </c>
      <c r="R1571" s="25">
        <v>0.96302521008403363</v>
      </c>
      <c r="S1571" s="25">
        <v>8.4033613445378148E-3</v>
      </c>
      <c r="T1571" s="25">
        <v>2.8571428571428571E-2</v>
      </c>
    </row>
    <row r="1572" spans="1:20" x14ac:dyDescent="0.25">
      <c r="A1572" s="8" t="s">
        <v>3245</v>
      </c>
      <c r="B1572" s="8" t="s">
        <v>3246</v>
      </c>
      <c r="C1572" s="8" t="s">
        <v>3540</v>
      </c>
      <c r="D1572" s="8">
        <v>588</v>
      </c>
      <c r="E1572" s="23">
        <v>0.25</v>
      </c>
      <c r="F1572" s="23">
        <v>0.75</v>
      </c>
      <c r="G1572" s="23">
        <v>0</v>
      </c>
      <c r="H1572" s="23">
        <v>5.7823128998279599E-2</v>
      </c>
      <c r="I1572" s="24">
        <v>0.489795923233032</v>
      </c>
      <c r="J1572" s="24">
        <v>0.32653060555458002</v>
      </c>
      <c r="K1572" s="23">
        <v>1.53061226010323E-2</v>
      </c>
      <c r="L1572" s="23">
        <v>1.8707482144236599E-2</v>
      </c>
      <c r="M1572" s="23">
        <v>9.1836735606193501E-2</v>
      </c>
      <c r="N1572" s="23">
        <v>0</v>
      </c>
      <c r="O1572" s="24">
        <v>0.89965987205505304</v>
      </c>
      <c r="P1572" s="24">
        <v>0.15306122601032199</v>
      </c>
      <c r="Q1572" s="24">
        <v>0.88265305757522505</v>
      </c>
      <c r="R1572" s="25">
        <v>0.64965986394557829</v>
      </c>
      <c r="S1572" s="25">
        <v>0.17517006802721088</v>
      </c>
      <c r="T1572" s="25">
        <v>5.1020408163265307E-2</v>
      </c>
    </row>
    <row r="1573" spans="1:20" x14ac:dyDescent="0.25">
      <c r="A1573" s="8" t="s">
        <v>3247</v>
      </c>
      <c r="B1573" s="8" t="s">
        <v>3248</v>
      </c>
      <c r="C1573" s="8" t="s">
        <v>3540</v>
      </c>
      <c r="D1573" s="8">
        <v>847</v>
      </c>
      <c r="E1573" s="24">
        <v>0.242030695080757</v>
      </c>
      <c r="F1573" s="24">
        <v>0.75796931982040405</v>
      </c>
      <c r="G1573" s="23">
        <v>0</v>
      </c>
      <c r="H1573" s="24">
        <v>0.21015349030494601</v>
      </c>
      <c r="I1573" s="24">
        <v>0.120425030589103</v>
      </c>
      <c r="J1573" s="24">
        <v>0.52066117525100697</v>
      </c>
      <c r="K1573" s="23">
        <v>8.2644624635576994E-3</v>
      </c>
      <c r="L1573" s="23">
        <v>8.2644624635576994E-3</v>
      </c>
      <c r="M1573" s="24">
        <v>0.131050765514373</v>
      </c>
      <c r="N1573" s="23">
        <v>1.1806375114246999E-3</v>
      </c>
      <c r="O1573" s="23">
        <v>0.99527746438980103</v>
      </c>
      <c r="P1573" s="24">
        <v>0.39669421315193099</v>
      </c>
      <c r="Q1573" s="24">
        <v>0.85478156805038397</v>
      </c>
      <c r="R1573" s="25">
        <v>0.54899645808736719</v>
      </c>
      <c r="S1573" s="25">
        <v>0.34592680047225499</v>
      </c>
      <c r="T1573" s="25">
        <v>0.1038961038961039</v>
      </c>
    </row>
    <row r="1574" spans="1:20" x14ac:dyDescent="0.25">
      <c r="A1574" s="8" t="s">
        <v>3249</v>
      </c>
      <c r="B1574" s="8" t="s">
        <v>3250</v>
      </c>
      <c r="C1574" s="8" t="s">
        <v>3540</v>
      </c>
      <c r="D1574" s="8">
        <v>552</v>
      </c>
      <c r="E1574" s="24">
        <v>0.307971000671386</v>
      </c>
      <c r="F1574" s="24">
        <v>0.69202899932861295</v>
      </c>
      <c r="G1574" s="23">
        <v>0</v>
      </c>
      <c r="H1574" s="24">
        <v>0.182971015572547</v>
      </c>
      <c r="I1574" s="24">
        <v>0.152173906564712</v>
      </c>
      <c r="J1574" s="24">
        <v>0.48369565606117199</v>
      </c>
      <c r="K1574" s="23">
        <v>9.0579707175492997E-3</v>
      </c>
      <c r="L1574" s="23">
        <v>2.5362318381667099E-2</v>
      </c>
      <c r="M1574" s="23">
        <v>0.14673912525176999</v>
      </c>
      <c r="N1574" s="23">
        <v>0</v>
      </c>
      <c r="O1574" s="23">
        <v>1</v>
      </c>
      <c r="P1574" s="24">
        <v>0.44384059309959401</v>
      </c>
      <c r="Q1574" s="24">
        <v>0.92572462558746305</v>
      </c>
      <c r="R1574" s="25">
        <v>0.76449275362318836</v>
      </c>
      <c r="S1574" s="25">
        <v>0.16485507246376813</v>
      </c>
      <c r="T1574" s="25">
        <v>5.6159420289855072E-2</v>
      </c>
    </row>
    <row r="1575" spans="1:20" x14ac:dyDescent="0.25">
      <c r="A1575" s="8" t="s">
        <v>3251</v>
      </c>
      <c r="B1575" s="8" t="s">
        <v>3252</v>
      </c>
      <c r="C1575" s="8" t="s">
        <v>3540</v>
      </c>
      <c r="D1575" s="8">
        <v>509</v>
      </c>
      <c r="E1575" s="24">
        <v>0.26719057559967002</v>
      </c>
      <c r="F1575" s="24">
        <v>0.73280942440032903</v>
      </c>
      <c r="G1575" s="23">
        <v>0</v>
      </c>
      <c r="H1575" s="23">
        <v>0.15913556516170499</v>
      </c>
      <c r="I1575" s="24">
        <v>0.34381139278411799</v>
      </c>
      <c r="J1575" s="24">
        <v>0.36738702654838501</v>
      </c>
      <c r="K1575" s="23">
        <v>1.5717092901468301E-2</v>
      </c>
      <c r="L1575" s="23">
        <v>1.1787819676101201E-2</v>
      </c>
      <c r="M1575" s="24">
        <v>0.102161101996898</v>
      </c>
      <c r="N1575" s="23">
        <v>0</v>
      </c>
      <c r="O1575" s="23">
        <v>0.99017679691314697</v>
      </c>
      <c r="P1575" s="23">
        <v>0.29273083806037897</v>
      </c>
      <c r="Q1575" s="24">
        <v>0.907662093639373</v>
      </c>
      <c r="R1575" s="25">
        <v>0.40667976424361491</v>
      </c>
      <c r="S1575" s="25">
        <v>0.54420432220039294</v>
      </c>
      <c r="T1575" s="25">
        <v>4.1257367387033402E-2</v>
      </c>
    </row>
    <row r="1576" spans="1:20" x14ac:dyDescent="0.25">
      <c r="A1576" s="8" t="s">
        <v>3254</v>
      </c>
      <c r="B1576" s="8" t="s">
        <v>3255</v>
      </c>
      <c r="C1576" s="8" t="s">
        <v>3540</v>
      </c>
      <c r="D1576" s="8">
        <v>563</v>
      </c>
      <c r="E1576" s="24">
        <v>0.27886322140693598</v>
      </c>
      <c r="F1576" s="23">
        <v>0.72113674879074097</v>
      </c>
      <c r="G1576" s="23">
        <v>0</v>
      </c>
      <c r="H1576" s="24">
        <v>0.24866785109043099</v>
      </c>
      <c r="I1576" s="24">
        <v>0.32859680056571899</v>
      </c>
      <c r="J1576" s="24">
        <v>0.26287743449211098</v>
      </c>
      <c r="K1576" s="23">
        <v>1.59857906401157E-2</v>
      </c>
      <c r="L1576" s="23">
        <v>4.79573719203472E-2</v>
      </c>
      <c r="M1576" s="23">
        <v>9.59147438406944E-2</v>
      </c>
      <c r="N1576" s="23">
        <v>0</v>
      </c>
      <c r="O1576" s="23">
        <v>1</v>
      </c>
      <c r="P1576" s="24">
        <v>0.24511545896530099</v>
      </c>
      <c r="Q1576" s="24">
        <v>0.85435169935226396</v>
      </c>
      <c r="R1576" s="25">
        <v>0.91119005328596803</v>
      </c>
      <c r="S1576" s="25">
        <v>1.5985790408525755E-2</v>
      </c>
      <c r="T1576" s="25">
        <v>6.216696269982238E-2</v>
      </c>
    </row>
    <row r="1577" spans="1:20" x14ac:dyDescent="0.25">
      <c r="A1577" s="8" t="s">
        <v>3256</v>
      </c>
      <c r="B1577" s="8" t="s">
        <v>3257</v>
      </c>
      <c r="C1577" s="8" t="s">
        <v>3540</v>
      </c>
      <c r="D1577" s="8">
        <v>663</v>
      </c>
      <c r="E1577" s="23">
        <v>0.288084477186203</v>
      </c>
      <c r="F1577" s="24">
        <v>0.71191555261611905</v>
      </c>
      <c r="G1577" s="23">
        <v>0</v>
      </c>
      <c r="H1577" s="24">
        <v>0.25490197539329501</v>
      </c>
      <c r="I1577" s="24">
        <v>0.158371046185493</v>
      </c>
      <c r="J1577" s="24">
        <v>0.34992459416389399</v>
      </c>
      <c r="K1577" s="23">
        <v>6.0331826098263003E-3</v>
      </c>
      <c r="L1577" s="23">
        <v>2.8657617047429099E-2</v>
      </c>
      <c r="M1577" s="23">
        <v>0.20211161673069</v>
      </c>
      <c r="N1577" s="23">
        <v>0</v>
      </c>
      <c r="O1577" s="24">
        <v>0.99698340892791704</v>
      </c>
      <c r="P1577" s="24">
        <v>0.38461539149284302</v>
      </c>
      <c r="Q1577" s="23">
        <v>0.84917044639587402</v>
      </c>
      <c r="R1577" s="25">
        <v>0.49062049062049062</v>
      </c>
      <c r="S1577" s="25">
        <v>0.45021645021645024</v>
      </c>
      <c r="T1577" s="25">
        <v>5.916305916305916E-2</v>
      </c>
    </row>
    <row r="1578" spans="1:20" x14ac:dyDescent="0.25">
      <c r="A1578" s="8" t="s">
        <v>3258</v>
      </c>
      <c r="B1578" s="8" t="s">
        <v>3259</v>
      </c>
      <c r="C1578" s="8" t="s">
        <v>3540</v>
      </c>
      <c r="D1578" s="8">
        <v>589</v>
      </c>
      <c r="E1578" s="23">
        <v>0.29371815919876099</v>
      </c>
      <c r="F1578" s="24">
        <v>0.70458406209945601</v>
      </c>
      <c r="G1578" s="23">
        <v>1.6977929044515001E-3</v>
      </c>
      <c r="H1578" s="23">
        <v>5.26315793395042E-2</v>
      </c>
      <c r="I1578" s="24">
        <v>0.322580635547637</v>
      </c>
      <c r="J1578" s="24">
        <v>0.349745333194732</v>
      </c>
      <c r="K1578" s="23">
        <v>2.8862478211522099E-2</v>
      </c>
      <c r="L1578" s="23">
        <v>3.3955858089030001E-3</v>
      </c>
      <c r="M1578" s="24">
        <v>0.24278438091278001</v>
      </c>
      <c r="N1578" s="23">
        <v>0</v>
      </c>
      <c r="O1578" s="24">
        <v>0.99660444259643499</v>
      </c>
      <c r="P1578" s="23">
        <v>5.6027166545391097E-2</v>
      </c>
      <c r="Q1578" s="24">
        <v>0.89473682641982999</v>
      </c>
      <c r="R1578" s="25">
        <v>8.5427135678391955E-2</v>
      </c>
      <c r="S1578" s="25">
        <v>0.79229480737018421</v>
      </c>
      <c r="T1578" s="25">
        <v>0.12227805695142378</v>
      </c>
    </row>
    <row r="1579" spans="1:20" x14ac:dyDescent="0.25">
      <c r="A1579" s="8" t="s">
        <v>3260</v>
      </c>
      <c r="B1579" s="8" t="s">
        <v>3261</v>
      </c>
      <c r="C1579" s="8" t="s">
        <v>3540</v>
      </c>
      <c r="D1579" s="8">
        <v>562</v>
      </c>
      <c r="E1579" s="24">
        <v>0.293594300746917</v>
      </c>
      <c r="F1579" s="24">
        <v>0.70640569925308205</v>
      </c>
      <c r="G1579" s="23">
        <v>0</v>
      </c>
      <c r="H1579" s="24">
        <v>0.13523131608962999</v>
      </c>
      <c r="I1579" s="24">
        <v>0.104982204735279</v>
      </c>
      <c r="J1579" s="24">
        <v>0.243772238492965</v>
      </c>
      <c r="K1579" s="23">
        <v>2.31316722929478E-2</v>
      </c>
      <c r="L1579" s="23">
        <v>5.3380783647299004E-3</v>
      </c>
      <c r="M1579" s="24">
        <v>0.48754447698593101</v>
      </c>
      <c r="N1579" s="23">
        <v>0</v>
      </c>
      <c r="O1579" s="23">
        <v>1</v>
      </c>
      <c r="P1579" s="24">
        <v>0.160142347216606</v>
      </c>
      <c r="Q1579" s="24">
        <v>0.82918149232864302</v>
      </c>
      <c r="R1579" s="25">
        <v>0.40391459074733094</v>
      </c>
      <c r="S1579" s="25">
        <v>0.45195729537366547</v>
      </c>
      <c r="T1579" s="25">
        <v>6.0498220640569395E-2</v>
      </c>
    </row>
    <row r="1580" spans="1:20" x14ac:dyDescent="0.25">
      <c r="A1580" s="8" t="s">
        <v>3264</v>
      </c>
      <c r="B1580" s="8" t="s">
        <v>3265</v>
      </c>
      <c r="C1580" s="8" t="s">
        <v>3540</v>
      </c>
      <c r="D1580" s="8">
        <v>733</v>
      </c>
      <c r="E1580" s="24">
        <v>0.24965894222259499</v>
      </c>
      <c r="F1580" s="24">
        <v>0.75034105777740401</v>
      </c>
      <c r="G1580" s="23">
        <v>0</v>
      </c>
      <c r="H1580" s="24">
        <v>0.154160976409912</v>
      </c>
      <c r="I1580" s="24">
        <v>0.25375169515609702</v>
      </c>
      <c r="J1580" s="24">
        <v>0.34242838621139499</v>
      </c>
      <c r="K1580" s="23">
        <v>3.68349254131317E-2</v>
      </c>
      <c r="L1580" s="23">
        <v>8.1855384632944991E-3</v>
      </c>
      <c r="M1580" s="24">
        <v>0.204638466238975</v>
      </c>
      <c r="N1580" s="23">
        <v>0</v>
      </c>
      <c r="O1580" s="24">
        <v>0.99863576889037997</v>
      </c>
      <c r="P1580" s="24">
        <v>0.17735333740711201</v>
      </c>
      <c r="Q1580" s="24">
        <v>0.86357432603836004</v>
      </c>
      <c r="R1580" s="25">
        <v>0.63028649386084579</v>
      </c>
      <c r="S1580" s="25">
        <v>0.33833560709413368</v>
      </c>
      <c r="T1580" s="25">
        <v>3.1377899045020467E-2</v>
      </c>
    </row>
    <row r="1581" spans="1:20" x14ac:dyDescent="0.25">
      <c r="A1581" s="8" t="s">
        <v>3266</v>
      </c>
      <c r="B1581" s="8" t="s">
        <v>3267</v>
      </c>
      <c r="C1581" s="8" t="s">
        <v>3540</v>
      </c>
      <c r="D1581" s="8">
        <v>538</v>
      </c>
      <c r="E1581" s="24">
        <v>0.32527881860732999</v>
      </c>
      <c r="F1581" s="24">
        <v>0.67472118139266901</v>
      </c>
      <c r="G1581" s="23">
        <v>0</v>
      </c>
      <c r="H1581" s="23">
        <v>9.4795539975166307E-2</v>
      </c>
      <c r="I1581" s="24">
        <v>0.15985129773616699</v>
      </c>
      <c r="J1581" s="24">
        <v>0.37918215990066501</v>
      </c>
      <c r="K1581" s="23">
        <v>3.1598512083292001E-2</v>
      </c>
      <c r="L1581" s="23">
        <v>3.7174720782786998E-3</v>
      </c>
      <c r="M1581" s="24">
        <v>0.330855011940002</v>
      </c>
      <c r="N1581" s="23">
        <v>0</v>
      </c>
      <c r="O1581" s="24">
        <v>0.996282517910003</v>
      </c>
      <c r="P1581" s="24">
        <v>0.206319704651832</v>
      </c>
      <c r="Q1581" s="24">
        <v>0.914498150348663</v>
      </c>
      <c r="R1581" s="25">
        <v>0.63940520446096649</v>
      </c>
      <c r="S1581" s="25">
        <v>0.27137546468401486</v>
      </c>
      <c r="T1581" s="25">
        <v>7.434944237918216E-2</v>
      </c>
    </row>
    <row r="1582" spans="1:20" x14ac:dyDescent="0.25">
      <c r="A1582" s="8" t="s">
        <v>3268</v>
      </c>
      <c r="B1582" s="8" t="s">
        <v>3269</v>
      </c>
      <c r="C1582" s="8" t="s">
        <v>3540</v>
      </c>
      <c r="D1582" s="8">
        <v>602</v>
      </c>
      <c r="E1582" s="24">
        <v>0.28571429848670898</v>
      </c>
      <c r="F1582" s="24">
        <v>0.71428573131561202</v>
      </c>
      <c r="G1582" s="23">
        <v>0</v>
      </c>
      <c r="H1582" s="23">
        <v>6.3122920691966997E-2</v>
      </c>
      <c r="I1582" s="24">
        <v>0.27242523431777899</v>
      </c>
      <c r="J1582" s="24">
        <v>0.61295682191848699</v>
      </c>
      <c r="K1582" s="23">
        <v>1.49501664564013E-2</v>
      </c>
      <c r="L1582" s="23">
        <v>9.9667776376009005E-3</v>
      </c>
      <c r="M1582" s="23">
        <v>2.6578072458505599E-2</v>
      </c>
      <c r="N1582" s="23">
        <v>0</v>
      </c>
      <c r="O1582" s="24">
        <v>0.99667775630950906</v>
      </c>
      <c r="P1582" s="24">
        <v>0.28405314683914101</v>
      </c>
      <c r="Q1582" s="23">
        <v>0.93521595001220703</v>
      </c>
      <c r="R1582" s="25">
        <v>0.93924466338259438</v>
      </c>
      <c r="S1582" s="25">
        <v>3.2840722495894909E-3</v>
      </c>
      <c r="T1582" s="25">
        <v>5.7471264367816091E-2</v>
      </c>
    </row>
    <row r="1583" spans="1:20" x14ac:dyDescent="0.25">
      <c r="A1583" s="8" t="s">
        <v>3270</v>
      </c>
      <c r="B1583" s="8" t="s">
        <v>3271</v>
      </c>
      <c r="C1583" s="8" t="s">
        <v>3540</v>
      </c>
      <c r="D1583" s="8">
        <v>297</v>
      </c>
      <c r="E1583" s="24">
        <v>0.23232322931289601</v>
      </c>
      <c r="F1583" s="24">
        <v>0.76767677068710305</v>
      </c>
      <c r="G1583" s="23">
        <v>0</v>
      </c>
      <c r="H1583" s="23">
        <v>6.0606062412261998E-2</v>
      </c>
      <c r="I1583" s="24">
        <v>0.31986531615257202</v>
      </c>
      <c r="J1583" s="24">
        <v>0.52525252103805498</v>
      </c>
      <c r="K1583" s="23">
        <v>1.68350171297789E-2</v>
      </c>
      <c r="L1583" s="23">
        <v>3.0303031206130999E-2</v>
      </c>
      <c r="M1583" s="23">
        <v>4.7138046473264701E-2</v>
      </c>
      <c r="N1583" s="23">
        <v>0</v>
      </c>
      <c r="O1583" s="23">
        <v>1</v>
      </c>
      <c r="P1583" s="24">
        <v>0.27946126461028997</v>
      </c>
      <c r="Q1583" s="24">
        <v>0.95959597826003995</v>
      </c>
      <c r="R1583" s="25">
        <v>0.97979797979797978</v>
      </c>
      <c r="S1583" s="25">
        <v>3.3670033670033669E-3</v>
      </c>
      <c r="T1583" s="25">
        <v>0</v>
      </c>
    </row>
    <row r="1584" spans="1:20" x14ac:dyDescent="0.25">
      <c r="A1584" s="8" t="s">
        <v>3273</v>
      </c>
      <c r="B1584" s="8" t="s">
        <v>3274</v>
      </c>
      <c r="C1584" s="8" t="s">
        <v>3540</v>
      </c>
      <c r="D1584" s="8">
        <v>732</v>
      </c>
      <c r="E1584" s="23">
        <v>0.202185794711113</v>
      </c>
      <c r="F1584" s="24">
        <v>0.79781419038772505</v>
      </c>
      <c r="G1584" s="23">
        <v>0</v>
      </c>
      <c r="H1584" s="23">
        <v>3.0054645612835901E-2</v>
      </c>
      <c r="I1584" s="23">
        <v>0.34562841057777399</v>
      </c>
      <c r="J1584" s="24">
        <v>0.58606559038162198</v>
      </c>
      <c r="K1584" s="23">
        <v>5.4644807241857E-3</v>
      </c>
      <c r="L1584" s="23">
        <v>1.09289614483714E-2</v>
      </c>
      <c r="M1584" s="23">
        <v>2.18579228967428E-2</v>
      </c>
      <c r="N1584" s="23">
        <v>0</v>
      </c>
      <c r="O1584" s="23">
        <v>0.99863386154174805</v>
      </c>
      <c r="P1584" s="24">
        <v>0.18852458894252699</v>
      </c>
      <c r="Q1584" s="24">
        <v>0.93579232692718495</v>
      </c>
      <c r="R1584" s="25">
        <v>0.33697135061391542</v>
      </c>
      <c r="S1584" s="25">
        <v>0.58935879945429737</v>
      </c>
      <c r="T1584" s="25">
        <v>7.3669849931787171E-2</v>
      </c>
    </row>
    <row r="1585" spans="1:20" x14ac:dyDescent="0.25">
      <c r="A1585" s="8" t="s">
        <v>3275</v>
      </c>
      <c r="B1585" s="8" t="s">
        <v>3276</v>
      </c>
      <c r="C1585" s="8" t="s">
        <v>3540</v>
      </c>
      <c r="D1585" s="8">
        <v>606</v>
      </c>
      <c r="E1585" s="24">
        <v>0.25907590985298101</v>
      </c>
      <c r="F1585" s="24">
        <v>0.74092411994934004</v>
      </c>
      <c r="G1585" s="23">
        <v>0</v>
      </c>
      <c r="H1585" s="23">
        <v>6.4356438815593706E-2</v>
      </c>
      <c r="I1585" s="24">
        <v>0.323432356119155</v>
      </c>
      <c r="J1585" s="24">
        <v>0.58415842056274403</v>
      </c>
      <c r="K1585" s="23">
        <v>4.9504949711262998E-3</v>
      </c>
      <c r="L1585" s="23">
        <v>1.6501650679857001E-3</v>
      </c>
      <c r="M1585" s="23">
        <v>2.1452145650982898E-2</v>
      </c>
      <c r="N1585" s="23">
        <v>0</v>
      </c>
      <c r="O1585" s="24">
        <v>0.99834984540939298</v>
      </c>
      <c r="P1585" s="24">
        <v>0.28052803874015803</v>
      </c>
      <c r="Q1585" s="24">
        <v>0.93729370832443204</v>
      </c>
      <c r="R1585" s="25">
        <v>0.96618357487922701</v>
      </c>
      <c r="S1585" s="25">
        <v>1.2882447665056361E-2</v>
      </c>
      <c r="T1585" s="25">
        <v>2.0933977455716585E-2</v>
      </c>
    </row>
    <row r="1586" spans="1:20" x14ac:dyDescent="0.25">
      <c r="A1586" s="8" t="s">
        <v>3277</v>
      </c>
      <c r="B1586" s="8" t="s">
        <v>3278</v>
      </c>
      <c r="C1586" s="8" t="s">
        <v>3540</v>
      </c>
      <c r="D1586" s="8">
        <v>623</v>
      </c>
      <c r="E1586" s="24">
        <v>0.22792936861515001</v>
      </c>
      <c r="F1586" s="24">
        <v>0.77207064628600997</v>
      </c>
      <c r="G1586" s="23">
        <v>0</v>
      </c>
      <c r="H1586" s="23">
        <v>4.0128409862518297E-2</v>
      </c>
      <c r="I1586" s="24">
        <v>0.37399679422378501</v>
      </c>
      <c r="J1586" s="24">
        <v>0.52648472785949696</v>
      </c>
      <c r="K1586" s="23">
        <v>4.8154094256460996E-3</v>
      </c>
      <c r="L1586" s="23">
        <v>6.4205457456410001E-3</v>
      </c>
      <c r="M1586" s="23">
        <v>4.8154093325138099E-2</v>
      </c>
      <c r="N1586" s="23">
        <v>0</v>
      </c>
      <c r="O1586" s="23">
        <v>1</v>
      </c>
      <c r="P1586" s="24">
        <v>0.147672548890113</v>
      </c>
      <c r="Q1586" s="24">
        <v>0.91653293371200495</v>
      </c>
      <c r="R1586" s="25">
        <v>0.18940609951845908</v>
      </c>
      <c r="S1586" s="25">
        <v>0.7014446227929374</v>
      </c>
      <c r="T1586" s="25">
        <v>8.8282504012841087E-2</v>
      </c>
    </row>
    <row r="1587" spans="1:20" x14ac:dyDescent="0.25">
      <c r="A1587" s="8" t="s">
        <v>3279</v>
      </c>
      <c r="B1587" s="8" t="s">
        <v>3280</v>
      </c>
      <c r="C1587" s="8" t="s">
        <v>3540</v>
      </c>
      <c r="D1587" s="8">
        <v>734</v>
      </c>
      <c r="E1587" s="24">
        <v>0.27520436048507602</v>
      </c>
      <c r="F1587" s="24">
        <v>0.72479563951492298</v>
      </c>
      <c r="G1587" s="23">
        <v>0</v>
      </c>
      <c r="H1587" s="23">
        <v>4.3596729636192301E-2</v>
      </c>
      <c r="I1587" s="24">
        <v>0.33923706412315302</v>
      </c>
      <c r="J1587" s="24">
        <v>0.57220709323883001</v>
      </c>
      <c r="K1587" s="23">
        <v>1.22615806758404E-2</v>
      </c>
      <c r="L1587" s="23">
        <v>6.8119890056550997E-3</v>
      </c>
      <c r="M1587" s="23">
        <v>2.58855577558279E-2</v>
      </c>
      <c r="N1587" s="23">
        <v>0</v>
      </c>
      <c r="O1587" s="24">
        <v>0.99455040693283003</v>
      </c>
      <c r="P1587" s="23">
        <v>0.33242505788803101</v>
      </c>
      <c r="Q1587" s="23">
        <v>0.96866482496261597</v>
      </c>
      <c r="R1587" s="25">
        <v>0.55789473684210522</v>
      </c>
      <c r="S1587" s="25">
        <v>0.39473684210526316</v>
      </c>
      <c r="T1587" s="25">
        <v>4.736842105263158E-2</v>
      </c>
    </row>
    <row r="1588" spans="1:20" x14ac:dyDescent="0.25">
      <c r="A1588" s="8" t="s">
        <v>3281</v>
      </c>
      <c r="B1588" s="8" t="s">
        <v>3282</v>
      </c>
      <c r="C1588" s="8" t="s">
        <v>3540</v>
      </c>
      <c r="D1588" s="8">
        <v>496</v>
      </c>
      <c r="E1588" s="24">
        <v>0.24395161867141699</v>
      </c>
      <c r="F1588" s="24">
        <v>0.75604838132858199</v>
      </c>
      <c r="G1588" s="23">
        <v>0</v>
      </c>
      <c r="H1588" s="23">
        <v>4.0322579443454701E-2</v>
      </c>
      <c r="I1588" s="23">
        <v>0.34879031777381903</v>
      </c>
      <c r="J1588" s="24">
        <v>0.57459676265716497</v>
      </c>
      <c r="K1588" s="23">
        <v>0</v>
      </c>
      <c r="L1588" s="23">
        <v>6.0483869165182001E-3</v>
      </c>
      <c r="M1588" s="23">
        <v>3.0241934582591098E-2</v>
      </c>
      <c r="N1588" s="23">
        <v>0</v>
      </c>
      <c r="O1588" s="23">
        <v>1</v>
      </c>
      <c r="P1588" s="24">
        <v>0.27016130089759799</v>
      </c>
      <c r="Q1588" s="24">
        <v>0.95766127109527499</v>
      </c>
      <c r="R1588" s="25">
        <v>0.87903225806451613</v>
      </c>
      <c r="S1588" s="25">
        <v>8.0645161290322578E-3</v>
      </c>
      <c r="T1588" s="25">
        <v>4.8387096774193547E-2</v>
      </c>
    </row>
    <row r="1589" spans="1:20" x14ac:dyDescent="0.25">
      <c r="A1589" s="8" t="s">
        <v>3283</v>
      </c>
      <c r="B1589" s="8" t="s">
        <v>3284</v>
      </c>
      <c r="C1589" s="8" t="s">
        <v>3540</v>
      </c>
      <c r="D1589" s="8">
        <v>541</v>
      </c>
      <c r="E1589" s="24">
        <v>0.23475046455860099</v>
      </c>
      <c r="F1589" s="24">
        <v>0.76524955034255904</v>
      </c>
      <c r="G1589" s="23">
        <v>0</v>
      </c>
      <c r="H1589" s="23">
        <v>2.7726432308554601E-2</v>
      </c>
      <c r="I1589" s="24">
        <v>0.260628461837768</v>
      </c>
      <c r="J1589" s="24">
        <v>0.61552679538726796</v>
      </c>
      <c r="K1589" s="23">
        <v>5.5452864617109004E-3</v>
      </c>
      <c r="L1589" s="23">
        <v>2.03327164053917E-2</v>
      </c>
      <c r="M1589" s="23">
        <v>7.0240296423435197E-2</v>
      </c>
      <c r="N1589" s="23">
        <v>0</v>
      </c>
      <c r="O1589" s="24">
        <v>0.99815160036087003</v>
      </c>
      <c r="P1589" s="24">
        <v>0.144177451729774</v>
      </c>
      <c r="Q1589" s="24">
        <v>0.93900185823440496</v>
      </c>
      <c r="R1589" s="25">
        <v>0.98713235294117652</v>
      </c>
      <c r="S1589" s="25">
        <v>1.1029411764705883E-2</v>
      </c>
      <c r="T1589" s="25">
        <v>1.838235294117647E-3</v>
      </c>
    </row>
    <row r="1590" spans="1:20" x14ac:dyDescent="0.25">
      <c r="A1590" s="8" t="s">
        <v>3285</v>
      </c>
      <c r="B1590" s="8" t="s">
        <v>3286</v>
      </c>
      <c r="C1590" s="8" t="s">
        <v>3540</v>
      </c>
      <c r="D1590" s="8">
        <v>655</v>
      </c>
      <c r="E1590" s="24">
        <v>0.26564884185790999</v>
      </c>
      <c r="F1590" s="24">
        <v>0.73435115814208896</v>
      </c>
      <c r="G1590" s="23">
        <v>0</v>
      </c>
      <c r="H1590" s="23">
        <v>4.5801527798175798E-2</v>
      </c>
      <c r="I1590" s="24">
        <v>0.277862608432769</v>
      </c>
      <c r="J1590" s="24">
        <v>0.61526715755462602</v>
      </c>
      <c r="K1590" s="23">
        <v>7.6335878111422001E-3</v>
      </c>
      <c r="L1590" s="23">
        <v>1.06870224699378E-2</v>
      </c>
      <c r="M1590" s="23">
        <v>4.2748089879751199E-2</v>
      </c>
      <c r="N1590" s="23">
        <v>0</v>
      </c>
      <c r="O1590" s="24">
        <v>0.99694657325744596</v>
      </c>
      <c r="P1590" s="24">
        <v>0.25954198837280201</v>
      </c>
      <c r="Q1590" s="24">
        <v>0.94503813982009799</v>
      </c>
      <c r="R1590" s="25">
        <v>0.16299559471365638</v>
      </c>
      <c r="S1590" s="25">
        <v>0.81644640234948607</v>
      </c>
      <c r="T1590" s="25">
        <v>2.0558002936857563E-2</v>
      </c>
    </row>
    <row r="1591" spans="1:20" x14ac:dyDescent="0.25">
      <c r="A1591" s="8" t="s">
        <v>3287</v>
      </c>
      <c r="B1591" s="8" t="s">
        <v>3288</v>
      </c>
      <c r="C1591" s="8" t="s">
        <v>3540</v>
      </c>
      <c r="D1591" s="8">
        <v>421</v>
      </c>
      <c r="E1591" s="24">
        <v>0.23752969503402699</v>
      </c>
      <c r="F1591" s="24">
        <v>0.76247030496597201</v>
      </c>
      <c r="G1591" s="23">
        <v>0</v>
      </c>
      <c r="H1591" s="24">
        <v>0.109263658523559</v>
      </c>
      <c r="I1591" s="24">
        <v>0.33729216456413202</v>
      </c>
      <c r="J1591" s="23">
        <v>0.47980996966362</v>
      </c>
      <c r="K1591" s="23">
        <v>4.7505940310656998E-3</v>
      </c>
      <c r="L1591" s="23">
        <v>7.1258908137678996E-3</v>
      </c>
      <c r="M1591" s="23">
        <v>6.1757721006870298E-2</v>
      </c>
      <c r="N1591" s="23">
        <v>0</v>
      </c>
      <c r="O1591" s="23">
        <v>1</v>
      </c>
      <c r="P1591" s="24">
        <v>0.14726841449737499</v>
      </c>
      <c r="Q1591" s="24">
        <v>0.87173396348953203</v>
      </c>
      <c r="R1591" s="25">
        <v>0.88836104513064129</v>
      </c>
      <c r="S1591" s="25">
        <v>9.5011876484560574E-3</v>
      </c>
      <c r="T1591" s="25">
        <v>5.4631828978622329E-2</v>
      </c>
    </row>
    <row r="1592" spans="1:20" x14ac:dyDescent="0.25">
      <c r="A1592" s="8" t="s">
        <v>3289</v>
      </c>
      <c r="B1592" s="8" t="s">
        <v>3290</v>
      </c>
      <c r="C1592" s="8" t="s">
        <v>3540</v>
      </c>
      <c r="D1592" s="8">
        <v>118</v>
      </c>
      <c r="E1592" s="24">
        <v>0.237288132309913</v>
      </c>
      <c r="F1592" s="24">
        <v>0.75423729419708196</v>
      </c>
      <c r="G1592" s="23">
        <v>8.4745762869716003E-3</v>
      </c>
      <c r="H1592" s="23">
        <v>4.2372882366180399E-2</v>
      </c>
      <c r="I1592" s="24">
        <v>0.33050847053527799</v>
      </c>
      <c r="J1592" s="24">
        <v>0.56779658794402998</v>
      </c>
      <c r="K1592" s="23">
        <v>1.69491525739431E-2</v>
      </c>
      <c r="L1592" s="23">
        <v>0</v>
      </c>
      <c r="M1592" s="23">
        <v>4.2372882366180399E-2</v>
      </c>
      <c r="N1592" s="23">
        <v>0</v>
      </c>
      <c r="O1592" s="23">
        <v>1</v>
      </c>
      <c r="P1592" s="24">
        <v>0.322033911943435</v>
      </c>
      <c r="Q1592" s="24">
        <v>0.94067794084548895</v>
      </c>
      <c r="R1592" s="25">
        <v>0.9152542372881356</v>
      </c>
      <c r="S1592" s="25">
        <v>5.0847457627118647E-2</v>
      </c>
      <c r="T1592" s="25">
        <v>0</v>
      </c>
    </row>
    <row r="1593" spans="1:20" x14ac:dyDescent="0.25">
      <c r="A1593" s="8" t="s">
        <v>3291</v>
      </c>
      <c r="B1593" s="8" t="s">
        <v>3292</v>
      </c>
      <c r="C1593" s="8" t="s">
        <v>3540</v>
      </c>
      <c r="D1593" s="8">
        <v>526</v>
      </c>
      <c r="E1593" s="24">
        <v>0.32699620723724299</v>
      </c>
      <c r="F1593" s="24">
        <v>0.67300379276275601</v>
      </c>
      <c r="G1593" s="23">
        <v>0</v>
      </c>
      <c r="H1593" s="23">
        <v>3.4220531582832302E-2</v>
      </c>
      <c r="I1593" s="24">
        <v>0.347908735275268</v>
      </c>
      <c r="J1593" s="24">
        <v>0.57604563236236495</v>
      </c>
      <c r="K1593" s="23">
        <v>1.9011406693608E-3</v>
      </c>
      <c r="L1593" s="23">
        <v>1.33079849183559E-2</v>
      </c>
      <c r="M1593" s="23">
        <v>2.6615969836711901E-2</v>
      </c>
      <c r="N1593" s="23">
        <v>0</v>
      </c>
      <c r="O1593" s="24">
        <v>0.992395460605621</v>
      </c>
      <c r="P1593" s="23">
        <v>0.33840304613113398</v>
      </c>
      <c r="Q1593" s="24">
        <v>0.96197718381881703</v>
      </c>
      <c r="R1593" s="25">
        <v>0.61406844106463876</v>
      </c>
      <c r="S1593" s="25">
        <v>0.30608365019011408</v>
      </c>
      <c r="T1593" s="25">
        <v>4.3726235741444866E-2</v>
      </c>
    </row>
    <row r="1594" spans="1:20" x14ac:dyDescent="0.25">
      <c r="A1594" s="8" t="s">
        <v>3293</v>
      </c>
      <c r="B1594" s="8" t="s">
        <v>3294</v>
      </c>
      <c r="C1594" s="8" t="s">
        <v>3540</v>
      </c>
      <c r="D1594" s="8">
        <v>404</v>
      </c>
      <c r="E1594" s="24">
        <v>0.26980197429656899</v>
      </c>
      <c r="F1594" s="24">
        <v>0.73019802570342995</v>
      </c>
      <c r="G1594" s="23">
        <v>0</v>
      </c>
      <c r="H1594" s="23">
        <v>1.98019798845053E-2</v>
      </c>
      <c r="I1594" s="24">
        <v>0.356435656547546</v>
      </c>
      <c r="J1594" s="24">
        <v>0.55445545911788896</v>
      </c>
      <c r="K1594" s="23">
        <v>2.4752474855632002E-3</v>
      </c>
      <c r="L1594" s="23">
        <v>1.98019798845053E-2</v>
      </c>
      <c r="M1594" s="23">
        <v>4.7029703855514499E-2</v>
      </c>
      <c r="N1594" s="23">
        <v>0</v>
      </c>
      <c r="O1594" s="24">
        <v>0.98514848947525002</v>
      </c>
      <c r="P1594" s="24">
        <v>0.153465345501899</v>
      </c>
      <c r="Q1594" s="24">
        <v>0.94306927919387795</v>
      </c>
      <c r="R1594" s="25">
        <v>0.75894988066825775</v>
      </c>
      <c r="S1594" s="25">
        <v>0.19809069212410502</v>
      </c>
      <c r="T1594" s="25">
        <v>4.2959427207637228E-2</v>
      </c>
    </row>
    <row r="1595" spans="1:20" x14ac:dyDescent="0.25">
      <c r="A1595" s="8" t="s">
        <v>3295</v>
      </c>
      <c r="B1595" s="8" t="s">
        <v>3296</v>
      </c>
      <c r="C1595" s="8" t="s">
        <v>3540</v>
      </c>
      <c r="D1595" s="8">
        <v>439</v>
      </c>
      <c r="E1595" s="24">
        <v>0.30979499220848</v>
      </c>
      <c r="F1595" s="24">
        <v>0.690205037593841</v>
      </c>
      <c r="G1595" s="23">
        <v>0</v>
      </c>
      <c r="H1595" s="23">
        <v>9.1116176918148994E-3</v>
      </c>
      <c r="I1595" s="24">
        <v>0.31662869453430098</v>
      </c>
      <c r="J1595" s="24">
        <v>0.63781321048736495</v>
      </c>
      <c r="K1595" s="23">
        <v>9.1116176918148994E-3</v>
      </c>
      <c r="L1595" s="23">
        <v>1.36674260720611E-2</v>
      </c>
      <c r="M1595" s="23">
        <v>1.36674260720611E-2</v>
      </c>
      <c r="N1595" s="23">
        <v>0</v>
      </c>
      <c r="O1595" s="24">
        <v>0.99316626787185602</v>
      </c>
      <c r="P1595" s="24">
        <v>0.28246012330055198</v>
      </c>
      <c r="Q1595" s="23">
        <v>0.965831458568573</v>
      </c>
      <c r="R1595" s="25">
        <v>0.10933940774487472</v>
      </c>
      <c r="S1595" s="25">
        <v>0.7744874715261959</v>
      </c>
      <c r="T1595" s="25">
        <v>2.9612756264236904E-2</v>
      </c>
    </row>
    <row r="1596" spans="1:20" x14ac:dyDescent="0.25">
      <c r="A1596" s="8" t="s">
        <v>3297</v>
      </c>
      <c r="B1596" s="8" t="s">
        <v>3298</v>
      </c>
      <c r="C1596" s="8" t="s">
        <v>3540</v>
      </c>
      <c r="D1596" s="8">
        <v>700</v>
      </c>
      <c r="E1596" s="24">
        <v>0.35285714268684298</v>
      </c>
      <c r="F1596" s="24">
        <v>0.64714282751083296</v>
      </c>
      <c r="G1596" s="23">
        <v>0</v>
      </c>
      <c r="H1596" s="23">
        <v>4.1428569704294198E-2</v>
      </c>
      <c r="I1596" s="24">
        <v>0.31428572535514798</v>
      </c>
      <c r="J1596" s="24">
        <v>0.58571428060531605</v>
      </c>
      <c r="K1596" s="23">
        <v>7.1428571827709996E-3</v>
      </c>
      <c r="L1596" s="23">
        <v>1.42857143655419E-2</v>
      </c>
      <c r="M1596" s="23">
        <v>3.7142857909202603E-2</v>
      </c>
      <c r="N1596" s="23">
        <v>0</v>
      </c>
      <c r="O1596" s="23">
        <v>1</v>
      </c>
      <c r="P1596" s="24">
        <v>0.32857143878936701</v>
      </c>
      <c r="Q1596" s="24">
        <v>0.95714282989501898</v>
      </c>
      <c r="R1596" s="25">
        <v>0.9028571428571428</v>
      </c>
      <c r="S1596" s="25">
        <v>0.01</v>
      </c>
      <c r="T1596" s="25">
        <v>6.4285714285714279E-2</v>
      </c>
    </row>
    <row r="1597" spans="1:20" x14ac:dyDescent="0.25">
      <c r="A1597" s="8" t="s">
        <v>3299</v>
      </c>
      <c r="B1597" s="8"/>
      <c r="C1597" s="8" t="s">
        <v>3540</v>
      </c>
      <c r="D1597" s="8">
        <v>969</v>
      </c>
      <c r="E1597" s="24">
        <v>0.40970072150230402</v>
      </c>
      <c r="F1597" s="24">
        <v>0.59029924869537298</v>
      </c>
      <c r="G1597" s="23">
        <v>0</v>
      </c>
      <c r="H1597" s="24">
        <v>0.15892672538757299</v>
      </c>
      <c r="I1597" s="23">
        <v>0.25593394041061401</v>
      </c>
      <c r="J1597" s="24">
        <v>0.47162023186683599</v>
      </c>
      <c r="K1597" s="23">
        <v>2.0639835856854998E-3</v>
      </c>
      <c r="L1597" s="23">
        <v>9.2879254370928001E-3</v>
      </c>
      <c r="M1597" s="24">
        <v>0.10216718167066501</v>
      </c>
      <c r="N1597" s="23">
        <v>0</v>
      </c>
      <c r="O1597" s="24">
        <v>0.26006191968917802</v>
      </c>
      <c r="P1597" s="24">
        <v>0.27554178237915</v>
      </c>
      <c r="Q1597" s="24">
        <v>0.83900928497314398</v>
      </c>
      <c r="R1597" s="25">
        <v>0</v>
      </c>
      <c r="S1597" s="25">
        <v>0</v>
      </c>
      <c r="T1597" s="25">
        <v>0.23219814241486067</v>
      </c>
    </row>
    <row r="1598" spans="1:20" x14ac:dyDescent="0.25">
      <c r="A1598" s="8" t="s">
        <v>3303</v>
      </c>
      <c r="B1598" s="8"/>
      <c r="C1598" s="8" t="s">
        <v>3540</v>
      </c>
      <c r="D1598" s="8">
        <v>21</v>
      </c>
      <c r="E1598" s="24">
        <v>0.47619047760963401</v>
      </c>
      <c r="F1598" s="23">
        <v>0.52380955219268799</v>
      </c>
      <c r="G1598" s="23">
        <v>0</v>
      </c>
      <c r="H1598" s="23">
        <v>0</v>
      </c>
      <c r="I1598" s="24">
        <v>0.66666668653488104</v>
      </c>
      <c r="J1598" s="24">
        <v>0.23809523880481701</v>
      </c>
      <c r="K1598" s="23">
        <v>4.76190485060215E-2</v>
      </c>
      <c r="L1598" s="23">
        <v>0</v>
      </c>
      <c r="M1598" s="23">
        <v>4.76190485060215E-2</v>
      </c>
      <c r="N1598" s="23">
        <v>0</v>
      </c>
      <c r="O1598" s="24">
        <v>0.57142859697341897</v>
      </c>
      <c r="P1598" s="24">
        <v>0.14285714924335399</v>
      </c>
      <c r="Q1598" s="23">
        <v>1</v>
      </c>
      <c r="R1598" s="25">
        <v>0</v>
      </c>
      <c r="S1598" s="25">
        <v>0</v>
      </c>
      <c r="T1598" s="25">
        <v>0.8571428571428571</v>
      </c>
    </row>
    <row r="1599" spans="1:20" x14ac:dyDescent="0.25">
      <c r="A1599" s="8" t="s">
        <v>3306</v>
      </c>
      <c r="B1599" s="8"/>
      <c r="C1599" s="8" t="s">
        <v>3540</v>
      </c>
      <c r="D1599" s="8">
        <v>576</v>
      </c>
      <c r="E1599" s="24">
        <v>0.42361110448837203</v>
      </c>
      <c r="F1599" s="24">
        <v>0.57638889551162698</v>
      </c>
      <c r="G1599" s="23">
        <v>0</v>
      </c>
      <c r="H1599" s="23">
        <v>2.25694440305233E-2</v>
      </c>
      <c r="I1599" s="24">
        <v>0.27430555224418601</v>
      </c>
      <c r="J1599" s="24">
        <v>0.64583331346511796</v>
      </c>
      <c r="K1599" s="23">
        <v>8.6805559694766998E-3</v>
      </c>
      <c r="L1599" s="23">
        <v>8.6805559694766998E-3</v>
      </c>
      <c r="M1599" s="23">
        <v>3.99305559694767E-2</v>
      </c>
      <c r="N1599" s="23">
        <v>0</v>
      </c>
      <c r="O1599" s="24">
        <v>0.32465279102325401</v>
      </c>
      <c r="P1599" s="24">
        <v>0.22569444775581299</v>
      </c>
      <c r="Q1599" s="24">
        <v>0.87152779102325395</v>
      </c>
      <c r="R1599" s="25">
        <v>0</v>
      </c>
      <c r="S1599" s="25">
        <v>0</v>
      </c>
      <c r="T1599" s="25">
        <v>0.27777777777777779</v>
      </c>
    </row>
    <row r="1600" spans="1:20" x14ac:dyDescent="0.25">
      <c r="A1600" s="8" t="s">
        <v>3308</v>
      </c>
      <c r="B1600" s="8"/>
      <c r="C1600" s="8" t="s">
        <v>3540</v>
      </c>
      <c r="D1600" s="8">
        <v>1189</v>
      </c>
      <c r="E1600" s="24">
        <v>0.18839360773563299</v>
      </c>
      <c r="F1600" s="24">
        <v>0.80908328294753995</v>
      </c>
      <c r="G1600" s="23">
        <v>2.5231286417692999E-3</v>
      </c>
      <c r="H1600" s="23">
        <v>4.6257358044385903E-2</v>
      </c>
      <c r="I1600" s="24">
        <v>0.292682915925979</v>
      </c>
      <c r="J1600" s="24">
        <v>0.59209418296813898</v>
      </c>
      <c r="K1600" s="23">
        <v>4.2052143253386003E-3</v>
      </c>
      <c r="L1600" s="23">
        <v>1.5979815274477002E-2</v>
      </c>
      <c r="M1600" s="23">
        <v>4.8780485987663297E-2</v>
      </c>
      <c r="N1600" s="23">
        <v>0</v>
      </c>
      <c r="O1600" s="23">
        <v>8.4104289999230005E-4</v>
      </c>
      <c r="P1600" s="23">
        <v>7.5693860650062603E-2</v>
      </c>
      <c r="Q1600" s="23">
        <v>0.78637510538101196</v>
      </c>
      <c r="R1600" s="25">
        <v>0</v>
      </c>
      <c r="S1600" s="25">
        <v>0</v>
      </c>
      <c r="T1600" s="25">
        <v>8.4104289318755253E-4</v>
      </c>
    </row>
    <row r="1601" spans="1:20" x14ac:dyDescent="0.25">
      <c r="A1601" s="8" t="s">
        <v>3309</v>
      </c>
      <c r="B1601" s="8"/>
      <c r="C1601" s="8" t="s">
        <v>3540</v>
      </c>
      <c r="D1601" s="8">
        <v>378</v>
      </c>
      <c r="E1601" s="24">
        <v>0.41798943281173701</v>
      </c>
      <c r="F1601" s="24">
        <v>0.58201056718826205</v>
      </c>
      <c r="G1601" s="23">
        <v>0</v>
      </c>
      <c r="H1601" s="23">
        <v>3.9682541042566299E-2</v>
      </c>
      <c r="I1601" s="23">
        <v>0.380952388048172</v>
      </c>
      <c r="J1601" s="24">
        <v>0.46296295523643399</v>
      </c>
      <c r="K1601" s="23">
        <v>1.05820102617145E-2</v>
      </c>
      <c r="L1601" s="23">
        <v>1.5873016789555501E-2</v>
      </c>
      <c r="M1601" s="23">
        <v>8.9947089552879306E-2</v>
      </c>
      <c r="N1601" s="23">
        <v>0</v>
      </c>
      <c r="O1601" s="24">
        <v>0.45238095521926802</v>
      </c>
      <c r="P1601" s="23">
        <v>0.15079365670681</v>
      </c>
      <c r="Q1601" s="24">
        <v>0.90740740299224798</v>
      </c>
      <c r="R1601" s="25">
        <v>2.6455026455026454E-3</v>
      </c>
      <c r="S1601" s="25">
        <v>3.1746031746031744E-2</v>
      </c>
      <c r="T1601" s="25">
        <v>0.36507936507936506</v>
      </c>
    </row>
    <row r="1602" spans="1:20" x14ac:dyDescent="0.25">
      <c r="A1602" s="8" t="s">
        <v>3313</v>
      </c>
      <c r="B1602" s="8"/>
      <c r="C1602" s="8" t="s">
        <v>3540</v>
      </c>
      <c r="D1602" s="8">
        <v>224</v>
      </c>
      <c r="E1602" s="23">
        <v>5.8035712689161301E-2</v>
      </c>
      <c r="F1602" s="24">
        <v>0.94196426868438698</v>
      </c>
      <c r="G1602" s="23">
        <v>0</v>
      </c>
      <c r="H1602" s="23">
        <v>8.9285718277097009E-3</v>
      </c>
      <c r="I1602" s="24">
        <v>0.54464286565780595</v>
      </c>
      <c r="J1602" s="24">
        <v>0.39285713434219299</v>
      </c>
      <c r="K1602" s="23">
        <v>8.9285718277097009E-3</v>
      </c>
      <c r="L1602" s="23">
        <v>3.125E-2</v>
      </c>
      <c r="M1602" s="23">
        <v>1.3392857275903201E-2</v>
      </c>
      <c r="N1602" s="23">
        <v>0</v>
      </c>
      <c r="O1602" s="24">
        <v>0.42410713434219299</v>
      </c>
      <c r="P1602" s="23">
        <v>3.125E-2</v>
      </c>
      <c r="Q1602" s="24">
        <v>0.83035713434219305</v>
      </c>
      <c r="R1602" s="25">
        <v>3.5714285714285712E-2</v>
      </c>
      <c r="S1602" s="25">
        <v>9.375E-2</v>
      </c>
      <c r="T1602" s="25">
        <v>0.3392857142857143</v>
      </c>
    </row>
    <row r="1603" spans="1:20" x14ac:dyDescent="0.25">
      <c r="A1603" s="8" t="s">
        <v>3315</v>
      </c>
      <c r="B1603" s="8"/>
      <c r="C1603" s="8" t="s">
        <v>3540</v>
      </c>
      <c r="D1603" s="8">
        <v>3178</v>
      </c>
      <c r="E1603" s="24">
        <v>0.35714286565780601</v>
      </c>
      <c r="F1603" s="24">
        <v>0.64254248142242398</v>
      </c>
      <c r="G1603" s="23">
        <v>3.1466330983680001E-4</v>
      </c>
      <c r="H1603" s="24">
        <v>0.116740085184574</v>
      </c>
      <c r="I1603" s="24">
        <v>0.39553177356719899</v>
      </c>
      <c r="J1603" s="24">
        <v>0.42888608574867199</v>
      </c>
      <c r="K1603" s="23">
        <v>3.4612964373082001E-3</v>
      </c>
      <c r="L1603" s="23">
        <v>1.2586532160639799E-2</v>
      </c>
      <c r="M1603" s="23">
        <v>4.2794208973646199E-2</v>
      </c>
      <c r="N1603" s="23">
        <v>0</v>
      </c>
      <c r="O1603" s="24">
        <v>0.16614222526550201</v>
      </c>
      <c r="P1603" s="24">
        <v>0.123662680387496</v>
      </c>
      <c r="Q1603" s="24">
        <v>0.81655126810073797</v>
      </c>
      <c r="R1603" s="25">
        <v>0</v>
      </c>
      <c r="S1603" s="25">
        <v>2.2026431718061676E-3</v>
      </c>
      <c r="T1603" s="25">
        <v>0.15387035871617369</v>
      </c>
    </row>
    <row r="1604" spans="1:20" x14ac:dyDescent="0.25">
      <c r="A1604" s="8" t="s">
        <v>3316</v>
      </c>
      <c r="B1604" s="8"/>
      <c r="C1604" s="8" t="s">
        <v>3540</v>
      </c>
      <c r="D1604" s="8">
        <v>404</v>
      </c>
      <c r="E1604" s="23">
        <v>7.1782179176807404E-2</v>
      </c>
      <c r="F1604" s="24">
        <v>0.92821782827377297</v>
      </c>
      <c r="G1604" s="23">
        <v>0</v>
      </c>
      <c r="H1604" s="23">
        <v>1.23762376606464E-2</v>
      </c>
      <c r="I1604" s="24">
        <v>0.60891091823577803</v>
      </c>
      <c r="J1604" s="24">
        <v>0.33415842056274397</v>
      </c>
      <c r="K1604" s="23">
        <v>2.4752474855632002E-3</v>
      </c>
      <c r="L1604" s="23">
        <v>2.4752474855632002E-3</v>
      </c>
      <c r="M1604" s="23">
        <v>3.9603959769010502E-2</v>
      </c>
      <c r="N1604" s="23">
        <v>0</v>
      </c>
      <c r="O1604" s="24">
        <v>0.48514851927757202</v>
      </c>
      <c r="P1604" s="23">
        <v>9.4059407711029094E-2</v>
      </c>
      <c r="Q1604" s="23">
        <v>1</v>
      </c>
      <c r="R1604" s="25">
        <v>6.4356435643564358E-2</v>
      </c>
      <c r="S1604" s="25">
        <v>0.13861386138613863</v>
      </c>
      <c r="T1604" s="25">
        <v>0.35396039603960394</v>
      </c>
    </row>
  </sheetData>
  <sortState xmlns:xlrd2="http://schemas.microsoft.com/office/spreadsheetml/2017/richdata2" ref="A3:T1604">
    <sortCondition ref="A3:A1604"/>
  </sortState>
  <mergeCells count="2">
    <mergeCell ref="A1:Q1"/>
    <mergeCell ref="R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8c830e8-d262-4630-a559-4cf2c8299479" xsi:nil="true"/>
    <Read xmlns="92b9f918-d9ee-4c0e-a7bc-95f587425149">false</Read>
    <_ip_UnifiedCompliancePolicyProperties xmlns="http://schemas.microsoft.com/sharepoint/v3" xsi:nil="true"/>
    <lcf76f155ced4ddcb4097134ff3c332f xmlns="92b9f918-d9ee-4c0e-a7bc-95f58742514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F1F9B4E4A0994292C9507E2672B168" ma:contentTypeVersion="21" ma:contentTypeDescription="Create a new document." ma:contentTypeScope="" ma:versionID="61da6627b1d1ae62562552be2ab659d8">
  <xsd:schema xmlns:xsd="http://www.w3.org/2001/XMLSchema" xmlns:xs="http://www.w3.org/2001/XMLSchema" xmlns:p="http://schemas.microsoft.com/office/2006/metadata/properties" xmlns:ns1="http://schemas.microsoft.com/sharepoint/v3" xmlns:ns2="92b9f918-d9ee-4c0e-a7bc-95f587425149" xmlns:ns3="48c830e8-d262-4630-a559-4cf2c8299479" targetNamespace="http://schemas.microsoft.com/office/2006/metadata/properties" ma:root="true" ma:fieldsID="42eab9aeff73d762ed8537aac963fc1c" ns1:_="" ns2:_="" ns3:_="">
    <xsd:import namespace="http://schemas.microsoft.com/sharepoint/v3"/>
    <xsd:import namespace="92b9f918-d9ee-4c0e-a7bc-95f587425149"/>
    <xsd:import namespace="48c830e8-d262-4630-a559-4cf2c8299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Read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9f918-d9ee-4c0e-a7bc-95f5874251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Read" ma:index="20" ma:displayName="Read" ma:default="0" ma:format="Dropdown" ma:internalName="Read">
      <xsd:simpleType>
        <xsd:restriction base="dms:Boolea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87873-bdaf-4156-af8e-11c8208359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c830e8-d262-4630-a559-4cf2c829947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1338e8-3c80-4ed0-9046-4891b08e0c77}" ma:internalName="TaxCatchAll" ma:showField="CatchAllData" ma:web="48c830e8-d262-4630-a559-4cf2c8299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EBDA65-820F-4144-9183-2D3E2697601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8c830e8-d262-4630-a559-4cf2c8299479"/>
    <ds:schemaRef ds:uri="92b9f918-d9ee-4c0e-a7bc-95f587425149"/>
  </ds:schemaRefs>
</ds:datastoreItem>
</file>

<file path=customXml/itemProps2.xml><?xml version="1.0" encoding="utf-8"?>
<ds:datastoreItem xmlns:ds="http://schemas.openxmlformats.org/officeDocument/2006/customXml" ds:itemID="{EB4678EE-53DE-4EF2-83AD-5E41F9911B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9ADEEF-D587-4131-918E-A94036EA76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b9f918-d9ee-4c0e-a7bc-95f587425149"/>
    <ds:schemaRef ds:uri="48c830e8-d262-4630-a559-4cf2c8299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2025-26 GC &amp; SW Data</vt:lpstr>
      <vt:lpstr>2024-25 Post-Secondary Training</vt:lpstr>
      <vt:lpstr>2024-25 Demographics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Carmina Marcial</dc:creator>
  <cp:keywords/>
  <dc:description/>
  <cp:lastModifiedBy>Gina Romeo</cp:lastModifiedBy>
  <cp:revision/>
  <dcterms:created xsi:type="dcterms:W3CDTF">2026-02-06T16:27:58Z</dcterms:created>
  <dcterms:modified xsi:type="dcterms:W3CDTF">2026-03-20T16:51:41Z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0x01010056F1F9B4E4A0994292C9507E2672B168</vt:lpwstr>
  </property>
  <property fmtid="{D5CDD505-2E9C-101B-9397-08002B2CF9AE}" pid="3" name="MediaServiceImageTags">
    <vt:lpwstr/>
  </property>
</Properties>
</file>